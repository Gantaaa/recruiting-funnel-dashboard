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ruiting_Data" sheetId="1" r:id="rId5"/>
    <sheet state="visible" name="Helper_Calcs" sheetId="2" r:id="rId6"/>
    <sheet state="visible" name="Pivots" sheetId="3" r:id="rId7"/>
    <sheet state="visible" name="Exec_Overview" sheetId="4" r:id="rId8"/>
    <sheet state="visible" name="Funnel" sheetId="5" r:id="rId9"/>
    <sheet state="visible" name="Headcount" sheetId="6" r:id="rId10"/>
    <sheet state="visible" name="Regional" sheetId="7" r:id="rId11"/>
    <sheet state="visible" name="Source" sheetId="8" r:id="rId12"/>
    <sheet state="visible" name="Recruiter" sheetId="9" r:id="rId13"/>
    <sheet state="visible" name="Time_to_Fill" sheetId="10" r:id="rId14"/>
    <sheet state="visible" name="Data_Quality" sheetId="11" r:id="rId15"/>
    <sheet state="visible" name="Weekly_Snapshots" sheetId="12" r:id="rId16"/>
    <sheet state="visible" name="AI_Output" sheetId="13" r:id="rId17"/>
    <sheet state="visible" name="Config" sheetId="14" r:id="rId18"/>
    <sheet state="visible" name="Logs" sheetId="15" r:id="rId19"/>
  </sheets>
  <definedNames>
    <definedName name="KPI_TTF">Exec_Overview!$B$4</definedName>
    <definedName name="KPI_FunnelConv">Exec_Overview!$B$6</definedName>
    <definedName name="KPI_OpenReqs">Exec_Overview!$B$2</definedName>
    <definedName name="KPI_HCvsPlan">Exec_Overview!$B$7</definedName>
    <definedName name="KPI_OfferAccept">Exec_Overview!$B$5</definedName>
    <definedName name="KPI_Hires">Exec_Overview!$B$3</definedName>
    <definedName hidden="1" localSheetId="0" name="_xlnm._FilterDatabase">Recruiting_Data!$A$1:$R$1000</definedName>
    <definedName hidden="1" localSheetId="0" name="Z_7B4C7589_153B_484C_BF6D_E2CEFEF09C1D_.wvu.FilterData">Recruiting_Data!$A$1:$R$1000</definedName>
  </definedNames>
  <calcPr/>
  <customWorkbookViews>
    <customWorkbookView activeSheetId="0" maximized="1" windowHeight="0" windowWidth="0" guid="{7B4C7589-153B-484C-BF6D-E2CEFEF09C1D}" name="Filter 1"/>
  </customWorkbookViews>
  <pivotCaches>
    <pivotCache cacheId="0" r:id="rId20"/>
    <pivotCache cacheId="1" r:id="rId21"/>
  </pivotCaches>
</workbook>
</file>

<file path=xl/sharedStrings.xml><?xml version="1.0" encoding="utf-8"?>
<sst xmlns="http://schemas.openxmlformats.org/spreadsheetml/2006/main" count="4613" uniqueCount="604">
  <si>
    <t>Candidate_ID</t>
  </si>
  <si>
    <t>Requisition_ID</t>
  </si>
  <si>
    <t>Calculated_Time_To_Fill</t>
  </si>
  <si>
    <t>Team</t>
  </si>
  <si>
    <t>Department</t>
  </si>
  <si>
    <t>Region</t>
  </si>
  <si>
    <t>Recruiter</t>
  </si>
  <si>
    <t>Hiring_Manager</t>
  </si>
  <si>
    <t>Source_of_Hire</t>
  </si>
  <si>
    <t>Candidate_Type</t>
  </si>
  <si>
    <t>Application_Date</t>
  </si>
  <si>
    <t>Phone_Screen_Date</t>
  </si>
  <si>
    <t>Onsite_Date</t>
  </si>
  <si>
    <t>Offer_Date</t>
  </si>
  <si>
    <t>Hire_Date</t>
  </si>
  <si>
    <t>Current_Stage</t>
  </si>
  <si>
    <t>Req_Open_Date</t>
  </si>
  <si>
    <t>Time_to_Fill</t>
  </si>
  <si>
    <t>Headcount_Status</t>
  </si>
  <si>
    <t>C-10001</t>
  </si>
  <si>
    <t>REQ-2026-0036</t>
  </si>
  <si>
    <t>Data Science</t>
  </si>
  <si>
    <t>Engineering</t>
  </si>
  <si>
    <t>EMEA</t>
  </si>
  <si>
    <t>Alice Smith</t>
  </si>
  <si>
    <t>Manager 17</t>
  </si>
  <si>
    <t>LinkedIn</t>
  </si>
  <si>
    <t>Internal</t>
  </si>
  <si>
    <t>Hired</t>
  </si>
  <si>
    <t>Filled</t>
  </si>
  <si>
    <t>C-10002</t>
  </si>
  <si>
    <t>REQ-2026-0008</t>
  </si>
  <si>
    <t>Frontend</t>
  </si>
  <si>
    <t>Bob Jones</t>
  </si>
  <si>
    <t>Manager 18</t>
  </si>
  <si>
    <t>University</t>
  </si>
  <si>
    <t>External</t>
  </si>
  <si>
    <t>Screen</t>
  </si>
  <si>
    <t>C-10003</t>
  </si>
  <si>
    <t>REQ-2026-0046</t>
  </si>
  <si>
    <t>NA</t>
  </si>
  <si>
    <t>Diana Prince</t>
  </si>
  <si>
    <t>Manager 10</t>
  </si>
  <si>
    <t>Job Board</t>
  </si>
  <si>
    <t>Onsite</t>
  </si>
  <si>
    <t>Open</t>
  </si>
  <si>
    <t>C-10004</t>
  </si>
  <si>
    <t>LATAM</t>
  </si>
  <si>
    <t>Charlie Brown</t>
  </si>
  <si>
    <t>C-10005</t>
  </si>
  <si>
    <t>REQ-2026-0010</t>
  </si>
  <si>
    <t>Backend</t>
  </si>
  <si>
    <t>APAC</t>
  </si>
  <si>
    <t>COUNTA of Candidate_ID</t>
  </si>
  <si>
    <t>Referral</t>
  </si>
  <si>
    <t>Withdrawn</t>
  </si>
  <si>
    <t>C-10006</t>
  </si>
  <si>
    <t>REQ-2026-0012</t>
  </si>
  <si>
    <t>Marketing</t>
  </si>
  <si>
    <t>Manager 11</t>
  </si>
  <si>
    <t>Agency</t>
  </si>
  <si>
    <t>C-10007</t>
  </si>
  <si>
    <t>REQ-2026-0016</t>
  </si>
  <si>
    <t>Manager 13</t>
  </si>
  <si>
    <t>Open_Req_Age</t>
  </si>
  <si>
    <t>Age_Bucket</t>
  </si>
  <si>
    <t>C-10008</t>
  </si>
  <si>
    <t>Sales</t>
  </si>
  <si>
    <t>Duplicate_Flag</t>
  </si>
  <si>
    <t>Date_Logic_Flag</t>
  </si>
  <si>
    <t>Manager 12</t>
  </si>
  <si>
    <t>C-10009</t>
  </si>
  <si>
    <t>REQ-2026-0004</t>
  </si>
  <si>
    <t>C-1010</t>
  </si>
  <si>
    <t>REQ-2026-0034</t>
  </si>
  <si>
    <t>Manager 5</t>
  </si>
  <si>
    <t>Offer</t>
  </si>
  <si>
    <t>C-10011</t>
  </si>
  <si>
    <t>REQ-2026-0001</t>
  </si>
  <si>
    <t>C-10012</t>
  </si>
  <si>
    <t>REQ-2026-0023</t>
  </si>
  <si>
    <t>Manager 15</t>
  </si>
  <si>
    <t>C-10013</t>
  </si>
  <si>
    <t>REQ-2026-0017</t>
  </si>
  <si>
    <t>Manager 6</t>
  </si>
  <si>
    <t>COUNTA of Requisition_ID</t>
  </si>
  <si>
    <t>C-10014</t>
  </si>
  <si>
    <t>REQ-2026-0041</t>
  </si>
  <si>
    <t>HR</t>
  </si>
  <si>
    <t>G&amp;A</t>
  </si>
  <si>
    <t>Manager 19</t>
  </si>
  <si>
    <t>C-10015</t>
  </si>
  <si>
    <t>REQ-2026-0029</t>
  </si>
  <si>
    <t>Finance</t>
  </si>
  <si>
    <t>Manager 16</t>
  </si>
  <si>
    <t>C-10016</t>
  </si>
  <si>
    <t>C-10017</t>
  </si>
  <si>
    <t>REQ-2026-0030</t>
  </si>
  <si>
    <t>C-10018</t>
  </si>
  <si>
    <t>Manager 2</t>
  </si>
  <si>
    <t>C-10019</t>
  </si>
  <si>
    <t>REQ-2026-0044</t>
  </si>
  <si>
    <t>Manager 7</t>
  </si>
  <si>
    <t>C-10020</t>
  </si>
  <si>
    <t>Rejected</t>
  </si>
  <si>
    <t>C-10021</t>
  </si>
  <si>
    <t>Manager 9</t>
  </si>
  <si>
    <t>C-10022</t>
  </si>
  <si>
    <t>AVERAGE of Time_to_Fill</t>
  </si>
  <si>
    <t>C-10023</t>
  </si>
  <si>
    <t>Manager 4</t>
  </si>
  <si>
    <t>Grand Total</t>
  </si>
  <si>
    <t>C-10024</t>
  </si>
  <si>
    <t>C-10025</t>
  </si>
  <si>
    <t>REQ-2026-0043</t>
  </si>
  <si>
    <t>Product</t>
  </si>
  <si>
    <t>C-10026</t>
  </si>
  <si>
    <t>C-10027</t>
  </si>
  <si>
    <t>REQ-2026-0032</t>
  </si>
  <si>
    <t>C-10028</t>
  </si>
  <si>
    <t>REQ-2026-0031</t>
  </si>
  <si>
    <t>Manager 20</t>
  </si>
  <si>
    <t>C-10029</t>
  </si>
  <si>
    <t>REQ-2026-0050</t>
  </si>
  <si>
    <t>Metric</t>
  </si>
  <si>
    <t>C-10030</t>
  </si>
  <si>
    <t>REQ-2026-0042</t>
  </si>
  <si>
    <t>Value</t>
  </si>
  <si>
    <t>C-10031</t>
  </si>
  <si>
    <t>Manager 8</t>
  </si>
  <si>
    <t>Open Requisitions</t>
  </si>
  <si>
    <t>C-10032</t>
  </si>
  <si>
    <t>C-10033</t>
  </si>
  <si>
    <t>REQ-2026-0045</t>
  </si>
  <si>
    <t>C-10034</t>
  </si>
  <si>
    <t>REQ-2026-0035</t>
  </si>
  <si>
    <t>Hires This Week</t>
  </si>
  <si>
    <t>C-10035</t>
  </si>
  <si>
    <t>C-10036</t>
  </si>
  <si>
    <t>C-10037</t>
  </si>
  <si>
    <t>REQ-2026-0006</t>
  </si>
  <si>
    <t>COUNTA of Current_Stage</t>
  </si>
  <si>
    <t>Average Time To Fill</t>
  </si>
  <si>
    <t>C-10038</t>
  </si>
  <si>
    <t>C-10039</t>
  </si>
  <si>
    <t>REQ-2026-0038</t>
  </si>
  <si>
    <t>Offer Acceptance Rate</t>
  </si>
  <si>
    <t>C-10040</t>
  </si>
  <si>
    <t>REQ-2026-0005</t>
  </si>
  <si>
    <t>Manager 14</t>
  </si>
  <si>
    <t>C-10041</t>
  </si>
  <si>
    <t>REQ-2026-0020</t>
  </si>
  <si>
    <t>Funnel Conversion Rate</t>
  </si>
  <si>
    <t>C-10042</t>
  </si>
  <si>
    <t>C-10043</t>
  </si>
  <si>
    <t>C-10044</t>
  </si>
  <si>
    <t>C-10045</t>
  </si>
  <si>
    <t>Headcount vs Plan</t>
  </si>
  <si>
    <t>C-10046</t>
  </si>
  <si>
    <t>REQ-2026-0039</t>
  </si>
  <si>
    <t>C-10047</t>
  </si>
  <si>
    <t>REQ-2026-0024</t>
  </si>
  <si>
    <t>C-10048</t>
  </si>
  <si>
    <t>REQ-2026-0011</t>
  </si>
  <si>
    <t>C-10049</t>
  </si>
  <si>
    <t>REQ-2026-0027</t>
  </si>
  <si>
    <t>C-10050</t>
  </si>
  <si>
    <t>C-10051</t>
  </si>
  <si>
    <t>C-10052</t>
  </si>
  <si>
    <t>REQ-2026-0021</t>
  </si>
  <si>
    <t>C-10053</t>
  </si>
  <si>
    <t>REQ-2026-0007</t>
  </si>
  <si>
    <t>C-10054</t>
  </si>
  <si>
    <t>Manager 3</t>
  </si>
  <si>
    <t>C-10055</t>
  </si>
  <si>
    <t>REQ-2026-0049</t>
  </si>
  <si>
    <t>C-10056</t>
  </si>
  <si>
    <t>REQ-2026-0025</t>
  </si>
  <si>
    <t>C-10057</t>
  </si>
  <si>
    <t>C-10058</t>
  </si>
  <si>
    <t>REQ-2026-0014</t>
  </si>
  <si>
    <t>Manager 1</t>
  </si>
  <si>
    <t>C-10059</t>
  </si>
  <si>
    <t>REQ-2026-0048</t>
  </si>
  <si>
    <t>C-10060</t>
  </si>
  <si>
    <t>REQ-2026-0037</t>
  </si>
  <si>
    <t>C-10061</t>
  </si>
  <si>
    <t>C-10062</t>
  </si>
  <si>
    <t>REQ-2026-0026</t>
  </si>
  <si>
    <t>C-10063</t>
  </si>
  <si>
    <t>C-10064</t>
  </si>
  <si>
    <t>C-10065</t>
  </si>
  <si>
    <t>C-10066</t>
  </si>
  <si>
    <t>C-10067</t>
  </si>
  <si>
    <t>REQ-2026-0015</t>
  </si>
  <si>
    <t>C-10068</t>
  </si>
  <si>
    <t>C-10069</t>
  </si>
  <si>
    <t>C-10070</t>
  </si>
  <si>
    <t>C-10071</t>
  </si>
  <si>
    <t>C-10072</t>
  </si>
  <si>
    <t>REQ-2026-0009</t>
  </si>
  <si>
    <t>C-10073</t>
  </si>
  <si>
    <t>2026-01-33</t>
  </si>
  <si>
    <t>C-10074</t>
  </si>
  <si>
    <t>C-10075</t>
  </si>
  <si>
    <t>C-10076</t>
  </si>
  <si>
    <t>C-10077</t>
  </si>
  <si>
    <t>REQ-2026-0013</t>
  </si>
  <si>
    <t>C-10078</t>
  </si>
  <si>
    <t>C-10079</t>
  </si>
  <si>
    <t>C-10080</t>
  </si>
  <si>
    <t>C-10081</t>
  </si>
  <si>
    <t>REQ-2026-0019</t>
  </si>
  <si>
    <t>C-10082</t>
  </si>
  <si>
    <t>C-10083</t>
  </si>
  <si>
    <t>C-10084</t>
  </si>
  <si>
    <t>C-10085</t>
  </si>
  <si>
    <t>C-10086</t>
  </si>
  <si>
    <t>C-10087</t>
  </si>
  <si>
    <t>C-10088</t>
  </si>
  <si>
    <t>C-10089</t>
  </si>
  <si>
    <t>C-10090</t>
  </si>
  <si>
    <t>C-10091</t>
  </si>
  <si>
    <t>C-10092</t>
  </si>
  <si>
    <t>C-10093</t>
  </si>
  <si>
    <t>REQ-2026-0018</t>
  </si>
  <si>
    <t>C-10094</t>
  </si>
  <si>
    <t>C-10095</t>
  </si>
  <si>
    <t>C-10096</t>
  </si>
  <si>
    <t>C-10097</t>
  </si>
  <si>
    <t>C-10098</t>
  </si>
  <si>
    <t>C-10099</t>
  </si>
  <si>
    <t>C-10100</t>
  </si>
  <si>
    <t>C-10101</t>
  </si>
  <si>
    <t>C-10102</t>
  </si>
  <si>
    <t>C-10103</t>
  </si>
  <si>
    <t>C-10104</t>
  </si>
  <si>
    <t>C-10105</t>
  </si>
  <si>
    <t>C-10106</t>
  </si>
  <si>
    <t>C-10107</t>
  </si>
  <si>
    <t>C-10108</t>
  </si>
  <si>
    <t>C-10109</t>
  </si>
  <si>
    <t>C-10110</t>
  </si>
  <si>
    <t>C-10111</t>
  </si>
  <si>
    <t>C-10112</t>
  </si>
  <si>
    <t>C-10113</t>
  </si>
  <si>
    <t>C-10114</t>
  </si>
  <si>
    <t>Funnel Stage</t>
  </si>
  <si>
    <t>C-10115</t>
  </si>
  <si>
    <t>Count</t>
  </si>
  <si>
    <t>Conversion Rate</t>
  </si>
  <si>
    <t>C-10116</t>
  </si>
  <si>
    <t>Applied</t>
  </si>
  <si>
    <t>C-10117</t>
  </si>
  <si>
    <t>C-10118</t>
  </si>
  <si>
    <t>C-10119</t>
  </si>
  <si>
    <t>C-10120</t>
  </si>
  <si>
    <t>C-10121</t>
  </si>
  <si>
    <t>C-10122</t>
  </si>
  <si>
    <t>REQ-2026-0040</t>
  </si>
  <si>
    <t>C-10123</t>
  </si>
  <si>
    <t>C-10124</t>
  </si>
  <si>
    <t>REQ-2026-0047</t>
  </si>
  <si>
    <t>C-10125</t>
  </si>
  <si>
    <t>C-10126</t>
  </si>
  <si>
    <t>REQ-2026-0033</t>
  </si>
  <si>
    <t>C-10127</t>
  </si>
  <si>
    <t>C-10128</t>
  </si>
  <si>
    <t>C-10129</t>
  </si>
  <si>
    <t>C-10130</t>
  </si>
  <si>
    <t>REQ-2026-0003</t>
  </si>
  <si>
    <t>Headcount Status</t>
  </si>
  <si>
    <t>C-10131</t>
  </si>
  <si>
    <t>C-10132</t>
  </si>
  <si>
    <t>Open Reqs</t>
  </si>
  <si>
    <t>C-10133</t>
  </si>
  <si>
    <t>Filled Reqs</t>
  </si>
  <si>
    <t>C-10134</t>
  </si>
  <si>
    <t>On Hold Reqs</t>
  </si>
  <si>
    <t>C-10135</t>
  </si>
  <si>
    <t>Cancelled Reqs</t>
  </si>
  <si>
    <t>Aging Buckets</t>
  </si>
  <si>
    <t>C-10136</t>
  </si>
  <si>
    <t>0-30</t>
  </si>
  <si>
    <t>C-10137</t>
  </si>
  <si>
    <t>31-60</t>
  </si>
  <si>
    <t>60+</t>
  </si>
  <si>
    <t>C-10138</t>
  </si>
  <si>
    <t>C-10139</t>
  </si>
  <si>
    <t>C-10140</t>
  </si>
  <si>
    <t>C-10141</t>
  </si>
  <si>
    <t>C-10142</t>
  </si>
  <si>
    <t>C-10143</t>
  </si>
  <si>
    <t>C-10144</t>
  </si>
  <si>
    <t>C-10145</t>
  </si>
  <si>
    <t>REQ-2026-0022</t>
  </si>
  <si>
    <t>C-10146</t>
  </si>
  <si>
    <t>C-10147</t>
  </si>
  <si>
    <t>C-10148</t>
  </si>
  <si>
    <t>C-10149</t>
  </si>
  <si>
    <t>C-10150</t>
  </si>
  <si>
    <t>REQ-2026-0002</t>
  </si>
  <si>
    <t>C-10151</t>
  </si>
  <si>
    <t>C-10152</t>
  </si>
  <si>
    <t>C-10153</t>
  </si>
  <si>
    <t>C-10154</t>
  </si>
  <si>
    <t>C-10155</t>
  </si>
  <si>
    <t>C-10156</t>
  </si>
  <si>
    <t>C-10157</t>
  </si>
  <si>
    <t>C-10158</t>
  </si>
  <si>
    <t>C-10159</t>
  </si>
  <si>
    <t>C-10160</t>
  </si>
  <si>
    <t>C-10161</t>
  </si>
  <si>
    <t>C-10162</t>
  </si>
  <si>
    <t>C-10163</t>
  </si>
  <si>
    <t>C-10164</t>
  </si>
  <si>
    <t>C-10165</t>
  </si>
  <si>
    <t>C-10166</t>
  </si>
  <si>
    <t>C-10167</t>
  </si>
  <si>
    <t>C-10168</t>
  </si>
  <si>
    <t>C-10169</t>
  </si>
  <si>
    <t>C-10170</t>
  </si>
  <si>
    <t>C-10171</t>
  </si>
  <si>
    <t>C-10172</t>
  </si>
  <si>
    <t>C-10173</t>
  </si>
  <si>
    <t>C-10174</t>
  </si>
  <si>
    <t>C-10175</t>
  </si>
  <si>
    <t>C-10176</t>
  </si>
  <si>
    <t>C-10177</t>
  </si>
  <si>
    <t>C-10178</t>
  </si>
  <si>
    <t>C-10179</t>
  </si>
  <si>
    <t>C-10180</t>
  </si>
  <si>
    <t>C-10181</t>
  </si>
  <si>
    <t>C-10182</t>
  </si>
  <si>
    <t>C-10183</t>
  </si>
  <si>
    <t>C-10184</t>
  </si>
  <si>
    <t>C-10185</t>
  </si>
  <si>
    <t>C-10186</t>
  </si>
  <si>
    <t>C-10187</t>
  </si>
  <si>
    <t>C-10188</t>
  </si>
  <si>
    <t>C-10189</t>
  </si>
  <si>
    <t>C-10190</t>
  </si>
  <si>
    <t>C-10191</t>
  </si>
  <si>
    <t>C-10192</t>
  </si>
  <si>
    <t>C-10193</t>
  </si>
  <si>
    <t>C-10194</t>
  </si>
  <si>
    <t>C-10195</t>
  </si>
  <si>
    <t>Hires</t>
  </si>
  <si>
    <t>Avg TTF</t>
  </si>
  <si>
    <t>C-10196</t>
  </si>
  <si>
    <t>C-10197</t>
  </si>
  <si>
    <t>C-10198</t>
  </si>
  <si>
    <t>C-10199</t>
  </si>
  <si>
    <t>C-10200</t>
  </si>
  <si>
    <t>C-10201</t>
  </si>
  <si>
    <t>C-10202</t>
  </si>
  <si>
    <t>C-10203</t>
  </si>
  <si>
    <t>C-10204</t>
  </si>
  <si>
    <t>C-10205</t>
  </si>
  <si>
    <t>C-10206</t>
  </si>
  <si>
    <t>C-10207</t>
  </si>
  <si>
    <t>C-10208</t>
  </si>
  <si>
    <t>C-10209</t>
  </si>
  <si>
    <t>C-10210</t>
  </si>
  <si>
    <t>C-10211</t>
  </si>
  <si>
    <t>C-10212</t>
  </si>
  <si>
    <t>C-10213</t>
  </si>
  <si>
    <t>C-10214</t>
  </si>
  <si>
    <t>C-10215</t>
  </si>
  <si>
    <t>C-10216</t>
  </si>
  <si>
    <t>C-10217</t>
  </si>
  <si>
    <t>C-10218</t>
  </si>
  <si>
    <t>Source Of Hire</t>
  </si>
  <si>
    <t>Applicants</t>
  </si>
  <si>
    <t>C-10219</t>
  </si>
  <si>
    <t>C-10220</t>
  </si>
  <si>
    <t>C-10221</t>
  </si>
  <si>
    <t>C-10222</t>
  </si>
  <si>
    <t>C-10223</t>
  </si>
  <si>
    <t>C-10224</t>
  </si>
  <si>
    <t>C-10225</t>
  </si>
  <si>
    <t>C-10226</t>
  </si>
  <si>
    <t>C-10227</t>
  </si>
  <si>
    <t>C-10228</t>
  </si>
  <si>
    <t>C-10229</t>
  </si>
  <si>
    <t>C-10230</t>
  </si>
  <si>
    <t>C-10231</t>
  </si>
  <si>
    <t>C-10232</t>
  </si>
  <si>
    <t>C-10233</t>
  </si>
  <si>
    <t>C-10234</t>
  </si>
  <si>
    <t>C-10235</t>
  </si>
  <si>
    <t>C-10236</t>
  </si>
  <si>
    <t>C-10237</t>
  </si>
  <si>
    <t>C-10238</t>
  </si>
  <si>
    <t>C-10239</t>
  </si>
  <si>
    <t>C-10240</t>
  </si>
  <si>
    <t>C-10241</t>
  </si>
  <si>
    <t>C-10242</t>
  </si>
  <si>
    <t>C-10243</t>
  </si>
  <si>
    <t>C-10244</t>
  </si>
  <si>
    <t>C-10245</t>
  </si>
  <si>
    <t>C-10246</t>
  </si>
  <si>
    <t>C-10247</t>
  </si>
  <si>
    <t>C-10248</t>
  </si>
  <si>
    <t>REQ-2026-0028</t>
  </si>
  <si>
    <t>C-10249</t>
  </si>
  <si>
    <t>C-10250</t>
  </si>
  <si>
    <t>C-10251</t>
  </si>
  <si>
    <t>C-10252</t>
  </si>
  <si>
    <t>C-10253</t>
  </si>
  <si>
    <t>C-10254</t>
  </si>
  <si>
    <t>2026-01-32</t>
  </si>
  <si>
    <t>C-10255</t>
  </si>
  <si>
    <t>C-10256</t>
  </si>
  <si>
    <t>C-10257</t>
  </si>
  <si>
    <t>C-10258</t>
  </si>
  <si>
    <t>C-10259</t>
  </si>
  <si>
    <t>C-10260</t>
  </si>
  <si>
    <t>C-10261</t>
  </si>
  <si>
    <t>C-10262</t>
  </si>
  <si>
    <t>C-10263</t>
  </si>
  <si>
    <t>C-10264</t>
  </si>
  <si>
    <t>2026-02-29</t>
  </si>
  <si>
    <t>C-10265</t>
  </si>
  <si>
    <t>C-10266</t>
  </si>
  <si>
    <t>C-10267</t>
  </si>
  <si>
    <t>C-10268</t>
  </si>
  <si>
    <t>C-10269</t>
  </si>
  <si>
    <t>C-10270</t>
  </si>
  <si>
    <t>C-10271</t>
  </si>
  <si>
    <t>C-10272</t>
  </si>
  <si>
    <t>C-10273</t>
  </si>
  <si>
    <t>C-10274</t>
  </si>
  <si>
    <t>Pipeline Size</t>
  </si>
  <si>
    <t>C-10275</t>
  </si>
  <si>
    <t>A. Rivera</t>
  </si>
  <si>
    <t>C-10276</t>
  </si>
  <si>
    <t>C-10277</t>
  </si>
  <si>
    <t>C-10278</t>
  </si>
  <si>
    <t>C-10279</t>
  </si>
  <si>
    <t>C-10280</t>
  </si>
  <si>
    <t>C-10281</t>
  </si>
  <si>
    <t>M. Okafor</t>
  </si>
  <si>
    <t>C-10282</t>
  </si>
  <si>
    <t>C-10283</t>
  </si>
  <si>
    <t>C-10284</t>
  </si>
  <si>
    <t>C-10285</t>
  </si>
  <si>
    <t>S. Tan</t>
  </si>
  <si>
    <t>C-10286</t>
  </si>
  <si>
    <t>C-10287</t>
  </si>
  <si>
    <t>C-10288</t>
  </si>
  <si>
    <t>J. Costa</t>
  </si>
  <si>
    <t>C-10289</t>
  </si>
  <si>
    <t>C-10290</t>
  </si>
  <si>
    <t>C-10291</t>
  </si>
  <si>
    <t>C-10292</t>
  </si>
  <si>
    <t>C-10293</t>
  </si>
  <si>
    <t>C-10294</t>
  </si>
  <si>
    <t>C-10295</t>
  </si>
  <si>
    <t>C-10296</t>
  </si>
  <si>
    <t>C-10297</t>
  </si>
  <si>
    <t>C-10298</t>
  </si>
  <si>
    <t>C-10299</t>
  </si>
  <si>
    <t>C-10300</t>
  </si>
  <si>
    <t>C-10301</t>
  </si>
  <si>
    <t>C-10302</t>
  </si>
  <si>
    <t>C-10303</t>
  </si>
  <si>
    <t>C-10304</t>
  </si>
  <si>
    <t>C-10305</t>
  </si>
  <si>
    <t>C-10306</t>
  </si>
  <si>
    <t>C-10307</t>
  </si>
  <si>
    <t>C-10308</t>
  </si>
  <si>
    <t>C-10309</t>
  </si>
  <si>
    <t>C-10310</t>
  </si>
  <si>
    <t>C-10311</t>
  </si>
  <si>
    <t>C-10312</t>
  </si>
  <si>
    <t>C-10313</t>
  </si>
  <si>
    <t>C-10314</t>
  </si>
  <si>
    <t>C-10315</t>
  </si>
  <si>
    <t>C-10316</t>
  </si>
  <si>
    <t>C-10317</t>
  </si>
  <si>
    <t>C-10318</t>
  </si>
  <si>
    <t>C-10319</t>
  </si>
  <si>
    <t>C-10320</t>
  </si>
  <si>
    <t>C-10321</t>
  </si>
  <si>
    <t>C-10322</t>
  </si>
  <si>
    <t>C-10323</t>
  </si>
  <si>
    <t>C-10324</t>
  </si>
  <si>
    <t>C-10325</t>
  </si>
  <si>
    <t>C-10326</t>
  </si>
  <si>
    <t>C-10327</t>
  </si>
  <si>
    <t>C-10328</t>
  </si>
  <si>
    <t>C-10329</t>
  </si>
  <si>
    <t>C-10330</t>
  </si>
  <si>
    <t>C-10331</t>
  </si>
  <si>
    <t>C-10332</t>
  </si>
  <si>
    <t>C-10333</t>
  </si>
  <si>
    <t>C-10334</t>
  </si>
  <si>
    <t>C-10335</t>
  </si>
  <si>
    <t>C-10336</t>
  </si>
  <si>
    <t>C-10337</t>
  </si>
  <si>
    <t>C-10338</t>
  </si>
  <si>
    <t>C-10339</t>
  </si>
  <si>
    <t>C-10340</t>
  </si>
  <si>
    <t>C-10341</t>
  </si>
  <si>
    <t>C-10342</t>
  </si>
  <si>
    <t>C-10343</t>
  </si>
  <si>
    <t>C-10344</t>
  </si>
  <si>
    <t>C-10345</t>
  </si>
  <si>
    <t>C-10346</t>
  </si>
  <si>
    <t>C-10347</t>
  </si>
  <si>
    <t>C-10348</t>
  </si>
  <si>
    <t>C-10349</t>
  </si>
  <si>
    <t>C-10350</t>
  </si>
  <si>
    <t>C-10351</t>
  </si>
  <si>
    <t>C-10352</t>
  </si>
  <si>
    <t>C-10353</t>
  </si>
  <si>
    <t>C-10354</t>
  </si>
  <si>
    <t>C-10355</t>
  </si>
  <si>
    <t>Missing Hire Dates</t>
  </si>
  <si>
    <t>C-10356</t>
  </si>
  <si>
    <t>C-10357</t>
  </si>
  <si>
    <t>Missing Offer Dates</t>
  </si>
  <si>
    <t>C-10358</t>
  </si>
  <si>
    <t>Duplicate Candidates</t>
  </si>
  <si>
    <t>C-10359</t>
  </si>
  <si>
    <t>Date Logic Errors</t>
  </si>
  <si>
    <t>C-10360</t>
  </si>
  <si>
    <t>Total Rows</t>
  </si>
  <si>
    <t>C-10361</t>
  </si>
  <si>
    <t>Data Health Percentage</t>
  </si>
  <si>
    <t>C-10362</t>
  </si>
  <si>
    <t>C-10363</t>
  </si>
  <si>
    <t>Issue Summary Table</t>
  </si>
  <si>
    <t>C-10364</t>
  </si>
  <si>
    <t>Issue</t>
  </si>
  <si>
    <t>C-10365</t>
  </si>
  <si>
    <t>C-10366</t>
  </si>
  <si>
    <t>C-10367</t>
  </si>
  <si>
    <t>C-10368</t>
  </si>
  <si>
    <t>C-10369</t>
  </si>
  <si>
    <t>C-10370</t>
  </si>
  <si>
    <t>C-10371</t>
  </si>
  <si>
    <t>C-10372</t>
  </si>
  <si>
    <t>C-10373</t>
  </si>
  <si>
    <t>C-10374</t>
  </si>
  <si>
    <t>C-10375</t>
  </si>
  <si>
    <t>C-10376</t>
  </si>
  <si>
    <t>C-10377</t>
  </si>
  <si>
    <t>C-10378</t>
  </si>
  <si>
    <t>C-10379</t>
  </si>
  <si>
    <t>C-10380</t>
  </si>
  <si>
    <t>C-10381</t>
  </si>
  <si>
    <t>C-10382</t>
  </si>
  <si>
    <t>C-10383</t>
  </si>
  <si>
    <t>C-10384</t>
  </si>
  <si>
    <t>C-10385</t>
  </si>
  <si>
    <t>C-10386</t>
  </si>
  <si>
    <t>C-10387</t>
  </si>
  <si>
    <t>C-10388</t>
  </si>
  <si>
    <t>C-10389</t>
  </si>
  <si>
    <t>C-10390</t>
  </si>
  <si>
    <t>C-10391</t>
  </si>
  <si>
    <t>C-10392</t>
  </si>
  <si>
    <t>C-10393</t>
  </si>
  <si>
    <t>C-10394</t>
  </si>
  <si>
    <t>C-10395</t>
  </si>
  <si>
    <t>C-10396</t>
  </si>
  <si>
    <t>C-10397</t>
  </si>
  <si>
    <t>C-10398</t>
  </si>
  <si>
    <t>C-10399</t>
  </si>
  <si>
    <t>C-10400</t>
  </si>
  <si>
    <t>Week_Of</t>
  </si>
  <si>
    <t>Open_Reqs</t>
  </si>
  <si>
    <t>Avg_Time_To_Fill</t>
  </si>
  <si>
    <t>Offer_Acceptance</t>
  </si>
  <si>
    <t>Funnel_Conversion</t>
  </si>
  <si>
    <t>Headcount_vs_Plan</t>
  </si>
  <si>
    <t>HEADLINE
The main takeaway is that we have not made any hires this week, and our average time to fill a position is approximately 43 days.
WHAT CHANGED
There were no changes in the number of open requisitions, hires, or time to fill from last week, with no hires and no movement in time to fill.
RISKS
Our headcount is currently at 72.5% of plan, which may indicate a risk in meeting our hiring targets, and our offer acceptance rate of 55.2% may also be a concern.
OPPORTUNITIES
Our funnel conversion rate of 16.0% presents an opportunity to improve our hiring process and increase the number of candidates moving through the funnel to become hires.</t>
  </si>
  <si>
    <t>Current Stage</t>
  </si>
  <si>
    <t>Candidate Type</t>
  </si>
  <si>
    <t>On Hold</t>
  </si>
  <si>
    <t>Cancelled</t>
  </si>
  <si>
    <t>New Grad</t>
  </si>
  <si>
    <t>Timestamp</t>
  </si>
  <si>
    <t>Message</t>
  </si>
  <si>
    <t>Status</t>
  </si>
  <si>
    <t>FAILED: GROQ_API_KEY not set in Script Properties</t>
  </si>
  <si>
    <t>SUCCESS: https://docs.google.com/presentation/d/12zFvpRBC_SNm5YSE7_PdMAICt-F6SnL_5bb4sF3SLY8/edit?usp=drivesdk</t>
  </si>
  <si>
    <t>SUCCESS: https://docs.google.com/presentation/d/1Jw38XcJQm789TjsqCVyGyRcHfbfDAbx7a63OmJfAaow/edit?usp=drivesdk</t>
  </si>
  <si>
    <t>SUCCESS: https://docs.google.com/presentation/d/1ELYUV8x6XaJSB4odKTemYOrwVf31Ee0084ITcb40Fus/edit?usp=drivesdk</t>
  </si>
  <si>
    <t>SUCCESS: https://docs.google.com/presentation/d/1gFQwxIDBwxPNJ7s2uyUN0-FGk-iHNGAVhY5_YVE0-Hw/edit?usp=drivesdk</t>
  </si>
  <si>
    <t>SUCCESS: https://docs.google.com/presentation/d/1bYVtEbOj31iyDAHA1qUh6vx1ll-3Hz1qnr7UexlFEAE/edit?usp=drivesdk</t>
  </si>
  <si>
    <t>SUCCESS: https://docs.google.com/presentation/d/1wADLyT8zBTWbuAruTnyfoCUrYueP59gLLeuCaJL5QP4/edit?usp=drivesdk</t>
  </si>
  <si>
    <t>SUCCESS: https://docs.google.com/presentation/d/17Fp350S_yDTGH4hhu3xM_CfhZbiMWp4E2K1zjzjvTWA/edit?usp=drivesdk</t>
  </si>
  <si>
    <t>SUCCESS: https://docs.google.com/presentation/d/1v0Qu-IgHo6w3mJfJAuJt6XBIH-a33ALRaxzWTlNHnKo/edit?usp=drivesdk</t>
  </si>
  <si>
    <t>SUCCESS: https://docs.google.com/presentation/d/1w5oOnYNAf1PbW97iaIUgH69SxYwpgwFvnKJwIDfZP-w/edit?usp=drivesdk</t>
  </si>
  <si>
    <t>SUCCESS: https://docs.google.com/presentation/d/1DRM7pzSMejmT57BIB9jVKRyhVLLOh7Fqbat8svXc8L8/edit?usp=drivesdk</t>
  </si>
  <si>
    <t>SUCCESS: https://docs.google.com/presentation/d/19CCr58N3AchptJ5yvUJZLBSjQqr2guH9cc2JTBF_W2c/edit?usp=drivesdk</t>
  </si>
  <si>
    <t>SUCCESS: https://docs.google.com/presentation/d/1m4UtZnPKHdmjlC-OLRqiIF1o1Z_X3DL0M4b1GdTmvYY/edit?usp=drivesdk</t>
  </si>
  <si>
    <t xml:space="preserve">FAILED: Groq error: {"error":{"message":"The model `llama-3.3-70b-versatile` does not exist or you do not have access to it.","type":"invalid_request_error","code":"model_not_found"}}
</t>
  </si>
  <si>
    <t>Median Time To Fill</t>
  </si>
  <si>
    <t>TTF By Department</t>
  </si>
  <si>
    <t>TTF By Region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</si>
</sst>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
    <numFmt numFmtId="166" formatCode="mm&quot;-&quot;dd&quot;-&quot;yyyy"/>
    <numFmt numFmtId="167" formatCode="m/d/yyyy h:mm:ss"/>
  </numFmts>
  <fonts count="3">
    <font>
      <sz val="10.0"/>
      <color rgb="FF000000"/>
      <name val="Arial"/>
      <scheme val="minor"/>
    </font>
    <font>
      <b/>
      <sz val="10.0"/>
      <color rgb="FFFFFFFF"/>
      <name val="Roboto"/>
    </font>
    <font>
      <color theme="1"/>
      <name val="Arial"/>
      <scheme val="minor"/>
    </font>
  </fonts>
  <fills count="3">
    <fill>
      <patternFill patternType="none"/>
    </fill>
    <fill>
      <patternFill patternType="lightGray"/>
    </fill>
    <fill>
      <patternFill patternType="solid">
        <fgColor rgb="FF33618C"/>
        <bgColor rgb="FF33618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2" fontId="1" numFmtId="0" xfId="0" applyAlignment="1" applyFill="1" applyFont="1">
      <alignment horizontal="right" readingOrder="0"/>
    </xf>
    <xf borderId="0" fillId="0" fontId="2" numFmtId="164" xfId="0" applyFont="1" applyNumberFormat="1"/>
    <xf borderId="0" fillId="0" fontId="2" numFmtId="0" xfId="0" applyAlignment="1" applyFont="1">
      <alignment horizontal="right"/>
    </xf>
    <xf borderId="0" fillId="0" fontId="2" numFmtId="165" xfId="0" applyFont="1" applyNumberFormat="1"/>
    <xf borderId="0" fillId="0" fontId="2" numFmtId="0" xfId="0" applyAlignment="1" applyFont="1">
      <alignment readingOrder="0"/>
    </xf>
    <xf borderId="0" fillId="0" fontId="2" numFmtId="166" xfId="0" applyAlignment="1" applyFont="1" applyNumberFormat="1">
      <alignment readingOrder="0"/>
    </xf>
    <xf borderId="0" fillId="0" fontId="2" numFmtId="10" xfId="0" applyAlignment="1" applyFont="1" applyNumberFormat="1">
      <alignment readingOrder="0"/>
    </xf>
    <xf borderId="0" fillId="0" fontId="2" numFmtId="167" xfId="0" applyAlignment="1" applyFont="1" applyNumberFormat="1">
      <alignment readingOrder="0"/>
    </xf>
    <xf borderId="0" fillId="0" fontId="2" numFmtId="166" xfId="0" applyFont="1" applyNumberFormat="1"/>
    <xf borderId="0" fillId="0" fontId="2" numFmtId="10" xfId="0" applyFont="1" applyNumberFormat="1"/>
  </cellXfs>
  <cellStyles count="1">
    <cellStyle xfId="0" name="Normal" builtinId="0"/>
  </cellStyles>
  <dxfs count="4">
    <dxf>
      <font/>
      <fill>
        <patternFill patternType="none"/>
      </fill>
      <border/>
    </dxf>
    <dxf>
      <font/>
      <fill>
        <patternFill patternType="solid">
          <fgColor rgb="FFCCE5CC"/>
          <bgColor rgb="FFCCE5CC"/>
        </patternFill>
      </fill>
      <border/>
    </dxf>
    <dxf>
      <font/>
      <fill>
        <patternFill patternType="solid">
          <fgColor rgb="FFFFE5B2"/>
          <bgColor rgb="FFFFE5B2"/>
        </patternFill>
      </fill>
      <border/>
    </dxf>
    <dxf>
      <font/>
      <fill>
        <patternFill patternType="solid">
          <fgColor rgb="FFE5B2B2"/>
          <bgColor rgb="FFE5B2B2"/>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Open Requisitions Placeholder</a:t>
            </a:r>
          </a:p>
        </c:rich>
      </c:tx>
      <c:overlay val="0"/>
    </c:title>
    <c:plotArea>
      <c:layout/>
      <c:barChart>
        <c:barDir val="col"/>
        <c:ser>
          <c:idx val="0"/>
          <c:order val="0"/>
          <c:spPr>
            <a:solidFill>
              <a:schemeClr val="accent1"/>
            </a:solidFill>
            <a:ln cmpd="sng">
              <a:noFill/>
            </a:ln>
          </c:spPr>
          <c:cat>
            <c:strRef>
              <c:f>Exec_Overview!$A$2</c:f>
            </c:strRef>
          </c:cat>
          <c:val>
            <c:numRef>
              <c:f>Exec_Overview!$B$2</c:f>
              <c:numCache/>
            </c:numRef>
          </c:val>
        </c:ser>
        <c:axId val="1700417004"/>
        <c:axId val="1349519659"/>
      </c:barChart>
      <c:catAx>
        <c:axId val="1700417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9519659"/>
      </c:catAx>
      <c:valAx>
        <c:axId val="1349519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04170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Hires This Week Placeholder</a:t>
            </a:r>
          </a:p>
        </c:rich>
      </c:tx>
      <c:overlay val="0"/>
    </c:title>
    <c:plotArea>
      <c:layout/>
      <c:barChart>
        <c:barDir val="col"/>
        <c:ser>
          <c:idx val="0"/>
          <c:order val="0"/>
          <c:spPr>
            <a:solidFill>
              <a:schemeClr val="accent1"/>
            </a:solidFill>
            <a:ln cmpd="sng">
              <a:noFill/>
            </a:ln>
          </c:spPr>
          <c:cat>
            <c:strRef>
              <c:f>Exec_Overview!$A$3</c:f>
            </c:strRef>
          </c:cat>
          <c:val>
            <c:numRef>
              <c:f>Exec_Overview!$B$3</c:f>
              <c:numCache/>
            </c:numRef>
          </c:val>
        </c:ser>
        <c:axId val="651224727"/>
        <c:axId val="1702069299"/>
      </c:barChart>
      <c:catAx>
        <c:axId val="651224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2069299"/>
      </c:catAx>
      <c:valAx>
        <c:axId val="1702069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12247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Funnel Visualization</a:t>
            </a:r>
          </a:p>
        </c:rich>
      </c:tx>
      <c:overlay val="0"/>
    </c:title>
    <c:plotArea>
      <c:layout/>
      <c:barChart>
        <c:barDir val="bar"/>
        <c:ser>
          <c:idx val="0"/>
          <c:order val="0"/>
          <c:spPr>
            <a:solidFill>
              <a:schemeClr val="accent1"/>
            </a:solidFill>
            <a:ln cmpd="sng">
              <a:noFill/>
            </a:ln>
          </c:spPr>
          <c:cat>
            <c:strRef>
              <c:f>Funnel!$A$2:$A$6</c:f>
            </c:strRef>
          </c:cat>
          <c:val>
            <c:numRef>
              <c:f>Funnel!$B$2:$B$6</c:f>
              <c:numCache/>
            </c:numRef>
          </c:val>
        </c:ser>
        <c:axId val="1309959263"/>
        <c:axId val="595607819"/>
      </c:barChart>
      <c:catAx>
        <c:axId val="13099592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5607819"/>
      </c:catAx>
      <c:valAx>
        <c:axId val="5956078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9959263"/>
        <c:crosses val="max"/>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Headcount by Department</a:t>
            </a:r>
          </a:p>
        </c:rich>
      </c:tx>
      <c:overlay val="0"/>
    </c:title>
    <c:plotArea>
      <c:layout/>
      <c:barChart>
        <c:barDir val="col"/>
        <c:grouping val="stacked"/>
        <c:ser>
          <c:idx val="0"/>
          <c:order val="0"/>
          <c:spPr>
            <a:solidFill>
              <a:schemeClr val="accent1"/>
            </a:solidFill>
            <a:ln cmpd="sng">
              <a:noFill/>
            </a:ln>
          </c:spPr>
          <c:cat>
            <c:strRef>
              <c:f>Pivots!$A$1:$A$10</c:f>
            </c:strRef>
          </c:cat>
          <c:val>
            <c:numRef>
              <c:f>Pivots!$B$1:$B$10</c:f>
              <c:numCache/>
            </c:numRef>
          </c:val>
        </c:ser>
        <c:ser>
          <c:idx val="1"/>
          <c:order val="1"/>
          <c:cat>
            <c:strRef>
              <c:f>Pivots!$A$1:$A$10</c:f>
            </c:strRef>
          </c:cat>
          <c:val>
            <c:numRef>
              <c:f>Pivots!$C$1:$C$10</c:f>
              <c:numCache/>
            </c:numRef>
          </c:val>
        </c:ser>
        <c:overlap val="100"/>
        <c:axId val="322056169"/>
        <c:axId val="1382650256"/>
      </c:barChart>
      <c:catAx>
        <c:axId val="322056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82650256"/>
      </c:catAx>
      <c:valAx>
        <c:axId val="13826502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205616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Regional Comparison</a:t>
            </a:r>
          </a:p>
        </c:rich>
      </c:tx>
      <c:overlay val="0"/>
    </c:title>
    <c:plotArea>
      <c:layout/>
      <c:barChart>
        <c:barDir val="col"/>
        <c:ser>
          <c:idx val="0"/>
          <c:order val="0"/>
          <c:spPr>
            <a:solidFill>
              <a:schemeClr val="accent1"/>
            </a:solidFill>
            <a:ln cmpd="sng">
              <a:noFill/>
            </a:ln>
          </c:spPr>
          <c:cat>
            <c:strRef>
              <c:f>Regional!$A$1:$A$5</c:f>
            </c:strRef>
          </c:cat>
          <c:val>
            <c:numRef>
              <c:f>Regional!$B$1:$B$5</c:f>
              <c:numCache/>
            </c:numRef>
          </c:val>
        </c:ser>
        <c:ser>
          <c:idx val="1"/>
          <c:order val="1"/>
          <c:spPr>
            <a:solidFill>
              <a:schemeClr val="accent2"/>
            </a:solidFill>
            <a:ln cmpd="sng">
              <a:noFill/>
            </a:ln>
          </c:spPr>
          <c:cat>
            <c:strRef>
              <c:f>Regional!$A$1:$A$5</c:f>
            </c:strRef>
          </c:cat>
          <c:val>
            <c:numRef>
              <c:f>Regional!$C$1:$C$5</c:f>
              <c:numCache/>
            </c:numRef>
          </c:val>
        </c:ser>
        <c:axId val="1393045149"/>
        <c:axId val="1196523714"/>
      </c:barChart>
      <c:catAx>
        <c:axId val="1393045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6523714"/>
      </c:catAx>
      <c:valAx>
        <c:axId val="1196523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3045149"/>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Source Ranking</a:t>
            </a:r>
          </a:p>
        </c:rich>
      </c:tx>
      <c:overlay val="0"/>
    </c:title>
    <c:plotArea>
      <c:layout/>
      <c:barChart>
        <c:barDir val="bar"/>
        <c:ser>
          <c:idx val="0"/>
          <c:order val="0"/>
          <c:spPr>
            <a:solidFill>
              <a:schemeClr val="accent1"/>
            </a:solidFill>
            <a:ln cmpd="sng">
              <a:noFill/>
            </a:ln>
          </c:spPr>
          <c:cat>
            <c:strRef>
              <c:f>Source!$A$1:$A$7</c:f>
            </c:strRef>
          </c:cat>
          <c:val>
            <c:numRef>
              <c:f>Source!$C$1:$C$7</c:f>
              <c:numCache/>
            </c:numRef>
          </c:val>
        </c:ser>
        <c:axId val="774304709"/>
        <c:axId val="1237961725"/>
      </c:barChart>
      <c:catAx>
        <c:axId val="77430470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Source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7961725"/>
      </c:catAx>
      <c:valAx>
        <c:axId val="12379617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4304709"/>
        <c:crosses val="max"/>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Trend chart by week</a:t>
            </a:r>
          </a:p>
        </c:rich>
      </c:tx>
      <c:overlay val="0"/>
    </c:title>
    <c:plotArea>
      <c:layout/>
      <c:lineChart>
        <c:varyColors val="0"/>
        <c:ser>
          <c:idx val="0"/>
          <c:order val="0"/>
          <c:spPr>
            <a:ln cmpd="sng">
              <a:solidFill>
                <a:srgbClr val="4285F4"/>
              </a:solidFill>
            </a:ln>
          </c:spPr>
          <c:marker>
            <c:symbol val="none"/>
          </c:marker>
          <c:cat>
            <c:strRef>
              <c:f>Time_to_Fill!$A$5:$A$9</c:f>
            </c:strRef>
          </c:cat>
          <c:val>
            <c:numRef>
              <c:f>Time_to_Fill!$B$5:$B$9</c:f>
              <c:numCache/>
            </c:numRef>
          </c:val>
          <c:smooth val="0"/>
        </c:ser>
        <c:axId val="68556112"/>
        <c:axId val="2050989882"/>
      </c:lineChart>
      <c:catAx>
        <c:axId val="68556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0989882"/>
      </c:catAx>
      <c:valAx>
        <c:axId val="2050989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556112"/>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2857500" cy="1905000"/>
    <xdr:graphicFrame>
      <xdr:nvGraphicFramePr>
        <xdr:cNvPr id="1" name="Chart 1" title="Open Requisitions Placeholder"/>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9</xdr:row>
      <xdr:rowOff>0</xdr:rowOff>
    </xdr:from>
    <xdr:ext cx="2857500" cy="1905000"/>
    <xdr:graphicFrame>
      <xdr:nvGraphicFramePr>
        <xdr:cNvPr id="2" name="Chart 2" title="Hires This Week Placeholder"/>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5715000" cy="3810000"/>
    <xdr:graphicFrame>
      <xdr:nvGraphicFramePr>
        <xdr:cNvPr id="3" name="Chart 3" title="Funnel Visualizati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5715000" cy="3810000"/>
    <xdr:graphicFrame>
      <xdr:nvGraphicFramePr>
        <xdr:cNvPr id="4" name="Chart 4" title="Headcount by Departmen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0</xdr:rowOff>
    </xdr:from>
    <xdr:ext cx="5715000" cy="3810000"/>
    <xdr:graphicFrame>
      <xdr:nvGraphicFramePr>
        <xdr:cNvPr id="5" name="Chart 5" title="Regional Comparis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5715000" cy="3810000"/>
    <xdr:graphicFrame>
      <xdr:nvGraphicFramePr>
        <xdr:cNvPr id="6" name="Chart 6" title="Source Ranking"/>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5715000" cy="3810000"/>
    <xdr:pic>
      <xdr:nvPicPr>
        <xdr:cNvPr id="2141736393" name="Chart7" title="Time to Fill Histo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xdr:row>
      <xdr:rowOff>0</xdr:rowOff>
    </xdr:from>
    <xdr:ext cx="5715000" cy="3810000"/>
    <xdr:graphicFrame>
      <xdr:nvGraphicFramePr>
        <xdr:cNvPr id="8" name="Chart 8" title="Trend chart by week"/>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9" sheet="Recruiting_Data"/>
  </cacheSource>
  <cacheFields>
    <cacheField name="Candidate_ID" numFmtId="0">
      <sharedItems>
        <s v="C-10001"/>
        <s v="C-10002"/>
        <s v="C-10003"/>
        <s v="C-10004"/>
        <s v="C-10005"/>
        <s v="C-10006"/>
        <s v="C-10007"/>
        <s v="C-10008"/>
      </sharedItems>
    </cacheField>
    <cacheField name="Requisition_ID" numFmtId="0">
      <sharedItems>
        <s v="REQ-2026-0036"/>
        <s v="REQ-2026-0008"/>
        <s v="REQ-2026-0046"/>
        <s v="REQ-2026-0010"/>
        <s v="REQ-2026-0012"/>
        <s v="REQ-2026-0016"/>
      </sharedItems>
    </cacheField>
    <cacheField name="Team" numFmtId="0">
      <sharedItems>
        <s v="Data Science"/>
        <s v="Frontend"/>
        <s v="Backend"/>
        <s v="Marketing"/>
        <s v="Sales"/>
      </sharedItems>
    </cacheField>
    <cacheField name="Department" numFmtId="0">
      <sharedItems>
        <s v="Engineering"/>
        <s v="Marketing"/>
        <s v="Sales"/>
      </sharedItems>
    </cacheField>
    <cacheField name="Region" numFmtId="0">
      <sharedItems>
        <s v="EMEA"/>
        <s v="NA"/>
        <s v="LATAM"/>
        <s v="APAC"/>
      </sharedItems>
    </cacheField>
    <cacheField name="Recruiter" numFmtId="0">
      <sharedItems>
        <s v="Alice Smith"/>
        <s v="Bob Jones"/>
        <s v="Diana Prince"/>
        <s v="Charlie Brown"/>
      </sharedItems>
    </cacheField>
    <cacheField name="Hiring_Manager" numFmtId="0">
      <sharedItems>
        <s v="Manager 17"/>
        <s v="Manager 18"/>
        <s v="Manager 10"/>
        <s v="Manager 11"/>
        <s v="Manager 13"/>
        <s v="Manager 12"/>
      </sharedItems>
    </cacheField>
    <cacheField name="Source_of_Hire" numFmtId="0">
      <sharedItems>
        <s v="LinkedIn"/>
        <s v="University"/>
        <s v="Job Board"/>
        <s v="Referral"/>
        <s v="Agency"/>
      </sharedItems>
    </cacheField>
    <cacheField name="Candidate_Type" numFmtId="0">
      <sharedItems>
        <s v="Internal"/>
        <s v="External"/>
        <s v="Referral"/>
      </sharedItems>
    </cacheField>
    <cacheField name="Application_Date" numFmtId="164">
      <sharedItems containsSemiMixedTypes="0" containsDate="1" containsString="0">
        <d v="2026-03-24T00:00:00Z"/>
        <d v="2026-04-11T00:00:00Z"/>
        <d v="2026-03-12T00:00:00Z"/>
        <d v="2026-01-20T00:00:00Z"/>
        <d v="2026-03-29T00:00:00Z"/>
        <d v="2026-04-23T00:00:00Z"/>
        <d v="2026-04-03T00:00:00Z"/>
        <d v="2026-05-18T00:00:00Z"/>
      </sharedItems>
    </cacheField>
    <cacheField name="Phone_Screen_Date" numFmtId="164">
      <sharedItems containsDate="1" containsString="0" containsBlank="1">
        <d v="2026-03-31T00:00:00Z"/>
        <d v="2026-04-14T00:00:00Z"/>
        <d v="2026-03-16T00:00:00Z"/>
        <d v="2026-01-26T00:00:00Z"/>
        <m/>
        <d v="2026-04-27T00:00:00Z"/>
        <d v="2026-04-08T00:00:00Z"/>
        <d v="2026-05-24T00:00:00Z"/>
      </sharedItems>
    </cacheField>
    <cacheField name="Onsite_Date" numFmtId="164">
      <sharedItems containsDate="1" containsString="0" containsBlank="1">
        <d v="2026-04-14T00:00:00Z"/>
        <m/>
        <d v="2026-03-25T00:00:00Z"/>
        <d v="2026-02-09T00:00:00Z"/>
        <d v="2026-06-03T00:00:00Z"/>
      </sharedItems>
    </cacheField>
    <cacheField name="Offer_Date" numFmtId="164">
      <sharedItems containsDate="1" containsString="0" containsBlank="1">
        <d v="2026-04-24T00:00:00Z"/>
        <m/>
        <d v="2026-06-13T00:00:00Z"/>
      </sharedItems>
    </cacheField>
    <cacheField name="Hire_Date" numFmtId="164">
      <sharedItems containsDate="1" containsString="0" containsBlank="1">
        <d v="2026-05-18T00:00:00Z"/>
        <m/>
        <d v="2026-07-06T00:00:00Z"/>
      </sharedItems>
    </cacheField>
    <cacheField name="Current_Stage" numFmtId="0">
      <sharedItems>
        <s v="Hired"/>
        <s v="Screen"/>
        <s v="Onsite"/>
        <s v="Withdrawn"/>
      </sharedItems>
    </cacheField>
    <cacheField name="Req_Open_Date" numFmtId="164">
      <sharedItems containsSemiMixedTypes="0" containsDate="1" containsString="0">
        <d v="2026-03-21T00:00:00Z"/>
        <d v="2026-04-10T00:00:00Z"/>
        <d v="2026-03-12T00:00:00Z"/>
        <d v="2026-01-19T00:00:00Z"/>
        <d v="2026-03-24T00:00:00Z"/>
        <d v="2026-04-21T00:00:00Z"/>
        <d v="2026-04-01T00:00:00Z"/>
        <d v="2026-05-14T00:00:00Z"/>
      </sharedItems>
    </cacheField>
    <cacheField name="Time_to_Fill" numFmtId="0">
      <sharedItems containsString="0" containsBlank="1" containsNumber="1" containsInteger="1">
        <n v="58.0"/>
        <m/>
        <n v="53.0"/>
      </sharedItems>
    </cacheField>
    <cacheField name="Headcount_Status" numFmtId="0">
      <sharedItems>
        <s v="Filled"/>
        <s v="Ope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00" sheet="Recruiting_Data"/>
  </cacheSource>
  <cacheFields>
    <cacheField name="Candidate_ID" numFmtId="0">
      <sharedItems containsBlank="1">
        <s v="C-10001"/>
        <s v="C-10002"/>
        <s v="C-10003"/>
        <s v="C-10004"/>
        <s v="C-10005"/>
        <s v="C-10006"/>
        <s v="C-10007"/>
        <s v="C-10008"/>
        <s v="C-10009"/>
        <s v="C-1010"/>
        <s v="C-10011"/>
        <s v="C-10012"/>
        <s v="C-10013"/>
        <s v="C-10014"/>
        <s v="C-10015"/>
        <s v="C-10016"/>
        <s v="C-10017"/>
        <s v="C-10018"/>
        <s v="C-10019"/>
        <s v="C-10020"/>
        <s v="C-10021"/>
        <s v="C-10022"/>
        <s v="C-10023"/>
        <s v="C-10024"/>
        <s v="C-10025"/>
        <s v="C-10026"/>
        <s v="C-10027"/>
        <s v="C-10028"/>
        <s v="C-10029"/>
        <s v="C-10030"/>
        <s v="C-10031"/>
        <s v="C-10032"/>
        <s v="C-10033"/>
        <s v="C-10034"/>
        <s v="C-10035"/>
        <s v="C-10036"/>
        <s v="C-10037"/>
        <s v="C-10038"/>
        <s v="C-10039"/>
        <s v="C-10040"/>
        <s v="C-10041"/>
        <s v="C-10042"/>
        <s v="C-10043"/>
        <s v="C-10044"/>
        <s v="C-10045"/>
        <s v="C-10046"/>
        <s v="C-10047"/>
        <s v="C-10048"/>
        <s v="C-10049"/>
        <s v="C-10050"/>
        <s v="C-10051"/>
        <s v="C-10052"/>
        <s v="C-10053"/>
        <s v="C-10054"/>
        <s v="C-10055"/>
        <s v="C-10056"/>
        <s v="C-10057"/>
        <s v="C-10058"/>
        <s v="C-10059"/>
        <s v="C-10060"/>
        <s v="C-10061"/>
        <s v="C-10062"/>
        <s v="C-10063"/>
        <s v="C-10064"/>
        <s v="C-10065"/>
        <s v="C-10066"/>
        <s v="C-10067"/>
        <s v="C-10068"/>
        <s v="C-10069"/>
        <s v="C-10070"/>
        <s v="C-10071"/>
        <s v="C-10072"/>
        <s v="C-10073"/>
        <s v="C-10074"/>
        <s v="C-10075"/>
        <s v="C-10076"/>
        <s v="C-10077"/>
        <s v="C-10078"/>
        <s v="C-10079"/>
        <s v="C-10080"/>
        <s v="C-10081"/>
        <s v="C-10082"/>
        <s v="C-10083"/>
        <s v="C-10084"/>
        <s v="C-10085"/>
        <s v="C-10086"/>
        <s v="C-10087"/>
        <s v="C-10088"/>
        <s v="C-10089"/>
        <s v="C-10090"/>
        <s v="C-10091"/>
        <s v="C-10092"/>
        <s v="C-10093"/>
        <s v="C-10094"/>
        <s v="C-10095"/>
        <s v="C-10096"/>
        <s v="C-10097"/>
        <s v="C-10098"/>
        <s v="C-10099"/>
        <s v="C-10100"/>
        <s v="C-10101"/>
        <s v="C-10102"/>
        <s v="C-10103"/>
        <s v="C-10104"/>
        <s v="C-10105"/>
        <s v="C-10106"/>
        <s v="C-10107"/>
        <s v="C-10108"/>
        <s v="C-10109"/>
        <s v="C-10110"/>
        <s v="C-10111"/>
        <s v="C-10112"/>
        <s v="C-10113"/>
        <s v="C-10114"/>
        <s v="C-10115"/>
        <s v="C-10116"/>
        <s v="C-10117"/>
        <s v="C-10118"/>
        <s v="C-10119"/>
        <s v="C-10120"/>
        <s v="C-10121"/>
        <s v="C-10122"/>
        <s v="C-10123"/>
        <s v="C-10124"/>
        <s v="C-10125"/>
        <s v="C-10126"/>
        <s v="C-10127"/>
        <s v="C-10128"/>
        <s v="C-10129"/>
        <s v="C-10130"/>
        <s v="C-10131"/>
        <s v="C-10132"/>
        <s v="C-10133"/>
        <s v="C-10134"/>
        <s v="C-10135"/>
        <s v="C-10136"/>
        <s v="C-10137"/>
        <s v="C-10138"/>
        <s v="C-10139"/>
        <s v="C-10140"/>
        <s v="C-10141"/>
        <s v="C-10142"/>
        <s v="C-10143"/>
        <s v="C-10144"/>
        <s v="C-10145"/>
        <s v="C-10146"/>
        <s v="C-10147"/>
        <s v="C-10148"/>
        <s v="C-10149"/>
        <s v="C-10150"/>
        <s v="C-10151"/>
        <s v="C-10152"/>
        <s v="C-10153"/>
        <s v="C-10154"/>
        <s v="C-10155"/>
        <s v="C-10156"/>
        <s v="C-10157"/>
        <s v="C-10158"/>
        <s v="C-10159"/>
        <s v="C-10160"/>
        <s v="C-10161"/>
        <s v="C-10162"/>
        <s v="C-10163"/>
        <s v="C-10164"/>
        <s v="C-10165"/>
        <s v="C-10166"/>
        <s v="C-10167"/>
        <s v="C-10168"/>
        <s v="C-10169"/>
        <s v="C-10170"/>
        <s v="C-10171"/>
        <s v="C-10172"/>
        <s v="C-10173"/>
        <s v="C-10174"/>
        <s v="C-10175"/>
        <s v="C-10176"/>
        <s v="C-10177"/>
        <s v="C-10178"/>
        <s v="C-10179"/>
        <s v="C-10180"/>
        <s v="C-10181"/>
        <s v="C-10182"/>
        <s v="C-10183"/>
        <s v="C-10184"/>
        <s v="C-10185"/>
        <s v="C-10186"/>
        <s v="C-10187"/>
        <s v="C-10188"/>
        <s v="C-10189"/>
        <s v="C-10190"/>
        <s v="C-10191"/>
        <s v="C-10192"/>
        <s v="C-10193"/>
        <s v="C-10194"/>
        <s v="C-10195"/>
        <s v="C-10196"/>
        <s v="C-10197"/>
        <s v="C-10198"/>
        <s v="C-10199"/>
        <s v="C-10200"/>
        <s v="C-10201"/>
        <s v="C-10202"/>
        <s v="C-10203"/>
        <s v="C-10204"/>
        <s v="C-10205"/>
        <s v="C-10206"/>
        <s v="C-10207"/>
        <s v="C-10208"/>
        <s v="C-10209"/>
        <s v="C-10210"/>
        <s v="C-10211"/>
        <s v="C-10212"/>
        <s v="C-10213"/>
        <s v="C-10214"/>
        <s v="C-10215"/>
        <s v="C-10216"/>
        <s v="C-10217"/>
        <s v="C-10218"/>
        <s v="C-10219"/>
        <s v="C-10220"/>
        <s v="C-10221"/>
        <s v="C-10222"/>
        <s v="C-10223"/>
        <s v="C-10224"/>
        <s v="C-10225"/>
        <s v="C-10226"/>
        <s v="C-10227"/>
        <s v="C-10228"/>
        <s v="C-10229"/>
        <s v="C-10230"/>
        <s v="C-10231"/>
        <s v="C-10232"/>
        <s v="C-10233"/>
        <s v="C-10234"/>
        <s v="C-10235"/>
        <s v="C-10236"/>
        <s v="C-10237"/>
        <s v="C-10238"/>
        <s v="C-10239"/>
        <s v="C-10240"/>
        <s v="C-10241"/>
        <s v="C-10242"/>
        <s v="C-10243"/>
        <s v="C-10244"/>
        <s v="C-10245"/>
        <s v="C-10246"/>
        <s v="C-10247"/>
        <s v="C-10248"/>
        <s v="C-10249"/>
        <s v="C-10250"/>
        <s v="C-10251"/>
        <s v="C-10252"/>
        <s v="C-10253"/>
        <s v="C-10254"/>
        <s v="C-10255"/>
        <s v="C-10256"/>
        <s v="C-10257"/>
        <s v="C-10258"/>
        <s v="C-10259"/>
        <s v="C-10260"/>
        <s v="C-10261"/>
        <s v="C-10262"/>
        <s v="C-10263"/>
        <s v="C-10264"/>
        <s v="C-10265"/>
        <s v="C-10266"/>
        <s v="C-10267"/>
        <s v="C-10268"/>
        <s v="C-10269"/>
        <s v="C-10270"/>
        <s v="C-10271"/>
        <s v="C-10272"/>
        <s v="C-10273"/>
        <s v="C-10274"/>
        <s v="C-10275"/>
        <s v="C-10276"/>
        <s v="C-10277"/>
        <s v="C-10278"/>
        <s v="C-10279"/>
        <s v="C-10280"/>
        <s v="C-10281"/>
        <s v="C-10282"/>
        <s v="C-10283"/>
        <s v="C-10284"/>
        <s v="C-10285"/>
        <s v="C-10286"/>
        <s v="C-10287"/>
        <s v="C-10288"/>
        <s v="C-10289"/>
        <s v="C-10290"/>
        <s v="C-10291"/>
        <s v="C-10292"/>
        <s v="C-10293"/>
        <s v="C-10294"/>
        <s v="C-10295"/>
        <s v="C-10296"/>
        <s v="C-10297"/>
        <s v="C-10298"/>
        <s v="C-10299"/>
        <s v="C-10300"/>
        <s v="C-10301"/>
        <s v="C-10302"/>
        <s v="C-10303"/>
        <s v="C-10304"/>
        <s v="C-10305"/>
        <s v="C-10306"/>
        <s v="C-10307"/>
        <s v="C-10308"/>
        <s v="C-10309"/>
        <s v="C-10310"/>
        <s v="C-10311"/>
        <s v="C-10312"/>
        <s v="C-10313"/>
        <s v="C-10314"/>
        <s v="C-10315"/>
        <s v="C-10316"/>
        <s v="C-10317"/>
        <s v="C-10318"/>
        <s v="C-10319"/>
        <s v="C-10320"/>
        <s v="C-10321"/>
        <s v="C-10322"/>
        <s v="C-10323"/>
        <s v="C-10324"/>
        <s v="C-10325"/>
        <s v="C-10326"/>
        <s v="C-10327"/>
        <s v="C-10328"/>
        <s v="C-10329"/>
        <s v="C-10330"/>
        <s v="C-10331"/>
        <s v="C-10332"/>
        <s v="C-10333"/>
        <s v="C-10334"/>
        <s v="C-10335"/>
        <s v="C-10336"/>
        <s v="C-10337"/>
        <s v="C-10338"/>
        <s v="C-10339"/>
        <s v="C-10340"/>
        <s v="C-10341"/>
        <s v="C-10342"/>
        <s v="C-10343"/>
        <s v="C-10344"/>
        <s v="C-10345"/>
        <s v="C-10346"/>
        <s v="C-10347"/>
        <s v="C-10348"/>
        <s v="C-10349"/>
        <s v="C-10350"/>
        <s v="C-10351"/>
        <s v="C-10352"/>
        <s v="C-10353"/>
        <s v="C-10354"/>
        <s v="C-10355"/>
        <s v="C-10356"/>
        <s v="C-10357"/>
        <s v="C-10358"/>
        <s v="C-10359"/>
        <s v="C-10360"/>
        <s v="C-10361"/>
        <s v="C-10362"/>
        <s v="C-10363"/>
        <s v="C-10364"/>
        <s v="C-10365"/>
        <s v="C-10366"/>
        <s v="C-10367"/>
        <s v="C-10368"/>
        <s v="C-10369"/>
        <s v="C-10370"/>
        <s v="C-10371"/>
        <s v="C-10372"/>
        <s v="C-10373"/>
        <s v="C-10374"/>
        <s v="C-10375"/>
        <s v="C-10376"/>
        <s v="C-10377"/>
        <s v="C-10378"/>
        <s v="C-10379"/>
        <s v="C-10380"/>
        <s v="C-10381"/>
        <s v="C-10382"/>
        <s v="C-10383"/>
        <s v="C-10384"/>
        <s v="C-10385"/>
        <s v="C-10386"/>
        <s v="C-10387"/>
        <s v="C-10388"/>
        <s v="C-10389"/>
        <s v="C-10390"/>
        <s v="C-10391"/>
        <s v="C-10392"/>
        <s v="C-10393"/>
        <s v="C-10394"/>
        <s v="C-10395"/>
        <s v="C-10396"/>
        <s v="C-10397"/>
        <s v="C-10398"/>
        <s v="C-10399"/>
        <s v="C-10400"/>
        <m/>
      </sharedItems>
    </cacheField>
    <cacheField name="Requisition_ID" numFmtId="0">
      <sharedItems containsBlank="1">
        <s v="REQ-2026-0036"/>
        <s v="REQ-2026-0008"/>
        <s v="REQ-2026-0046"/>
        <s v="REQ-2026-0010"/>
        <s v="REQ-2026-0012"/>
        <s v="REQ-2026-0016"/>
        <s v="REQ-2026-0004"/>
        <s v="REQ-2026-0034"/>
        <s v="REQ-2026-0001"/>
        <s v="REQ-2026-0023"/>
        <s v="REQ-2026-0017"/>
        <s v="REQ-2026-0041"/>
        <s v="REQ-2026-0029"/>
        <s v="REQ-2026-0030"/>
        <s v="REQ-2026-0044"/>
        <s v="REQ-2026-0043"/>
        <s v="REQ-2026-0032"/>
        <s v="REQ-2026-0031"/>
        <s v="REQ-2026-0050"/>
        <s v="REQ-2026-0042"/>
        <s v="REQ-2026-0045"/>
        <s v="REQ-2026-0035"/>
        <s v="REQ-2026-0006"/>
        <s v="REQ-2026-0038"/>
        <s v="REQ-2026-0005"/>
        <s v="REQ-2026-0020"/>
        <s v="REQ-2026-0039"/>
        <s v="REQ-2026-0024"/>
        <s v="REQ-2026-0011"/>
        <s v="REQ-2026-0027"/>
        <s v="REQ-2026-0021"/>
        <s v="REQ-2026-0007"/>
        <s v="REQ-2026-0049"/>
        <s v="REQ-2026-0025"/>
        <s v="REQ-2026-0014"/>
        <s v="REQ-2026-0048"/>
        <s v="REQ-2026-0037"/>
        <s v="REQ-2026-0026"/>
        <s v="REQ-2026-0015"/>
        <s v="REQ-2026-0009"/>
        <s v="REQ-2026-0013"/>
        <s v="REQ-2026-0019"/>
        <s v="REQ-2026-0018"/>
        <s v="REQ-2026-0040"/>
        <s v="REQ-2026-0047"/>
        <s v="REQ-2026-0033"/>
        <s v="REQ-2026-0003"/>
        <s v="REQ-2026-0022"/>
        <s v="REQ-2026-0002"/>
        <s v="REQ-2026-0028"/>
        <m/>
      </sharedItems>
    </cacheField>
    <cacheField name="Team" numFmtId="0">
      <sharedItems containsBlank="1">
        <s v="Data Science"/>
        <s v="Frontend"/>
        <s v="Backend"/>
        <s v="Marketing"/>
        <s v="Sales"/>
        <s v="HR"/>
        <s v="Finance"/>
        <s v="Product"/>
        <m/>
      </sharedItems>
    </cacheField>
    <cacheField name="Department" numFmtId="0">
      <sharedItems containsBlank="1">
        <s v="Engineering"/>
        <s v="Marketing"/>
        <s v="Sales"/>
        <s v="G&amp;A"/>
        <s v="Product"/>
        <m/>
      </sharedItems>
    </cacheField>
    <cacheField name="Region" numFmtId="0">
      <sharedItems containsBlank="1">
        <s v="EMEA"/>
        <s v="NA"/>
        <s v="LATAM"/>
        <s v="APAC"/>
        <m/>
      </sharedItems>
    </cacheField>
    <cacheField name="Recruiter" numFmtId="0">
      <sharedItems containsBlank="1">
        <s v="Alice Smith"/>
        <s v="Bob Jones"/>
        <s v="Diana Prince"/>
        <s v="Charlie Brown"/>
        <m/>
      </sharedItems>
    </cacheField>
    <cacheField name="Hiring_Manager" numFmtId="0">
      <sharedItems containsBlank="1">
        <s v="Manager 17"/>
        <s v="Manager 18"/>
        <s v="Manager 10"/>
        <s v="Manager 11"/>
        <s v="Manager 13"/>
        <s v="Manager 12"/>
        <s v="Manager 5"/>
        <s v="Manager 15"/>
        <s v="Manager 6"/>
        <s v="Manager 19"/>
        <s v="Manager 16"/>
        <s v="Manager 2"/>
        <s v="Manager 7"/>
        <s v="Manager 9"/>
        <s v="Manager 4"/>
        <s v="Manager 20"/>
        <s v="Manager 8"/>
        <s v="Manager 14"/>
        <s v="Manager 3"/>
        <s v="Manager 1"/>
        <m/>
      </sharedItems>
    </cacheField>
    <cacheField name="Source_of_Hire" numFmtId="0">
      <sharedItems containsBlank="1">
        <s v="LinkedIn"/>
        <s v="University"/>
        <s v="Job Board"/>
        <s v="Referral"/>
        <s v="Agency"/>
        <m/>
      </sharedItems>
    </cacheField>
    <cacheField name="Candidate_Type" numFmtId="0">
      <sharedItems containsBlank="1">
        <s v="Internal"/>
        <s v="External"/>
        <s v="Referral"/>
        <m/>
      </sharedItems>
    </cacheField>
    <cacheField name="Application_Date" numFmtId="164">
      <sharedItems containsDate="1" containsString="0" containsBlank="1">
        <d v="2026-03-24T00:00:00Z"/>
        <d v="2026-04-11T00:00:00Z"/>
        <d v="2026-03-12T00:00:00Z"/>
        <d v="2026-01-20T00:00:00Z"/>
        <d v="2026-03-29T00:00:00Z"/>
        <d v="2026-04-23T00:00:00Z"/>
        <d v="2026-04-03T00:00:00Z"/>
        <d v="2026-05-18T00:00:00Z"/>
        <d v="2026-03-17T00:00:00Z"/>
        <d v="2026-02-18T00:00:00Z"/>
        <d v="2026-02-22T00:00:00Z"/>
        <d v="2026-02-03T00:00:00Z"/>
        <d v="2026-04-01T00:00:00Z"/>
        <d v="2026-04-30T00:00:00Z"/>
        <d v="2026-04-27T00:00:00Z"/>
        <d v="2026-02-19T00:00:00Z"/>
        <d v="2026-02-04T00:00:00Z"/>
        <d v="2026-05-28T00:00:00Z"/>
        <d v="2026-01-19T00:00:00Z"/>
        <d v="2026-02-24T00:00:00Z"/>
        <d v="2026-01-25T00:00:00Z"/>
        <d v="2026-05-19T00:00:00Z"/>
        <d v="2026-03-02T00:00:00Z"/>
        <d v="2026-02-14T00:00:00Z"/>
        <d v="2026-02-16T00:00:00Z"/>
        <d v="2026-01-02T00:00:00Z"/>
        <d v="2026-04-09T00:00:00Z"/>
        <d v="2026-06-01T00:00:00Z"/>
        <d v="2026-02-20T00:00:00Z"/>
        <d v="2026-03-09T00:00:00Z"/>
        <d v="2026-05-27T00:00:00Z"/>
        <d v="2026-04-10T00:00:00Z"/>
        <d v="2026-04-05T00:00:00Z"/>
        <d v="2026-01-08T00:00:00Z"/>
        <d v="2026-05-11T00:00:00Z"/>
        <d v="2026-01-15T00:00:00Z"/>
        <d v="2026-06-05T00:00:00Z"/>
        <d v="2026-04-25T00:00:00Z"/>
        <d v="2026-03-28T00:00:00Z"/>
        <d v="2026-05-04T00:00:00Z"/>
        <d v="2026-03-25T00:00:00Z"/>
        <d v="2026-01-29T00:00:00Z"/>
        <d v="2026-03-15T00:00:00Z"/>
        <d v="2026-01-23T00:00:00Z"/>
        <d v="2026-03-31T00:00:00Z"/>
        <d v="2026-03-13T00:00:00Z"/>
        <d v="2026-05-21T00:00:00Z"/>
        <d v="2026-02-12T00:00:00Z"/>
        <d v="2026-02-26T00:00:00Z"/>
        <d v="2026-04-29T00:00:00Z"/>
        <d v="2026-05-03T00:00:00Z"/>
        <d v="2026-03-07T00:00:00Z"/>
        <d v="2026-04-13T00:00:00Z"/>
        <d v="2026-04-28T00:00:00Z"/>
        <d v="2026-05-16T00:00:00Z"/>
        <d v="2026-02-25T00:00:00Z"/>
        <d v="2026-01-16T00:00:00Z"/>
        <d v="2026-05-23T00:00:00Z"/>
        <d v="2026-01-21T00:00:00Z"/>
        <d v="2026-04-20T00:00:00Z"/>
        <d v="2026-04-22T00:00:00Z"/>
        <d v="2026-03-18T00:00:00Z"/>
        <d v="2026-03-06T00:00:00Z"/>
        <d v="2026-05-08T00:00:00Z"/>
        <d v="2026-06-03T00:00:00Z"/>
        <d v="2026-01-17T00:00:00Z"/>
        <d v="2026-02-27T00:00:00Z"/>
        <d v="2026-02-13T00:00:00Z"/>
        <d v="2026-02-21T00:00:00Z"/>
        <d v="2026-01-07T00:00:00Z"/>
        <d v="2026-02-10T00:00:00Z"/>
        <d v="2026-04-19T00:00:00Z"/>
        <d v="2026-03-27T00:00:00Z"/>
        <d v="2026-02-11T00:00:00Z"/>
        <d v="2026-02-05T00:00:00Z"/>
        <d v="2026-04-02T00:00:00Z"/>
        <d v="2026-01-26T00:00:00Z"/>
        <d v="2026-05-29T00:00:00Z"/>
        <d v="2026-05-15T00:00:00Z"/>
        <d v="2026-04-24T00:00:00Z"/>
        <d v="2026-01-10T00:00:00Z"/>
        <d v="2026-01-11T00:00:00Z"/>
        <d v="2026-05-06T00:00:00Z"/>
        <d v="2026-04-06T00:00:00Z"/>
        <d v="2026-04-16T00:00:00Z"/>
        <d v="2026-05-14T00:00:00Z"/>
        <d v="2026-03-01T00:00:00Z"/>
        <d v="2026-01-30T00:00:00Z"/>
        <d v="2026-03-03T00:00:00Z"/>
        <d v="2026-01-05T00:00:00Z"/>
        <d v="2026-03-05T00:00:00Z"/>
        <d v="2026-03-16T00:00:00Z"/>
        <d v="2026-04-14T00:00:00Z"/>
        <d v="2026-05-10T00:00:00Z"/>
        <d v="2026-01-27T00:00:00Z"/>
        <d v="2026-04-17T00:00:00Z"/>
        <d v="2026-04-04T00:00:00Z"/>
        <d v="2026-05-01T00:00:00Z"/>
        <d v="2026-01-24T00:00:00Z"/>
        <d v="2026-06-02T00:00:00Z"/>
        <d v="2026-03-20T00:00:00Z"/>
        <d v="2026-01-31T00:00:00Z"/>
        <d v="2026-02-01T00:00:00Z"/>
        <d v="2026-02-23T00:00:00Z"/>
        <d v="2026-03-11T00:00:00Z"/>
        <d v="2026-02-17T00:00:00Z"/>
        <d v="2026-05-12T00:00:00Z"/>
        <d v="2026-02-02T00:00:00Z"/>
        <d v="2026-04-08T00:00:00Z"/>
        <d v="2026-03-22T00:00:00Z"/>
        <d v="2026-03-30T00:00:00Z"/>
        <d v="2026-05-09T00:00:00Z"/>
        <d v="2026-01-04T00:00:00Z"/>
        <d v="2026-05-07T00:00:00Z"/>
        <d v="2026-01-22T00:00:00Z"/>
        <d v="2026-02-15T00:00:00Z"/>
        <d v="2026-01-14T00:00:00Z"/>
        <d v="2026-01-18T00:00:00Z"/>
        <d v="2026-05-22T00:00:00Z"/>
        <d v="2026-02-08T00:00:00Z"/>
        <d v="2026-04-07T00:00:00Z"/>
        <d v="2026-05-26T00:00:00Z"/>
        <d v="2026-05-05T00:00:00Z"/>
        <d v="2026-05-31T00:00:00Z"/>
        <d v="2026-03-14T00:00:00Z"/>
        <d v="2026-03-26T00:00:00Z"/>
        <d v="2026-03-21T00:00:00Z"/>
        <d v="2026-03-23T00:00:00Z"/>
        <d v="2026-05-25T00:00:00Z"/>
        <d v="2026-01-13T00:00:00Z"/>
        <d v="2026-01-06T00:00:00Z"/>
        <d v="2026-04-21T00:00:00Z"/>
        <d v="2026-01-12T00:00:00Z"/>
        <d v="2026-05-13T00:00:00Z"/>
        <d v="2026-02-09T00:00:00Z"/>
        <d v="2026-01-28T00:00:00Z"/>
        <d v="2026-05-02T00:00:00Z"/>
        <d v="2026-05-24T00:00:00Z"/>
        <d v="2026-03-08T00:00:00Z"/>
        <d v="2026-03-04T00:00:00Z"/>
        <d v="2026-04-18T00:00:00Z"/>
        <d v="2026-02-07T00:00:00Z"/>
        <d v="2026-05-20T00:00:00Z"/>
        <d v="2026-05-30T00:00:00Z"/>
        <d v="2026-03-10T00:00:00Z"/>
        <d v="2026-04-26T00:00:00Z"/>
        <m/>
      </sharedItems>
    </cacheField>
    <cacheField name="Phone_Screen_Date" numFmtId="164">
      <sharedItems containsDate="1" containsString="0" containsBlank="1">
        <d v="2026-03-31T00:00:00Z"/>
        <d v="2026-04-14T00:00:00Z"/>
        <d v="2026-03-16T00:00:00Z"/>
        <d v="2026-01-26T00:00:00Z"/>
        <m/>
        <d v="2026-04-27T00:00:00Z"/>
        <d v="2026-04-08T00:00:00Z"/>
        <d v="2026-05-24T00:00:00Z"/>
        <d v="2026-03-22T00:00:00Z"/>
        <d v="2026-02-23T00:00:00Z"/>
        <d v="2026-02-28T00:00:00Z"/>
        <d v="2026-02-05T00:00:00Z"/>
        <d v="2026-04-07T00:00:00Z"/>
        <d v="2026-05-06T00:00:00Z"/>
        <d v="2026-05-01T00:00:00Z"/>
        <d v="2026-02-07T00:00:00Z"/>
        <d v="2026-06-03T00:00:00Z"/>
        <d v="2026-02-21T00:00:00Z"/>
        <d v="2026-02-01T00:00:00Z"/>
        <d v="2026-03-09T00:00:00Z"/>
        <d v="2026-05-25T00:00:00Z"/>
        <d v="2026-01-09T00:00:00Z"/>
        <d v="2026-03-14T00:00:00Z"/>
        <d v="2026-02-19T00:00:00Z"/>
        <d v="2026-04-15T00:00:00Z"/>
        <d v="2026-02-25T00:00:00Z"/>
        <d v="2026-03-13T00:00:00Z"/>
        <d v="2026-06-01T00:00:00Z"/>
        <d v="2026-04-11T00:00:00Z"/>
        <d v="2026-05-14T00:00:00Z"/>
        <d v="2026-01-19T00:00:00Z"/>
        <d v="2026-04-04T00:00:00Z"/>
        <d v="2026-05-08T00:00:00Z"/>
        <d v="2026-06-02T00:00:00Z"/>
        <d v="2026-03-28T00:00:00Z"/>
        <d v="2026-04-30T00:00:00Z"/>
        <d v="2026-02-03T00:00:00Z"/>
        <d v="2026-03-18T00:00:00Z"/>
        <d v="2026-04-29T00:00:00Z"/>
        <d v="2026-01-28T00:00:00Z"/>
        <d v="2026-04-02T00:00:00Z"/>
        <d v="2026-04-13T00:00:00Z"/>
        <d v="2026-05-27T00:00:00Z"/>
        <d v="2026-02-16T00:00:00Z"/>
        <d v="2026-03-19T00:00:00Z"/>
        <d v="2026-04-12T00:00:00Z"/>
        <d v="2026-05-03T00:00:00Z"/>
        <d v="2026-05-05T00:00:00Z"/>
        <d v="2026-03-12T00:00:00Z"/>
        <d v="2026-04-17T00:00:00Z"/>
        <d v="2026-01-31T00:00:00Z"/>
        <d v="2026-03-01T00:00:00Z"/>
        <d v="2026-01-21T00:00:00Z"/>
        <d v="2026-05-19T00:00:00Z"/>
        <d v="2026-04-22T00:00:00Z"/>
        <d v="2026-03-21T00:00:00Z"/>
        <d v="2026-04-23T00:00:00Z"/>
        <d v="2026-05-13T00:00:00Z"/>
        <d v="2026-05-21T00:00:00Z"/>
        <d v="2026-01-22T00:00:00Z"/>
        <d v="2026-02-12T00:00:00Z"/>
        <d v="2026-04-21T00:00:00Z"/>
        <d v="2026-04-16T00:00:00Z"/>
        <d v="2026-04-01T00:00:00Z"/>
        <d v="2026-02-04T00:00:00Z"/>
        <d v="2026-02-14T00:00:00Z"/>
        <d v="2026-01-13T00:00:00Z"/>
        <d v="2026-03-30T00:00:00Z"/>
        <d v="2026-01-29T00:00:00Z"/>
        <d v="2026-04-09T00:00:00Z"/>
        <d v="2026-04-26T00:00:00Z"/>
        <d v="2026-01-14T00:00:00Z"/>
        <d v="2026-01-25T00:00:00Z"/>
        <d v="2026-05-11T00:00:00Z"/>
        <d v="2026-02-11T00:00:00Z"/>
        <d v="2026-05-16T00:00:00Z"/>
        <d v="2026-03-07T00:00:00Z"/>
        <d v="2026-02-27T00:00:00Z"/>
        <d v="2026-01-07T00:00:00Z"/>
        <d v="2026-06-05T00:00:00Z"/>
        <d v="2026-01-10T00:00:00Z"/>
        <d v="2026-03-08T00:00:00Z"/>
        <d v="2026-03-15T00:00:00Z"/>
        <d v="2026-05-12T00:00:00Z"/>
        <d v="2026-01-30T00:00:00Z"/>
        <d v="2026-03-03T00:00:00Z"/>
        <d v="2026-04-20T00:00:00Z"/>
        <d v="2026-03-29T00:00:00Z"/>
        <d v="2026-06-08T00:00:00Z"/>
        <d v="2026-02-06T00:00:00Z"/>
        <d v="2026-03-05T00:00:00Z"/>
        <d v="2026-02-20T00:00:00Z"/>
        <d v="2026-05-18T00:00:00Z"/>
        <d v="2026-03-27T00:00:00Z"/>
        <d v="2026-01-06T00:00:00Z"/>
        <d v="2026-01-17T00:00:00Z"/>
        <d v="2026-02-13T00:00:00Z"/>
        <d v="2026-02-26T00:00:00Z"/>
        <d v="2026-05-02T00:00:00Z"/>
        <d v="2026-03-17T00:00:00Z"/>
        <d v="2026-01-20T00:00:00Z"/>
        <d v="2026-03-10T00:00:00Z"/>
        <d v="2026-03-06T00:00:00Z"/>
        <d v="2026-03-23T00:00:00Z"/>
        <d v="2026-01-11T00:00:00Z"/>
        <d v="2026-02-10T00:00:00Z"/>
        <d v="2026-01-27T00:00:00Z"/>
        <d v="2026-06-04T00:00:00Z"/>
        <d v="2026-02-24T00:00:00Z"/>
        <d v="2026-05-20T00:00:00Z"/>
        <d v="2026-04-06T00:00:00Z"/>
        <d v="2026-03-02T00:00:00Z"/>
        <d v="2026-05-22T00:00:00Z"/>
        <d v="2026-05-04T00:00:00Z"/>
        <d v="2026-02-08T00:00:00Z"/>
        <d v="2026-04-25T00:00:00Z"/>
        <d v="2026-02-15T00:00:00Z"/>
        <d v="2026-03-24T00:00:00Z"/>
        <d v="2026-05-10T00:00:00Z"/>
        <d v="2026-05-30T00:00:00Z"/>
        <d v="2026-05-23T00:00:00Z"/>
        <d v="2026-05-28T00:00:00Z"/>
        <d v="2026-02-09T00:00:00Z"/>
        <d v="2026-01-04T00:00:00Z"/>
        <d v="2026-04-05T00:00:00Z"/>
        <d v="2026-01-12T00:00:00Z"/>
        <d v="2026-01-24T00:00:00Z"/>
      </sharedItems>
    </cacheField>
    <cacheField name="Onsite_Date">
      <sharedItems containsDate="1" containsBlank="1" containsMixedTypes="1">
        <d v="2026-04-14T00:00:00Z"/>
        <m/>
        <d v="2026-03-25T00:00:00Z"/>
        <d v="2026-02-09T00:00:00Z"/>
        <d v="2026-06-03T00:00:00Z"/>
        <d v="2026-04-02T00:00:00Z"/>
        <d v="2026-03-08T00:00:00Z"/>
        <d v="2026-03-14T00:00:00Z"/>
        <d v="2026-02-15T00:00:00Z"/>
        <d v="2026-05-18T00:00:00Z"/>
        <d v="2026-05-08T00:00:00Z"/>
        <d v="2026-02-13T00:00:00Z"/>
        <d v="2026-06-08T00:00:00Z"/>
        <d v="2026-03-07T00:00:00Z"/>
        <d v="2026-03-04T00:00:00Z"/>
        <d v="2026-01-17T00:00:00Z"/>
        <d v="2026-03-24T00:00:00Z"/>
        <d v="2026-02-24T00:00:00Z"/>
        <d v="2026-03-01T00:00:00Z"/>
        <d v="2026-04-20T00:00:00Z"/>
        <d v="2026-01-29T00:00:00Z"/>
        <d v="2026-06-13T00:00:00Z"/>
        <d v="2026-05-13T00:00:00Z"/>
        <d v="2026-04-12T00:00:00Z"/>
        <d v="2026-04-18T00:00:00Z"/>
        <d v="2026-04-26T00:00:00Z"/>
        <d v="2026-05-15T00:00:00Z"/>
        <d v="2026-04-29T00:00:00Z"/>
        <d v="2026-03-12T00:00:00Z"/>
        <s v="2026-01-33"/>
        <d v="2026-05-04T00:00:00Z"/>
        <d v="2026-03-27T00:00:00Z"/>
        <d v="2026-05-06T00:00:00Z"/>
        <d v="2026-06-01T00:00:00Z"/>
        <d v="2026-05-11T00:00:00Z"/>
        <d v="2026-02-23T00:00:00Z"/>
        <d v="2026-02-17T00:00:00Z"/>
        <d v="2026-04-15T00:00:00Z"/>
        <d v="2026-02-12T00:00:00Z"/>
        <d v="2026-05-02T00:00:00Z"/>
        <d v="2026-02-01T00:00:00Z"/>
        <d v="2026-02-18T00:00:00Z"/>
        <d v="2026-03-15T00:00:00Z"/>
        <d v="2026-02-19T00:00:00Z"/>
        <d v="2026-05-27T00:00:00Z"/>
        <d v="2026-03-09T00:00:00Z"/>
        <d v="2026-01-18T00:00:00Z"/>
        <d v="2026-02-08T00:00:00Z"/>
        <d v="2026-06-15T00:00:00Z"/>
        <d v="2026-01-19T00:00:00Z"/>
        <d v="2026-03-20T00:00:00Z"/>
        <d v="2026-03-31T00:00:00Z"/>
        <d v="2026-03-29T00:00:00Z"/>
        <d v="2026-05-24T00:00:00Z"/>
        <d v="2026-02-11T00:00:00Z"/>
        <d v="2026-04-06T00:00:00Z"/>
        <d v="2026-05-16T00:00:00Z"/>
        <d v="2026-04-21T00:00:00Z"/>
        <d v="2026-06-16T00:00:00Z"/>
        <d v="2026-03-05T00:00:00Z"/>
        <d v="2026-03-16T00:00:00Z"/>
        <d v="2026-02-26T00:00:00Z"/>
        <d v="2026-04-22T00:00:00Z"/>
        <d v="2026-04-11T00:00:00Z"/>
        <d v="2026-01-16T00:00:00Z"/>
        <d v="2026-02-14T00:00:00Z"/>
        <d v="2026-05-12T00:00:00Z"/>
        <d v="2026-02-06T00:00:00Z"/>
        <d v="2026-03-22T00:00:00Z"/>
        <d v="2026-03-28T00:00:00Z"/>
        <d v="2026-02-28T00:00:00Z"/>
        <d v="2026-03-18T00:00:00Z"/>
        <d v="2026-02-03T00:00:00Z"/>
        <d v="2026-01-20T00:00:00Z"/>
        <d v="2026-04-08T00:00:00Z"/>
        <d v="2026-06-12T00:00:00Z"/>
        <d v="2026-03-03T00:00:00Z"/>
        <d v="2026-04-13T00:00:00Z"/>
        <d v="2026-01-28T00:00:00Z"/>
        <d v="2026-02-10T00:00:00Z"/>
        <d v="2026-03-10T00:00:00Z"/>
        <d v="2026-05-28T00:00:00Z"/>
        <d v="2026-01-22T00:00:00Z"/>
        <d v="2026-05-10T00:00:00Z"/>
        <d v="2026-04-03T00:00:00Z"/>
        <d v="2026-05-26T00:00:00Z"/>
        <d v="2026-01-30T00:00:00Z"/>
        <s v="2026-01-32"/>
        <d v="2026-02-25T00:00:00Z"/>
        <d v="2026-05-09T00:00:00Z"/>
        <d v="2026-01-26T00:00:00Z"/>
        <s v="2026-02-29"/>
        <d v="2026-02-22T00:00:00Z"/>
        <d v="2026-05-14T00:00:00Z"/>
        <d v="2026-06-09T00:00:00Z"/>
        <d v="2026-06-05T00:00:00Z"/>
        <d v="2026-05-30T00:00:00Z"/>
        <d v="2026-05-17T00:00:00Z"/>
        <d v="2026-04-28T00:00:00Z"/>
        <d v="2026-05-05T00:00:00Z"/>
        <d v="2026-02-04T00:00:00Z"/>
        <d v="2026-01-21T00:00:00Z"/>
        <d v="2026-05-21T00:00:00Z"/>
        <d v="2026-02-02T00:00:00Z"/>
        <d v="2026-03-19T00:00:00Z"/>
        <d v="2026-02-21T00:00:00Z"/>
        <d v="2026-02-27T00:00:00Z"/>
        <d v="2026-05-01T00:00:00Z"/>
        <d v="2026-05-07T00:00:00Z"/>
      </sharedItems>
    </cacheField>
    <cacheField name="Offer_Date">
      <sharedItems containsDate="1" containsBlank="1" containsMixedTypes="1">
        <d v="2026-04-24T00:00:00Z"/>
        <m/>
        <d v="2026-06-13T00:00:00Z"/>
        <d v="2026-04-12T00:00:00Z"/>
        <d v="2026-03-11T00:00:00Z"/>
        <d v="2026-03-22T00:00:00Z"/>
        <d v="2026-02-22T00:00:00Z"/>
        <d v="2026-02-19T00:00:00Z"/>
        <d v="2026-02-20T00:00:00Z"/>
        <d v="2026-03-13T00:00:00Z"/>
        <d v="2026-01-22T00:00:00Z"/>
        <d v="2026-02-04T00:00:00Z"/>
        <d v="2026-05-24T00:00:00Z"/>
        <d v="2026-02-14T00:00:00Z"/>
        <d v="2026-04-26T00:00:00Z"/>
        <d v="2026-05-01T00:00:00Z"/>
        <d v="2026-05-20T00:00:00Z"/>
        <d v="2026-04-01T00:00:00Z"/>
        <d v="2026-03-17T00:00:00Z"/>
        <d v="2026-06-09T00:00:00Z"/>
        <d v="2026-05-09T00:00:00Z"/>
        <d v="2026-04-04T00:00:00Z"/>
        <d v="2026-03-31T00:00:00Z"/>
        <d v="2026-03-15T00:00:00Z"/>
        <d v="2026-05-04T00:00:00Z"/>
        <d v="2026-02-27T00:00:00Z"/>
        <d v="2026-04-20T00:00:00Z"/>
        <d v="2026-04-21T00:00:00Z"/>
        <d v="2026-05-10T00:00:00Z"/>
        <d v="2026-02-10T00:00:00Z"/>
        <d v="2026-03-23T00:00:00Z"/>
        <d v="2026-01-26T00:00:00Z"/>
        <d v="2026-01-23T00:00:00Z"/>
        <d v="2026-03-24T00:00:00Z"/>
        <d v="2026-04-10T00:00:00Z"/>
        <d v="2026-06-03T00:00:00Z"/>
        <d v="2026-04-25T00:00:00Z"/>
        <d v="2026-02-12T00:00:00Z"/>
        <d v="2026-06-21T00:00:00Z"/>
        <d v="2026-02-23T00:00:00Z"/>
        <d v="2026-03-12T00:00:00Z"/>
        <d v="2026-03-28T00:00:00Z"/>
        <d v="2026-06-02T00:00:00Z"/>
        <d v="2026-04-15T00:00:00Z"/>
        <d v="2026-03-08T00:00:00Z"/>
        <d v="2026-03-30T00:00:00Z"/>
        <d v="2026-05-16T00:00:00Z"/>
        <d v="2026-02-05T00:00:00Z"/>
        <d v="2026-05-18T00:00:00Z"/>
        <d v="2026-04-09T00:00:00Z"/>
        <d v="2026-06-11T00:00:00Z"/>
        <d v="2026-02-13T00:00:00Z"/>
        <d v="2026-04-22T00:00:00Z"/>
        <d v="2026-03-07T00:00:00Z"/>
        <d v="2026-04-23T00:00:00Z"/>
        <d v="2026-01-29T00:00:00Z"/>
        <d v="2026-04-07T00:00:00Z"/>
        <d v="2026-06-01T00:00:00Z"/>
        <d v="2026-03-01T00:00:00Z"/>
        <d v="2026-02-25T00:00:00Z"/>
        <d v="2026-02-03T00:00:00Z"/>
        <d v="2026-05-30T00:00:00Z"/>
        <d v="2026-03-05T00:00:00Z"/>
        <d v="2026-02-18T00:00:00Z"/>
        <d v="2026-06-16T00:00:00Z"/>
        <d v="2026-06-08T00:00:00Z"/>
        <d v="2026-05-19T00:00:00Z"/>
        <d v="2026-03-14T00:00:00Z"/>
        <d v="2026-02-24T00:00:00Z"/>
        <d v="2026-02-26T00:00:00Z"/>
        <d v="2026-05-07T00:00:00Z"/>
        <d v="2026-06-05T00:00:00Z"/>
        <d v="2026-05-15T00:00:00Z"/>
        <d v="2026-06-12T00:00:00Z"/>
        <d v="2026-03-09T00:00:00Z"/>
        <d v="2026-05-06T00:00:00Z"/>
        <d v="2026-06-17T00:00:00Z"/>
        <d v="2026-05-25T00:00:00Z"/>
        <d v="2026-04-03T00:00:00Z"/>
        <d v="2026-03-29T00:00:00Z"/>
        <s v="2026-02-29"/>
        <d v="2026-03-21T00:00:00Z"/>
        <d v="2026-03-10T00:00:00Z"/>
        <d v="2026-04-30T00:00:00Z"/>
        <d v="2026-05-11T00:00:00Z"/>
        <d v="2026-05-17T00:00:00Z"/>
        <d v="2026-04-11T00:00:00Z"/>
      </sharedItems>
    </cacheField>
    <cacheField name="Hire_Date" numFmtId="164">
      <sharedItems containsDate="1" containsString="0" containsBlank="1">
        <d v="2026-05-18T00:00:00Z"/>
        <m/>
        <d v="2026-07-06T00:00:00Z"/>
        <d v="2026-05-10T00:00:00Z"/>
        <d v="2026-04-07T00:00:00Z"/>
        <d v="2026-03-01T00:00:00Z"/>
        <d v="2026-03-25T00:00:00Z"/>
        <d v="2026-03-18T00:00:00Z"/>
        <d v="2026-03-03T00:00:00Z"/>
        <d v="2026-06-19T00:00:00Z"/>
        <d v="2026-06-25T00:00:00Z"/>
        <d v="2026-04-04T00:00:00Z"/>
        <d v="2026-04-20T00:00:00Z"/>
        <d v="2026-03-22T00:00:00Z"/>
        <d v="2026-05-09T00:00:00Z"/>
        <d v="2026-04-12T00:00:00Z"/>
        <d v="2026-02-23T00:00:00Z"/>
        <d v="2026-06-21T00:00:00Z"/>
        <d v="2026-06-20T00:00:00Z"/>
        <d v="2026-05-01T00:00:00Z"/>
        <d v="2026-03-17T00:00:00Z"/>
        <d v="2026-03-16T00:00:00Z"/>
        <d v="2026-06-09T00:00:00Z"/>
        <d v="2026-03-23T00:00:00Z"/>
        <d v="2026-02-13T00:00:00Z"/>
        <d v="2026-06-08T00:00:00Z"/>
        <d v="2026-03-05T00:00:00Z"/>
        <d v="2026-03-04T00:00:00Z"/>
        <d v="2026-04-15T00:00:00Z"/>
        <d v="2026-06-15T00:00:00Z"/>
        <d v="2026-06-18T00:00:00Z"/>
        <d v="2026-03-24T00:00:00Z"/>
        <d v="2026-03-10T00:00:00Z"/>
        <d v="2026-07-07T00:00:00Z"/>
        <d v="2026-02-27T00:00:00Z"/>
        <d v="2026-04-09T00:00:00Z"/>
        <d v="2026-06-01T00:00:00Z"/>
        <d v="2026-03-26T00:00:00Z"/>
        <d v="2026-05-26T00:00:00Z"/>
        <d v="2026-07-02T00:00:00Z"/>
        <d v="2026-06-10T00:00:00Z"/>
        <d v="2026-03-15T00:00:00Z"/>
        <d v="2026-03-29T00:00:00Z"/>
        <d v="2026-05-20T00:00:00Z"/>
        <d v="2026-06-03T00:00:00Z"/>
        <d v="2026-04-01T00:00:00Z"/>
        <d v="2026-06-05T00:00:00Z"/>
      </sharedItems>
    </cacheField>
    <cacheField name="Current_Stage" numFmtId="0">
      <sharedItems containsBlank="1">
        <s v="Hired"/>
        <s v="Screen"/>
        <s v="Onsite"/>
        <s v="Withdrawn"/>
        <s v="Offer"/>
        <s v="Rejected"/>
        <m/>
      </sharedItems>
    </cacheField>
    <cacheField name="Req_Open_Date" numFmtId="164">
      <sharedItems containsDate="1" containsString="0" containsBlank="1">
        <d v="2026-03-21T00:00:00Z"/>
        <d v="2026-04-10T00:00:00Z"/>
        <d v="2026-03-12T00:00:00Z"/>
        <d v="2026-01-19T00:00:00Z"/>
        <d v="2026-03-24T00:00:00Z"/>
        <d v="2026-04-21T00:00:00Z"/>
        <d v="2026-04-01T00:00:00Z"/>
        <d v="2026-05-14T00:00:00Z"/>
        <d v="2026-03-14T00:00:00Z"/>
        <d v="2026-02-15T00:00:00Z"/>
        <d v="2026-02-17T00:00:00Z"/>
        <d v="2026-01-31T00:00:00Z"/>
        <d v="2026-04-26T00:00:00Z"/>
        <d v="2026-04-23T00:00:00Z"/>
        <d v="2026-02-14T00:00:00Z"/>
        <d v="2026-02-03T00:00:00Z"/>
        <d v="2026-05-23T00:00:00Z"/>
        <d v="2026-02-18T00:00:00Z"/>
        <d v="2026-02-21T00:00:00Z"/>
        <d v="2026-01-23T00:00:00Z"/>
        <d v="2026-02-25T00:00:00Z"/>
        <d v="2026-02-11T00:00:00Z"/>
        <d v="2026-05-15T00:00:00Z"/>
        <d v="2026-01-01T00:00:00Z"/>
        <d v="2026-03-10T00:00:00Z"/>
        <d v="2026-02-13T00:00:00Z"/>
        <d v="2026-04-04T00:00:00Z"/>
        <d v="2026-05-29T00:00:00Z"/>
        <d v="2026-02-19T00:00:00Z"/>
        <d v="2026-03-09T00:00:00Z"/>
        <d v="2026-05-22T00:00:00Z"/>
        <d v="2026-04-05T00:00:00Z"/>
        <d v="2026-01-08T00:00:00Z"/>
        <d v="2026-05-09T00:00:00Z"/>
        <d v="2026-01-14T00:00:00Z"/>
        <d v="2026-05-31T00:00:00Z"/>
        <d v="2026-04-22T00:00:00Z"/>
        <d v="2026-03-27T00:00:00Z"/>
        <d v="2026-04-30T00:00:00Z"/>
        <d v="2026-02-16T00:00:00Z"/>
        <d v="2026-03-23T00:00:00Z"/>
        <d v="2026-04-24T00:00:00Z"/>
        <d v="2026-01-27T00:00:00Z"/>
        <d v="2026-01-15T00:00:00Z"/>
        <d v="2026-03-11T00:00:00Z"/>
        <d v="2026-04-08T00:00:00Z"/>
        <d v="2026-05-21T00:00:00Z"/>
        <d v="2026-02-12T00:00:00Z"/>
        <d v="2026-02-24T00:00:00Z"/>
        <d v="2026-03-16T00:00:00Z"/>
        <d v="2026-04-06T00:00:00Z"/>
        <d v="2026-04-27T00:00:00Z"/>
        <d v="2026-05-03T00:00:00Z"/>
        <d v="2026-05-24T00:00:00Z"/>
        <d v="2026-03-04T00:00:00Z"/>
        <d v="2026-04-09T00:00:00Z"/>
        <d v="2026-01-22T00:00:00Z"/>
        <d v="2026-01-12T00:00:00Z"/>
        <d v="2026-05-13T00:00:00Z"/>
        <d v="2026-05-20T00:00:00Z"/>
        <d v="2026-01-21T00:00:00Z"/>
        <d v="2026-04-17T00:00:00Z"/>
        <d v="2026-04-19T00:00:00Z"/>
        <d v="2026-03-13T00:00:00Z"/>
        <d v="2026-03-15T00:00:00Z"/>
        <d v="2026-03-05T00:00:00Z"/>
        <d v="2026-05-06T00:00:00Z"/>
        <d v="2026-05-19T00:00:00Z"/>
        <d v="2026-01-17T00:00:00Z"/>
        <d v="2026-02-26T00:00:00Z"/>
        <d v="2026-04-25T00:00:00Z"/>
        <d v="2026-01-04T00:00:00Z"/>
        <d v="2026-02-09T00:00:00Z"/>
        <d v="2026-05-16T00:00:00Z"/>
        <d v="2026-01-29T00:00:00Z"/>
        <d v="2026-02-06T00:00:00Z"/>
        <d v="2026-03-29T00:00:00Z"/>
        <d v="2026-03-20T00:00:00Z"/>
        <d v="2026-01-02T00:00:00Z"/>
        <d v="2026-01-25T00:00:00Z"/>
        <d v="2026-05-28T00:00:00Z"/>
        <d v="2026-03-28T00:00:00Z"/>
        <d v="2026-03-02T00:00:00Z"/>
        <d v="2026-04-20T00:00:00Z"/>
        <d v="2026-03-18T00:00:00Z"/>
        <d v="2026-01-10T00:00:00Z"/>
        <d v="2026-05-01T00:00:00Z"/>
        <d v="2026-02-05T00:00:00Z"/>
        <d v="2026-02-01T00:00:00Z"/>
        <d v="2026-04-02T00:00:00Z"/>
        <d v="2026-04-13T00:00:00Z"/>
        <d v="2026-02-20T00:00:00Z"/>
        <d v="2026-03-26T00:00:00Z"/>
        <d v="2026-05-25T00:00:00Z"/>
        <d v="2026-01-28T00:00:00Z"/>
        <d v="2026-02-28T00:00:00Z"/>
        <d v="2026-05-10T00:00:00Z"/>
        <d v="2026-01-24T00:00:00Z"/>
        <d v="2026-04-28T00:00:00Z"/>
        <d v="2026-03-31T00:00:00Z"/>
        <d v="2026-01-13T00:00:00Z"/>
        <d v="2026-03-17T00:00:00Z"/>
        <d v="2026-04-12T00:00:00Z"/>
        <d v="2026-02-22T00:00:00Z"/>
        <d v="2026-03-06T00:00:00Z"/>
        <d v="2026-05-07T00:00:00Z"/>
        <d v="2026-05-11T00:00:00Z"/>
        <d v="2026-05-04T00:00:00Z"/>
        <d v="2026-01-07T00:00:00Z"/>
        <d v="2026-02-10T00:00:00Z"/>
        <d v="2026-03-07T00:00:00Z"/>
        <d v="2026-04-29T00:00:00Z"/>
        <d v="2026-05-05T00:00:00Z"/>
        <d v="2026-04-16T00:00:00Z"/>
        <d v="2026-01-16T00:00:00Z"/>
        <d v="2026-01-09T00:00:00Z"/>
        <d v="2026-04-15T00:00:00Z"/>
        <d v="2026-01-30T00:00:00Z"/>
        <d v="2026-05-27T00:00:00Z"/>
        <d v="2026-04-03T00:00:00Z"/>
        <d v="2026-03-19T00:00:00Z"/>
        <d v="2026-01-06T00:00:00Z"/>
        <d v="2026-05-08T00:00:00Z"/>
        <d v="2026-02-07T00:00:00Z"/>
        <d v="2026-04-11T00:00:00Z"/>
        <d v="2026-01-20T00:00:00Z"/>
        <d v="2026-03-03T00:00:00Z"/>
        <d v="2026-02-04T00:00:00Z"/>
        <d v="2026-04-14T00:00:00Z"/>
        <d v="2026-03-01T00:00:00Z"/>
        <d v="2026-05-26T00:00:00Z"/>
        <d v="2026-02-08T00:00:00Z"/>
        <d v="2026-05-30T00:00:00Z"/>
        <d v="2026-05-17T00:00:00Z"/>
        <d v="2026-01-03T00:00:00Z"/>
        <d v="2026-01-18T00:00:00Z"/>
        <d v="2026-02-27T00:00:00Z"/>
        <d v="2026-05-12T00:00:00Z"/>
        <d v="2026-05-02T00:00:00Z"/>
        <d v="2026-02-02T00:00:00Z"/>
        <d v="2026-04-18T00:00:00Z"/>
        <m/>
      </sharedItems>
    </cacheField>
    <cacheField name="Time_to_Fill" numFmtId="0">
      <sharedItems containsString="0" containsBlank="1" containsNumber="1" containsInteger="1">
        <n v="58.0"/>
        <m/>
        <n v="53.0"/>
        <n v="57.0"/>
        <n v="49.0"/>
        <n v="29.0"/>
        <n v="35.0"/>
        <n v="54.0"/>
        <n v="48.0"/>
        <n v="50.0"/>
        <n v="42.0"/>
        <n v="45.0"/>
        <n v="36.0"/>
        <n v="46.0"/>
        <n v="44.0"/>
        <n v="41.0"/>
        <n v="34.0"/>
        <n v="52.0"/>
        <n v="27.0"/>
        <n v="39.0"/>
        <n v="28.0"/>
        <n v="60.0"/>
        <n v="33.0"/>
        <n v="40.0"/>
        <n v="37.0"/>
        <n v="43.0"/>
        <n v="47.0"/>
        <n v="32.0"/>
        <n v="30.0"/>
        <n v="38.0"/>
      </sharedItems>
    </cacheField>
    <cacheField name="Headcount_Status" numFmtId="0">
      <sharedItems containsBlank="1">
        <s v="Filled"/>
        <s v="Open"/>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s" cacheId="0" dataCaption="" compact="0" compactData="0">
  <location ref="A1:B6" firstHeaderRow="0" firstDataRow="1" firstDataCol="0"/>
  <pivotFields>
    <pivotField name="Candidate_ID" dataField="1" compact="0" outline="0" multipleItemSelectionAllowed="1" showAll="0">
      <items>
        <item x="0"/>
        <item x="1"/>
        <item x="2"/>
        <item x="3"/>
        <item x="4"/>
        <item x="5"/>
        <item x="6"/>
        <item x="7"/>
        <item t="default"/>
      </items>
    </pivotField>
    <pivotField name="Requisition_ID" compact="0" outline="0" multipleItemSelectionAllowed="1" showAll="0">
      <items>
        <item x="0"/>
        <item x="1"/>
        <item x="2"/>
        <item x="3"/>
        <item x="4"/>
        <item x="5"/>
        <item t="default"/>
      </items>
    </pivotField>
    <pivotField name="Team" compact="0" outline="0" multipleItemSelectionAllowed="1" showAll="0">
      <items>
        <item x="0"/>
        <item x="1"/>
        <item x="2"/>
        <item x="3"/>
        <item x="4"/>
        <item t="default"/>
      </items>
    </pivotField>
    <pivotField name="Department" compact="0" outline="0" multipleItemSelectionAllowed="1" showAll="0">
      <items>
        <item x="0"/>
        <item x="1"/>
        <item x="2"/>
        <item t="default"/>
      </items>
    </pivotField>
    <pivotField name="Region" compact="0" outline="0" multipleItemSelectionAllowed="1" showAll="0">
      <items>
        <item x="0"/>
        <item x="1"/>
        <item x="2"/>
        <item x="3"/>
        <item t="default"/>
      </items>
    </pivotField>
    <pivotField name="Recruiter" compact="0" outline="0" multipleItemSelectionAllowed="1" showAll="0">
      <items>
        <item x="0"/>
        <item x="1"/>
        <item x="2"/>
        <item x="3"/>
        <item t="default"/>
      </items>
    </pivotField>
    <pivotField name="Hiring_Manager" compact="0" outline="0" multipleItemSelectionAllowed="1" showAll="0">
      <items>
        <item x="0"/>
        <item x="1"/>
        <item x="2"/>
        <item x="3"/>
        <item x="4"/>
        <item x="5"/>
        <item t="default"/>
      </items>
    </pivotField>
    <pivotField name="Source_of_Hire" compact="0" outline="0" multipleItemSelectionAllowed="1" showAll="0">
      <items>
        <item x="0"/>
        <item x="1"/>
        <item x="2"/>
        <item x="3"/>
        <item x="4"/>
        <item t="default"/>
      </items>
    </pivotField>
    <pivotField name="Candidate_Type" compact="0" outline="0" multipleItemSelectionAllowed="1" showAll="0">
      <items>
        <item x="0"/>
        <item x="1"/>
        <item x="2"/>
        <item t="default"/>
      </items>
    </pivotField>
    <pivotField name="Application_Date" compact="0" numFmtId="164" outline="0" multipleItemSelectionAllowed="1" showAll="0">
      <items>
        <item x="0"/>
        <item x="1"/>
        <item x="2"/>
        <item x="3"/>
        <item x="4"/>
        <item x="5"/>
        <item x="6"/>
        <item x="7"/>
        <item t="default"/>
      </items>
    </pivotField>
    <pivotField name="Phone_Screen_Date" compact="0" numFmtId="164" outline="0" multipleItemSelectionAllowed="1" showAll="0">
      <items>
        <item x="0"/>
        <item x="1"/>
        <item x="2"/>
        <item x="3"/>
        <item x="4"/>
        <item x="5"/>
        <item x="6"/>
        <item x="7"/>
        <item t="default"/>
      </items>
    </pivotField>
    <pivotField name="Onsite_Date" compact="0" numFmtId="164" outline="0" multipleItemSelectionAllowed="1" showAll="0">
      <items>
        <item x="0"/>
        <item x="1"/>
        <item x="2"/>
        <item x="3"/>
        <item x="4"/>
        <item t="default"/>
      </items>
    </pivotField>
    <pivotField name="Offer_Date" compact="0" numFmtId="164" outline="0" multipleItemSelectionAllowed="1" showAll="0">
      <items>
        <item x="0"/>
        <item x="1"/>
        <item x="2"/>
        <item t="default"/>
      </items>
    </pivotField>
    <pivotField name="Hire_Date" compact="0" numFmtId="164" outline="0" multipleItemSelectionAllowed="1" showAll="0">
      <items>
        <item x="0"/>
        <item x="1"/>
        <item x="2"/>
        <item t="default"/>
      </items>
    </pivotField>
    <pivotField name="Current_Stage" axis="axisRow" compact="0" outline="0" multipleItemSelectionAllowed="1" showAll="0" sortType="ascending">
      <items>
        <item x="0"/>
        <item x="2"/>
        <item x="1"/>
        <item x="3"/>
        <item t="default"/>
      </items>
    </pivotField>
    <pivotField name="Req_Open_Date" compact="0" numFmtId="164" outline="0" multipleItemSelectionAllowed="1" showAll="0">
      <items>
        <item x="0"/>
        <item x="1"/>
        <item x="2"/>
        <item x="3"/>
        <item x="4"/>
        <item x="5"/>
        <item x="6"/>
        <item x="7"/>
        <item t="default"/>
      </items>
    </pivotField>
    <pivotField name="Time_to_Fill" compact="0" outline="0" multipleItemSelectionAllowed="1" showAll="0">
      <items>
        <item x="0"/>
        <item x="1"/>
        <item x="2"/>
        <item t="default"/>
      </items>
    </pivotField>
    <pivotField name="Headcount_Status" compact="0" outline="0" multipleItemSelectionAllowed="1" showAll="0">
      <items>
        <item x="0"/>
        <item x="1"/>
        <item t="default"/>
      </items>
    </pivotField>
  </pivotFields>
  <rowFields>
    <field x="14"/>
  </rowFields>
  <dataFields>
    <dataField name="COUNTA of Candidate_ID" fld="0" subtotal="count" baseField="0"/>
  </dataFields>
</pivotTableDefinition>
</file>

<file path=xl/pivotTables/pivotTable2.xml><?xml version="1.0" encoding="utf-8"?>
<pivotTableDefinition xmlns="http://schemas.openxmlformats.org/spreadsheetml/2006/main" name="Pivots 2" cacheId="1" dataCaption="" compact="0" compactData="0">
  <location ref="J1:N9" firstHeaderRow="0" firstDataRow="1" firstDataCol="1"/>
  <pivotFields>
    <pivotField name="Candidat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t="default"/>
      </items>
    </pivotField>
    <pivotField name="Requisition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Team" compact="0" outline="0" multipleItemSelectionAllowed="1" showAll="0">
      <items>
        <item x="0"/>
        <item x="1"/>
        <item x="2"/>
        <item x="3"/>
        <item x="4"/>
        <item x="5"/>
        <item x="6"/>
        <item x="7"/>
        <item x="8"/>
        <item t="default"/>
      </items>
    </pivotField>
    <pivotField name="Department" axis="axisRow" compact="0" outline="0" multipleItemSelectionAllowed="1" showAll="0" sortType="ascending">
      <items>
        <item x="5"/>
        <item x="0"/>
        <item x="3"/>
        <item x="1"/>
        <item x="4"/>
        <item x="2"/>
        <item t="default"/>
      </items>
    </pivotField>
    <pivotField name="Region" compact="0" outline="0" multipleItemSelectionAllowed="1" showAll="0">
      <items>
        <item x="0"/>
        <item x="1"/>
        <item x="2"/>
        <item x="3"/>
        <item x="4"/>
        <item t="default"/>
      </items>
    </pivotField>
    <pivotField name="Recruiter" compact="0" outline="0" multipleItemSelectionAllowed="1" showAll="0">
      <items>
        <item x="0"/>
        <item x="1"/>
        <item x="2"/>
        <item x="3"/>
        <item x="4"/>
        <item t="default"/>
      </items>
    </pivotField>
    <pivotField name="Hiring_Manag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urce_of_Hire" compact="0" outline="0" multipleItemSelectionAllowed="1" showAll="0">
      <items>
        <item x="0"/>
        <item x="1"/>
        <item x="2"/>
        <item x="3"/>
        <item x="4"/>
        <item x="5"/>
        <item t="default"/>
      </items>
    </pivotField>
    <pivotField name="Candidate_Type" compact="0" outline="0" multipleItemSelectionAllowed="1" showAll="0">
      <items>
        <item x="0"/>
        <item x="1"/>
        <item x="2"/>
        <item x="3"/>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hone_Scre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Onsit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Offer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Hir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urrent_Stage" compact="0" outline="0" multipleItemSelectionAllowed="1" showAll="0">
      <items>
        <item x="0"/>
        <item x="1"/>
        <item x="2"/>
        <item x="3"/>
        <item x="4"/>
        <item x="5"/>
        <item x="6"/>
        <item t="default"/>
      </items>
    </pivotField>
    <pivotField name="Req_Op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Time_to_Fi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Headcount_Status" axis="axisCol" compact="0" outline="0" multipleItemSelectionAllowed="1" showAll="0" sortType="ascending">
      <items>
        <item x="2"/>
        <item x="0"/>
        <item x="1"/>
        <item t="default"/>
      </items>
    </pivotField>
  </pivotFields>
  <rowFields>
    <field x="3"/>
  </rowFields>
  <colFields>
    <field x="17"/>
  </colFields>
  <dataFields>
    <dataField name="COUNTA of Requisition_ID" fld="1" subtotal="count" baseField="0"/>
  </dataFields>
</pivotTableDefinition>
</file>

<file path=xl/pivotTables/pivotTable3.xml><?xml version="1.0" encoding="utf-8"?>
<pivotTableDefinition xmlns="http://schemas.openxmlformats.org/spreadsheetml/2006/main" name="Pivots 3" cacheId="1" dataCaption="" compact="0" compactData="0">
  <location ref="S1:T7" firstHeaderRow="0" firstDataRow="1" firstDataCol="0"/>
  <pivotFields>
    <pivotField name="Candidat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t="default"/>
      </items>
    </pivotField>
    <pivotField name="Requisi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Team" compact="0" outline="0" multipleItemSelectionAllowed="1" showAll="0">
      <items>
        <item x="0"/>
        <item x="1"/>
        <item x="2"/>
        <item x="3"/>
        <item x="4"/>
        <item x="5"/>
        <item x="6"/>
        <item x="7"/>
        <item x="8"/>
        <item t="default"/>
      </items>
    </pivotField>
    <pivotField name="Department" compact="0" outline="0" multipleItemSelectionAllowed="1" showAll="0">
      <items>
        <item x="0"/>
        <item x="1"/>
        <item x="2"/>
        <item x="3"/>
        <item x="4"/>
        <item x="5"/>
        <item t="default"/>
      </items>
    </pivotField>
    <pivotField name="Region" axis="axisRow" compact="0" outline="0" multipleItemSelectionAllowed="1" showAll="0" sortType="ascending">
      <items>
        <item x="4"/>
        <item x="3"/>
        <item x="0"/>
        <item x="2"/>
        <item x="1"/>
        <item t="default"/>
      </items>
    </pivotField>
    <pivotField name="Recruiter" compact="0" outline="0" multipleItemSelectionAllowed="1" showAll="0">
      <items>
        <item x="0"/>
        <item x="1"/>
        <item x="2"/>
        <item x="3"/>
        <item x="4"/>
        <item t="default"/>
      </items>
    </pivotField>
    <pivotField name="Hiring_Manag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urce_of_Hire" compact="0" outline="0" multipleItemSelectionAllowed="1" showAll="0">
      <items>
        <item x="0"/>
        <item x="1"/>
        <item x="2"/>
        <item x="3"/>
        <item x="4"/>
        <item x="5"/>
        <item t="default"/>
      </items>
    </pivotField>
    <pivotField name="Candidate_Type" compact="0" outline="0" multipleItemSelectionAllowed="1" showAll="0">
      <items>
        <item x="0"/>
        <item x="1"/>
        <item x="2"/>
        <item x="3"/>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hone_Scre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Onsit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Offer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Hir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urrent_Stage" compact="0" outline="0" multipleItemSelectionAllowed="1" showAll="0">
      <items>
        <item x="0"/>
        <item x="1"/>
        <item x="2"/>
        <item x="3"/>
        <item x="4"/>
        <item x="5"/>
        <item x="6"/>
        <item t="default"/>
      </items>
    </pivotField>
    <pivotField name="Req_Op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Time_to_Fil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Headcount_Status" compact="0" outline="0" multipleItemSelectionAllowed="1" showAll="0">
      <items>
        <item x="0"/>
        <item x="1"/>
        <item x="2"/>
        <item t="default"/>
      </items>
    </pivotField>
  </pivotFields>
  <rowFields>
    <field x="4"/>
  </rowFields>
  <dataFields>
    <dataField name="AVERAGE of Time_to_Fill" fld="16" subtotal="average" baseField="0"/>
  </dataFields>
</pivotTableDefinition>
</file>

<file path=xl/pivotTables/pivotTable4.xml><?xml version="1.0" encoding="utf-8"?>
<pivotTableDefinition xmlns="http://schemas.openxmlformats.org/spreadsheetml/2006/main" name="Pivots 4" cacheId="1" dataCaption="" compact="0" compactData="0">
  <location ref="A20:C26" firstHeaderRow="0" firstDataRow="2" firstDataCol="0" rowPageCount="1" colPageCount="1"/>
  <pivotFields>
    <pivotField name="Candidat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t="default"/>
      </items>
    </pivotField>
    <pivotField name="Requisi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Team" compact="0" outline="0" multipleItemSelectionAllowed="1" showAll="0">
      <items>
        <item x="0"/>
        <item x="1"/>
        <item x="2"/>
        <item x="3"/>
        <item x="4"/>
        <item x="5"/>
        <item x="6"/>
        <item x="7"/>
        <item x="8"/>
        <item t="default"/>
      </items>
    </pivotField>
    <pivotField name="Departmen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Recruiter" compact="0" outline="0" multipleItemSelectionAllowed="1" showAll="0">
      <items>
        <item x="0"/>
        <item x="1"/>
        <item x="2"/>
        <item x="3"/>
        <item x="4"/>
        <item t="default"/>
      </items>
    </pivotField>
    <pivotField name="Hiring_Manag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urce_of_Hire" axis="axisRow" compact="0" outline="0" multipleItemSelectionAllowed="1" showAll="0" sortType="ascending">
      <items>
        <item x="5"/>
        <item x="4"/>
        <item x="2"/>
        <item x="0"/>
        <item x="3"/>
        <item x="1"/>
        <item t="default"/>
      </items>
    </pivotField>
    <pivotField name="Candidate_Type" compact="0" outline="0" multipleItemSelectionAllowed="1" showAll="0">
      <items>
        <item x="0"/>
        <item x="1"/>
        <item x="2"/>
        <item x="3"/>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hone_Scre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Onsit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Offer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Hir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urrent_Stage" axis="axisPage" dataField="1" compact="0" outline="0" multipleItemSelectionAllowed="1" showAll="0">
      <items>
        <item x="0"/>
        <item h="1" x="1"/>
        <item h="1" x="2"/>
        <item h="1" x="3"/>
        <item h="1" x="4"/>
        <item h="1" x="5"/>
        <item h="1" x="6"/>
        <item t="default"/>
      </items>
    </pivotField>
    <pivotField name="Req_Op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Time_to_Fi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Headcount_Status" compact="0" outline="0" multipleItemSelectionAllowed="1" showAll="0">
      <items>
        <item x="0"/>
        <item x="1"/>
        <item x="2"/>
        <item t="default"/>
      </items>
    </pivotField>
  </pivotFields>
  <rowFields>
    <field x="7"/>
  </rowFields>
  <colFields>
    <field x="-2"/>
  </colFields>
  <pageFields>
    <pageField fld="14"/>
  </pageFields>
  <dataFields>
    <dataField name="COUNTA of Candidate_ID" fld="0" subtotal="count" baseField="0"/>
    <dataField name="COUNTA of Current_Stage" fld="14" subtotal="count" baseField="0"/>
  </dataFields>
</pivotTableDefinition>
</file>

<file path=xl/pivotTables/pivotTable5.xml><?xml version="1.0" encoding="utf-8"?>
<pivotTableDefinition xmlns="http://schemas.openxmlformats.org/spreadsheetml/2006/main" name="Pivots 5" cacheId="1" dataCaption="" compact="0" compactData="0">
  <location ref="F20:H26" firstHeaderRow="0" firstDataRow="2" firstDataCol="0"/>
  <pivotFields>
    <pivotField name="Candidat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t="default"/>
      </items>
    </pivotField>
    <pivotField name="Requisi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Team" compact="0" outline="0" multipleItemSelectionAllowed="1" showAll="0">
      <items>
        <item x="0"/>
        <item x="1"/>
        <item x="2"/>
        <item x="3"/>
        <item x="4"/>
        <item x="5"/>
        <item x="6"/>
        <item x="7"/>
        <item x="8"/>
        <item t="default"/>
      </items>
    </pivotField>
    <pivotField name="Departmen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Recruiter" axis="axisRow" compact="0" outline="0" multipleItemSelectionAllowed="1" showAll="0" sortType="ascending">
      <items>
        <item x="4"/>
        <item x="0"/>
        <item x="1"/>
        <item x="3"/>
        <item x="2"/>
        <item t="default"/>
      </items>
    </pivotField>
    <pivotField name="Hiring_Manag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urce_of_Hire" compact="0" outline="0" multipleItemSelectionAllowed="1" showAll="0">
      <items>
        <item x="0"/>
        <item x="1"/>
        <item x="2"/>
        <item x="3"/>
        <item x="4"/>
        <item x="5"/>
        <item t="default"/>
      </items>
    </pivotField>
    <pivotField name="Candidate_Type" compact="0" outline="0" multipleItemSelectionAllowed="1" showAll="0">
      <items>
        <item x="0"/>
        <item x="1"/>
        <item x="2"/>
        <item x="3"/>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Phone_Scre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Onsit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Offer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Hir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Current_Stage" compact="0" outline="0" multipleItemSelectionAllowed="1" showAll="0">
      <items>
        <item x="0"/>
        <item x="1"/>
        <item x="2"/>
        <item x="3"/>
        <item x="4"/>
        <item x="5"/>
        <item x="6"/>
        <item t="default"/>
      </items>
    </pivotField>
    <pivotField name="Req_Ope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Time_to_Fil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Headcount_Status" compact="0" outline="0" multipleItemSelectionAllowed="1" showAll="0">
      <items>
        <item x="0"/>
        <item x="1"/>
        <item x="2"/>
        <item t="default"/>
      </items>
    </pivotField>
  </pivotFields>
  <rowFields>
    <field x="5"/>
  </rowFields>
  <colFields>
    <field x="-2"/>
  </colFields>
  <dataFields>
    <dataField name="COUNTA of Candidate_ID" fld="0" subtotal="count" baseField="0"/>
    <dataField name="AVERAGE of Time_to_Fill" fld="16"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4.5"/>
    <col customWidth="1" min="3" max="3" width="7.75"/>
    <col customWidth="1" min="4" max="4" width="12.5"/>
    <col customWidth="1" min="5" max="5" width="8.75"/>
    <col customWidth="1" min="6" max="6" width="10.38"/>
    <col customWidth="1" min="7" max="7" width="15.63"/>
    <col customWidth="1" min="8" max="8" width="15.13"/>
    <col customWidth="1" min="9" max="9" width="15.63"/>
    <col customWidth="1" min="10" max="10" width="16.5"/>
    <col customWidth="1" min="11" max="11" width="18.63"/>
    <col customWidth="1" min="12" max="12" width="12.75"/>
    <col customWidth="1" min="13" max="13" width="11.63"/>
    <col customWidth="1" min="14" max="14" width="10.88"/>
    <col customWidth="1" min="15" max="15" width="14.25"/>
    <col customWidth="1" min="16" max="16" width="15.5"/>
    <col customWidth="1" min="17" max="17" width="12.63"/>
    <col customWidth="1" min="18" max="18" width="17.5"/>
  </cols>
  <sheetData>
    <row r="1">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2"/>
      <c r="T1" s="2"/>
      <c r="U1" s="2"/>
      <c r="V1" s="2"/>
      <c r="W1" s="2"/>
      <c r="X1" s="2"/>
      <c r="Y1" s="2"/>
      <c r="Z1" s="2"/>
    </row>
    <row r="2">
      <c r="A2" s="3" t="s">
        <v>19</v>
      </c>
      <c r="B2" s="3" t="s">
        <v>20</v>
      </c>
      <c r="C2" s="3" t="s">
        <v>21</v>
      </c>
      <c r="D2" s="3" t="s">
        <v>22</v>
      </c>
      <c r="E2" s="3" t="s">
        <v>23</v>
      </c>
      <c r="F2" s="3" t="s">
        <v>24</v>
      </c>
      <c r="G2" s="3" t="s">
        <v>25</v>
      </c>
      <c r="H2" s="3" t="s">
        <v>26</v>
      </c>
      <c r="I2" s="3" t="s">
        <v>27</v>
      </c>
      <c r="J2" s="4">
        <v>46105.0</v>
      </c>
      <c r="K2" s="4">
        <v>46112.0</v>
      </c>
      <c r="L2" s="4">
        <v>46126.0</v>
      </c>
      <c r="M2" s="4">
        <v>46136.0</v>
      </c>
      <c r="N2" s="4">
        <v>46160.0</v>
      </c>
      <c r="O2" s="3" t="s">
        <v>28</v>
      </c>
      <c r="P2" s="4">
        <v>46102.0</v>
      </c>
      <c r="Q2" s="3">
        <v>58.0</v>
      </c>
      <c r="R2" s="3" t="s">
        <v>29</v>
      </c>
    </row>
    <row r="3">
      <c r="A3" s="3" t="s">
        <v>30</v>
      </c>
      <c r="B3" s="3" t="s">
        <v>31</v>
      </c>
      <c r="C3" s="3" t="s">
        <v>32</v>
      </c>
      <c r="D3" s="3" t="s">
        <v>22</v>
      </c>
      <c r="E3" s="3" t="s">
        <v>23</v>
      </c>
      <c r="F3" s="3" t="s">
        <v>33</v>
      </c>
      <c r="G3" s="3" t="s">
        <v>34</v>
      </c>
      <c r="H3" s="3" t="s">
        <v>35</v>
      </c>
      <c r="I3" s="3" t="s">
        <v>36</v>
      </c>
      <c r="J3" s="4">
        <v>46123.0</v>
      </c>
      <c r="K3" s="4">
        <v>46126.0</v>
      </c>
      <c r="L3" s="4"/>
      <c r="M3" s="4"/>
      <c r="N3" s="4"/>
      <c r="O3" s="3" t="s">
        <v>37</v>
      </c>
      <c r="P3" s="4">
        <v>46122.0</v>
      </c>
      <c r="R3" s="3" t="s">
        <v>29</v>
      </c>
    </row>
    <row r="4">
      <c r="A4" s="3" t="s">
        <v>38</v>
      </c>
      <c r="B4" s="3" t="s">
        <v>39</v>
      </c>
      <c r="C4" s="3" t="s">
        <v>21</v>
      </c>
      <c r="D4" s="3" t="s">
        <v>22</v>
      </c>
      <c r="E4" s="3" t="s">
        <v>40</v>
      </c>
      <c r="F4" s="3" t="s">
        <v>41</v>
      </c>
      <c r="G4" s="3" t="s">
        <v>42</v>
      </c>
      <c r="H4" s="3" t="s">
        <v>43</v>
      </c>
      <c r="I4" s="3" t="s">
        <v>27</v>
      </c>
      <c r="J4" s="4">
        <v>46093.0</v>
      </c>
      <c r="K4" s="4">
        <v>46097.0</v>
      </c>
      <c r="L4" s="4">
        <v>46106.0</v>
      </c>
      <c r="M4" s="4"/>
      <c r="N4" s="4"/>
      <c r="O4" s="3" t="s">
        <v>44</v>
      </c>
      <c r="P4" s="4">
        <v>46093.0</v>
      </c>
      <c r="R4" s="3" t="s">
        <v>45</v>
      </c>
    </row>
    <row r="5">
      <c r="A5" s="3" t="s">
        <v>46</v>
      </c>
      <c r="B5" s="3" t="s">
        <v>39</v>
      </c>
      <c r="C5" s="3" t="s">
        <v>21</v>
      </c>
      <c r="D5" s="3" t="s">
        <v>22</v>
      </c>
      <c r="E5" s="3" t="s">
        <v>47</v>
      </c>
      <c r="F5" s="3" t="s">
        <v>48</v>
      </c>
      <c r="G5" s="3" t="s">
        <v>34</v>
      </c>
      <c r="H5" s="3" t="s">
        <v>26</v>
      </c>
      <c r="I5" s="3" t="s">
        <v>27</v>
      </c>
      <c r="J5" s="4">
        <v>46042.0</v>
      </c>
      <c r="K5" s="4">
        <v>46048.0</v>
      </c>
      <c r="L5" s="4">
        <v>46062.0</v>
      </c>
      <c r="M5" s="4"/>
      <c r="N5" s="4"/>
      <c r="O5" s="3" t="s">
        <v>44</v>
      </c>
      <c r="P5" s="4">
        <v>46041.0</v>
      </c>
      <c r="R5" s="3" t="s">
        <v>45</v>
      </c>
    </row>
    <row r="6">
      <c r="A6" s="3" t="s">
        <v>49</v>
      </c>
      <c r="B6" s="3" t="s">
        <v>50</v>
      </c>
      <c r="C6" s="3" t="s">
        <v>51</v>
      </c>
      <c r="D6" s="3" t="s">
        <v>22</v>
      </c>
      <c r="E6" s="3" t="s">
        <v>52</v>
      </c>
      <c r="F6" s="3" t="s">
        <v>41</v>
      </c>
      <c r="G6" s="3" t="s">
        <v>42</v>
      </c>
      <c r="H6" s="3" t="s">
        <v>54</v>
      </c>
      <c r="I6" s="3" t="s">
        <v>54</v>
      </c>
      <c r="J6" s="4">
        <v>46110.0</v>
      </c>
      <c r="K6" s="4"/>
      <c r="L6" s="4"/>
      <c r="M6" s="4"/>
      <c r="N6" s="4"/>
      <c r="O6" s="3" t="s">
        <v>55</v>
      </c>
      <c r="P6" s="4">
        <v>46105.0</v>
      </c>
      <c r="R6" s="3" t="s">
        <v>29</v>
      </c>
    </row>
    <row r="7">
      <c r="A7" s="3" t="s">
        <v>56</v>
      </c>
      <c r="B7" s="3" t="s">
        <v>57</v>
      </c>
      <c r="C7" s="3" t="s">
        <v>58</v>
      </c>
      <c r="D7" s="3" t="s">
        <v>58</v>
      </c>
      <c r="E7" s="3" t="s">
        <v>52</v>
      </c>
      <c r="F7" s="3" t="s">
        <v>24</v>
      </c>
      <c r="G7" s="3" t="s">
        <v>59</v>
      </c>
      <c r="H7" s="3" t="s">
        <v>60</v>
      </c>
      <c r="I7" s="3" t="s">
        <v>36</v>
      </c>
      <c r="J7" s="4">
        <v>46135.0</v>
      </c>
      <c r="K7" s="4">
        <v>46139.0</v>
      </c>
      <c r="L7" s="4"/>
      <c r="M7" s="4"/>
      <c r="N7" s="4"/>
      <c r="O7" s="3" t="s">
        <v>55</v>
      </c>
      <c r="P7" s="4">
        <v>46133.0</v>
      </c>
      <c r="R7" s="3" t="s">
        <v>29</v>
      </c>
    </row>
    <row r="8">
      <c r="A8" s="3" t="s">
        <v>61</v>
      </c>
      <c r="B8" s="3" t="s">
        <v>62</v>
      </c>
      <c r="C8" s="3" t="s">
        <v>32</v>
      </c>
      <c r="D8" s="3" t="s">
        <v>22</v>
      </c>
      <c r="E8" s="3" t="s">
        <v>47</v>
      </c>
      <c r="F8" s="3" t="s">
        <v>41</v>
      </c>
      <c r="G8" s="3" t="s">
        <v>63</v>
      </c>
      <c r="H8" s="3" t="s">
        <v>26</v>
      </c>
      <c r="I8" s="3" t="s">
        <v>27</v>
      </c>
      <c r="J8" s="4">
        <v>46115.0</v>
      </c>
      <c r="K8" s="4">
        <v>46120.0</v>
      </c>
      <c r="L8" s="4"/>
      <c r="M8" s="4"/>
      <c r="N8" s="4"/>
      <c r="O8" s="3" t="s">
        <v>37</v>
      </c>
      <c r="P8" s="4">
        <v>46113.0</v>
      </c>
      <c r="R8" s="3" t="s">
        <v>45</v>
      </c>
    </row>
    <row r="9">
      <c r="A9" s="3" t="s">
        <v>66</v>
      </c>
      <c r="B9" s="3" t="s">
        <v>50</v>
      </c>
      <c r="C9" s="3" t="s">
        <v>67</v>
      </c>
      <c r="D9" s="3" t="s">
        <v>67</v>
      </c>
      <c r="E9" s="3" t="s">
        <v>52</v>
      </c>
      <c r="F9" s="3" t="s">
        <v>33</v>
      </c>
      <c r="G9" s="3" t="s">
        <v>70</v>
      </c>
      <c r="H9" s="3" t="s">
        <v>43</v>
      </c>
      <c r="I9" s="3" t="s">
        <v>36</v>
      </c>
      <c r="J9" s="4">
        <v>46160.0</v>
      </c>
      <c r="K9" s="4">
        <v>46166.0</v>
      </c>
      <c r="L9" s="4">
        <v>46176.0</v>
      </c>
      <c r="M9" s="4">
        <v>46186.0</v>
      </c>
      <c r="N9" s="4">
        <v>46209.0</v>
      </c>
      <c r="O9" s="3" t="s">
        <v>28</v>
      </c>
      <c r="P9" s="4">
        <v>46156.0</v>
      </c>
      <c r="Q9" s="3">
        <v>53.0</v>
      </c>
      <c r="R9" s="3" t="s">
        <v>29</v>
      </c>
    </row>
    <row r="10">
      <c r="A10" s="3" t="s">
        <v>71</v>
      </c>
      <c r="B10" s="3" t="s">
        <v>72</v>
      </c>
      <c r="C10" s="3" t="s">
        <v>67</v>
      </c>
      <c r="D10" s="3" t="s">
        <v>67</v>
      </c>
      <c r="E10" s="3" t="s">
        <v>23</v>
      </c>
      <c r="F10" s="3" t="s">
        <v>41</v>
      </c>
      <c r="G10" s="3" t="s">
        <v>59</v>
      </c>
      <c r="H10" s="3" t="s">
        <v>54</v>
      </c>
      <c r="I10" s="3" t="s">
        <v>54</v>
      </c>
      <c r="J10" s="4">
        <v>46098.0</v>
      </c>
      <c r="K10" s="4">
        <v>46103.0</v>
      </c>
      <c r="L10" s="4">
        <v>46114.0</v>
      </c>
      <c r="M10" s="4">
        <v>46124.0</v>
      </c>
      <c r="N10" s="4">
        <v>46152.0</v>
      </c>
      <c r="O10" s="3" t="s">
        <v>28</v>
      </c>
      <c r="P10" s="4">
        <v>46095.0</v>
      </c>
      <c r="Q10" s="3">
        <v>57.0</v>
      </c>
      <c r="R10" s="3" t="s">
        <v>29</v>
      </c>
    </row>
    <row r="11">
      <c r="A11" s="3" t="s">
        <v>73</v>
      </c>
      <c r="B11" s="3" t="s">
        <v>74</v>
      </c>
      <c r="C11" s="3" t="s">
        <v>51</v>
      </c>
      <c r="D11" s="3" t="s">
        <v>22</v>
      </c>
      <c r="E11" s="3" t="s">
        <v>47</v>
      </c>
      <c r="F11" s="3" t="s">
        <v>48</v>
      </c>
      <c r="G11" s="3" t="s">
        <v>75</v>
      </c>
      <c r="H11" s="3" t="s">
        <v>26</v>
      </c>
      <c r="I11" s="3" t="s">
        <v>36</v>
      </c>
      <c r="J11" s="4">
        <v>46071.0</v>
      </c>
      <c r="K11" s="4">
        <v>46076.0</v>
      </c>
      <c r="L11" s="4">
        <v>46089.0</v>
      </c>
      <c r="M11" s="4">
        <v>46092.0</v>
      </c>
      <c r="N11" s="7"/>
      <c r="O11" s="3" t="s">
        <v>76</v>
      </c>
      <c r="P11" s="4">
        <v>46068.0</v>
      </c>
      <c r="R11" s="3" t="s">
        <v>29</v>
      </c>
    </row>
    <row r="12">
      <c r="A12" s="3" t="s">
        <v>77</v>
      </c>
      <c r="B12" s="3" t="s">
        <v>78</v>
      </c>
      <c r="C12" s="3" t="s">
        <v>67</v>
      </c>
      <c r="D12" s="3" t="s">
        <v>67</v>
      </c>
      <c r="E12" s="3" t="s">
        <v>23</v>
      </c>
      <c r="F12" s="3" t="s">
        <v>24</v>
      </c>
      <c r="G12" s="3" t="s">
        <v>25</v>
      </c>
      <c r="H12" s="3" t="s">
        <v>26</v>
      </c>
      <c r="I12" s="3" t="s">
        <v>27</v>
      </c>
      <c r="J12" s="4">
        <v>46075.0</v>
      </c>
      <c r="K12" s="4">
        <v>46081.0</v>
      </c>
      <c r="L12" s="4">
        <v>46095.0</v>
      </c>
      <c r="M12" s="4">
        <v>46103.0</v>
      </c>
      <c r="N12" s="4">
        <v>46119.0</v>
      </c>
      <c r="O12" s="3" t="s">
        <v>28</v>
      </c>
      <c r="P12" s="4">
        <v>46070.0</v>
      </c>
      <c r="Q12" s="3">
        <v>49.0</v>
      </c>
      <c r="R12" s="3" t="s">
        <v>29</v>
      </c>
    </row>
    <row r="13">
      <c r="A13" s="3" t="s">
        <v>79</v>
      </c>
      <c r="B13" s="3" t="s">
        <v>80</v>
      </c>
      <c r="C13" s="3" t="s">
        <v>32</v>
      </c>
      <c r="D13" s="3" t="s">
        <v>22</v>
      </c>
      <c r="E13" s="3" t="s">
        <v>52</v>
      </c>
      <c r="F13" s="3" t="s">
        <v>41</v>
      </c>
      <c r="G13" s="3" t="s">
        <v>81</v>
      </c>
      <c r="H13" s="3" t="s">
        <v>54</v>
      </c>
      <c r="I13" s="3" t="s">
        <v>54</v>
      </c>
      <c r="J13" s="4">
        <v>46056.0</v>
      </c>
      <c r="K13" s="4">
        <v>46058.0</v>
      </c>
      <c r="L13" s="4">
        <v>46068.0</v>
      </c>
      <c r="M13" s="4">
        <v>46075.0</v>
      </c>
      <c r="N13" s="4">
        <v>46082.0</v>
      </c>
      <c r="O13" s="3" t="s">
        <v>28</v>
      </c>
      <c r="P13" s="4">
        <v>46053.0</v>
      </c>
      <c r="Q13" s="3">
        <v>29.0</v>
      </c>
      <c r="R13" s="3" t="s">
        <v>29</v>
      </c>
    </row>
    <row r="14">
      <c r="A14" s="3" t="s">
        <v>82</v>
      </c>
      <c r="B14" s="3" t="s">
        <v>83</v>
      </c>
      <c r="C14" s="3" t="s">
        <v>32</v>
      </c>
      <c r="D14" s="3" t="s">
        <v>22</v>
      </c>
      <c r="E14" s="3" t="s">
        <v>23</v>
      </c>
      <c r="F14" s="3" t="s">
        <v>41</v>
      </c>
      <c r="G14" s="3" t="s">
        <v>84</v>
      </c>
      <c r="H14" s="3" t="s">
        <v>35</v>
      </c>
      <c r="I14" s="3" t="s">
        <v>36</v>
      </c>
      <c r="J14" s="4">
        <v>46113.0</v>
      </c>
      <c r="K14" s="4">
        <v>46119.0</v>
      </c>
      <c r="L14" s="7"/>
      <c r="M14" s="7"/>
      <c r="N14" s="7"/>
      <c r="O14" s="3" t="s">
        <v>37</v>
      </c>
      <c r="P14" s="4">
        <v>46113.0</v>
      </c>
      <c r="R14" s="3" t="s">
        <v>29</v>
      </c>
    </row>
    <row r="15">
      <c r="A15" s="3" t="s">
        <v>86</v>
      </c>
      <c r="B15" s="3" t="s">
        <v>87</v>
      </c>
      <c r="C15" s="3" t="s">
        <v>88</v>
      </c>
      <c r="D15" s="3" t="s">
        <v>89</v>
      </c>
      <c r="E15" s="3" t="s">
        <v>47</v>
      </c>
      <c r="F15" s="3" t="s">
        <v>48</v>
      </c>
      <c r="G15" s="3" t="s">
        <v>90</v>
      </c>
      <c r="H15" s="3" t="s">
        <v>35</v>
      </c>
      <c r="I15" s="3" t="s">
        <v>36</v>
      </c>
      <c r="J15" s="4">
        <v>46142.0</v>
      </c>
      <c r="K15" s="4">
        <v>46148.0</v>
      </c>
      <c r="L15" s="4">
        <v>46160.0</v>
      </c>
      <c r="M15" s="7"/>
      <c r="N15" s="7"/>
      <c r="O15" s="3" t="s">
        <v>44</v>
      </c>
      <c r="P15" s="4">
        <v>46138.0</v>
      </c>
      <c r="R15" s="3" t="s">
        <v>29</v>
      </c>
    </row>
    <row r="16">
      <c r="A16" s="3" t="s">
        <v>91</v>
      </c>
      <c r="B16" s="3" t="s">
        <v>92</v>
      </c>
      <c r="C16" s="3" t="s">
        <v>93</v>
      </c>
      <c r="D16" s="3" t="s">
        <v>89</v>
      </c>
      <c r="E16" s="3" t="s">
        <v>47</v>
      </c>
      <c r="F16" s="3" t="s">
        <v>24</v>
      </c>
      <c r="G16" s="3" t="s">
        <v>94</v>
      </c>
      <c r="H16" s="3" t="s">
        <v>60</v>
      </c>
      <c r="I16" s="3" t="s">
        <v>36</v>
      </c>
      <c r="J16" s="4">
        <v>46139.0</v>
      </c>
      <c r="K16" s="4">
        <v>46143.0</v>
      </c>
      <c r="L16" s="4">
        <v>46150.0</v>
      </c>
      <c r="M16" s="7"/>
      <c r="N16" s="7"/>
      <c r="O16" s="3" t="s">
        <v>44</v>
      </c>
      <c r="P16" s="4">
        <v>46135.0</v>
      </c>
      <c r="R16" s="3" t="s">
        <v>29</v>
      </c>
    </row>
    <row r="17">
      <c r="A17" s="3" t="s">
        <v>95</v>
      </c>
      <c r="B17" s="3" t="s">
        <v>50</v>
      </c>
      <c r="C17" s="3" t="s">
        <v>88</v>
      </c>
      <c r="D17" s="3" t="s">
        <v>89</v>
      </c>
      <c r="E17" s="3" t="s">
        <v>40</v>
      </c>
      <c r="F17" s="3" t="s">
        <v>24</v>
      </c>
      <c r="G17" s="3" t="s">
        <v>90</v>
      </c>
      <c r="H17" s="3" t="s">
        <v>54</v>
      </c>
      <c r="I17" s="3" t="s">
        <v>54</v>
      </c>
      <c r="J17" s="4">
        <v>46072.0</v>
      </c>
      <c r="K17" s="7"/>
      <c r="L17" s="7"/>
      <c r="M17" s="7"/>
      <c r="N17" s="7"/>
      <c r="O17" s="3" t="s">
        <v>55</v>
      </c>
      <c r="P17" s="4">
        <v>46067.0</v>
      </c>
      <c r="R17" s="3" t="s">
        <v>29</v>
      </c>
    </row>
    <row r="18">
      <c r="A18" s="3" t="s">
        <v>96</v>
      </c>
      <c r="B18" s="3" t="s">
        <v>97</v>
      </c>
      <c r="C18" s="3" t="s">
        <v>58</v>
      </c>
      <c r="D18" s="3" t="s">
        <v>58</v>
      </c>
      <c r="E18" s="3" t="s">
        <v>40</v>
      </c>
      <c r="F18" s="3" t="s">
        <v>48</v>
      </c>
      <c r="G18" s="3" t="s">
        <v>94</v>
      </c>
      <c r="H18" s="3" t="s">
        <v>43</v>
      </c>
      <c r="I18" s="3" t="s">
        <v>27</v>
      </c>
      <c r="J18" s="4">
        <v>46057.0</v>
      </c>
      <c r="K18" s="4">
        <v>46060.0</v>
      </c>
      <c r="L18" s="4">
        <v>46066.0</v>
      </c>
      <c r="M18" s="4">
        <v>46072.0</v>
      </c>
      <c r="N18" s="7"/>
      <c r="O18" s="3" t="s">
        <v>76</v>
      </c>
      <c r="P18" s="4">
        <v>46056.0</v>
      </c>
      <c r="R18" s="3" t="s">
        <v>29</v>
      </c>
    </row>
    <row r="19">
      <c r="A19" s="3" t="s">
        <v>98</v>
      </c>
      <c r="B19" s="3" t="s">
        <v>97</v>
      </c>
      <c r="C19" s="3" t="s">
        <v>32</v>
      </c>
      <c r="D19" s="3" t="s">
        <v>22</v>
      </c>
      <c r="E19" s="3" t="s">
        <v>47</v>
      </c>
      <c r="F19" s="3" t="s">
        <v>41</v>
      </c>
      <c r="G19" s="3" t="s">
        <v>99</v>
      </c>
      <c r="H19" s="3" t="s">
        <v>60</v>
      </c>
      <c r="I19" s="3" t="s">
        <v>36</v>
      </c>
      <c r="J19" s="4">
        <v>46170.0</v>
      </c>
      <c r="K19" s="4">
        <v>46176.0</v>
      </c>
      <c r="L19" s="4">
        <v>46181.0</v>
      </c>
      <c r="M19" s="7"/>
      <c r="N19" s="7"/>
      <c r="O19" s="3" t="s">
        <v>44</v>
      </c>
      <c r="P19" s="4">
        <v>46165.0</v>
      </c>
      <c r="R19" s="3" t="s">
        <v>29</v>
      </c>
    </row>
    <row r="20">
      <c r="A20" s="3" t="s">
        <v>100</v>
      </c>
      <c r="B20" s="3" t="s">
        <v>101</v>
      </c>
      <c r="C20" s="3" t="s">
        <v>21</v>
      </c>
      <c r="D20" s="3" t="s">
        <v>22</v>
      </c>
      <c r="E20" s="3" t="s">
        <v>23</v>
      </c>
      <c r="F20" s="3" t="s">
        <v>41</v>
      </c>
      <c r="G20" s="3" t="s">
        <v>102</v>
      </c>
      <c r="H20" s="3" t="s">
        <v>26</v>
      </c>
      <c r="I20" s="3" t="s">
        <v>27</v>
      </c>
      <c r="J20" s="4">
        <v>46072.0</v>
      </c>
      <c r="K20" s="4">
        <v>46074.0</v>
      </c>
      <c r="L20" s="4">
        <v>46088.0</v>
      </c>
      <c r="M20" s="4">
        <v>46092.0</v>
      </c>
      <c r="N20" s="4">
        <v>46106.0</v>
      </c>
      <c r="O20" s="3" t="s">
        <v>28</v>
      </c>
      <c r="P20" s="4">
        <v>46071.0</v>
      </c>
      <c r="Q20" s="3">
        <v>35.0</v>
      </c>
      <c r="R20" s="3" t="s">
        <v>29</v>
      </c>
    </row>
    <row r="21">
      <c r="A21" s="3" t="s">
        <v>103</v>
      </c>
      <c r="B21" s="3" t="s">
        <v>80</v>
      </c>
      <c r="C21" s="3" t="s">
        <v>67</v>
      </c>
      <c r="D21" s="3" t="s">
        <v>67</v>
      </c>
      <c r="E21" s="3" t="s">
        <v>47</v>
      </c>
      <c r="F21" s="3" t="s">
        <v>24</v>
      </c>
      <c r="G21" s="3" t="s">
        <v>99</v>
      </c>
      <c r="H21" s="3" t="s">
        <v>43</v>
      </c>
      <c r="I21" s="3" t="s">
        <v>27</v>
      </c>
      <c r="J21" s="4">
        <v>46041.0</v>
      </c>
      <c r="K21" s="7"/>
      <c r="L21" s="7"/>
      <c r="M21" s="7"/>
      <c r="N21" s="7"/>
      <c r="O21" s="3" t="s">
        <v>104</v>
      </c>
      <c r="P21" s="4">
        <v>46041.0</v>
      </c>
      <c r="R21" s="3" t="s">
        <v>29</v>
      </c>
    </row>
    <row r="22">
      <c r="A22" s="3" t="s">
        <v>105</v>
      </c>
      <c r="B22" s="3" t="s">
        <v>39</v>
      </c>
      <c r="C22" s="3" t="s">
        <v>32</v>
      </c>
      <c r="D22" s="3" t="s">
        <v>22</v>
      </c>
      <c r="E22" s="3" t="s">
        <v>40</v>
      </c>
      <c r="F22" s="3" t="s">
        <v>41</v>
      </c>
      <c r="G22" s="3" t="s">
        <v>106</v>
      </c>
      <c r="H22" s="3" t="s">
        <v>54</v>
      </c>
      <c r="I22" s="3" t="s">
        <v>54</v>
      </c>
      <c r="J22" s="4">
        <v>46077.0</v>
      </c>
      <c r="K22" s="4">
        <v>46081.0</v>
      </c>
      <c r="L22" s="4">
        <v>46088.0</v>
      </c>
      <c r="M22" s="7"/>
      <c r="N22" s="7"/>
      <c r="O22" s="3" t="s">
        <v>44</v>
      </c>
      <c r="P22" s="4">
        <v>46074.0</v>
      </c>
      <c r="R22" s="3" t="s">
        <v>45</v>
      </c>
    </row>
    <row r="23">
      <c r="A23" s="3" t="s">
        <v>107</v>
      </c>
      <c r="B23" s="3" t="s">
        <v>92</v>
      </c>
      <c r="C23" s="3" t="s">
        <v>58</v>
      </c>
      <c r="D23" s="3" t="s">
        <v>58</v>
      </c>
      <c r="E23" s="3" t="s">
        <v>47</v>
      </c>
      <c r="F23" s="3" t="s">
        <v>48</v>
      </c>
      <c r="G23" s="3" t="s">
        <v>106</v>
      </c>
      <c r="H23" s="3" t="s">
        <v>26</v>
      </c>
      <c r="I23" s="3" t="s">
        <v>36</v>
      </c>
      <c r="J23" s="4">
        <v>46047.0</v>
      </c>
      <c r="K23" s="4">
        <v>46054.0</v>
      </c>
      <c r="L23" s="4">
        <v>46068.0</v>
      </c>
      <c r="M23" s="4">
        <v>46073.0</v>
      </c>
      <c r="N23" s="4">
        <v>46099.0</v>
      </c>
      <c r="O23" s="3" t="s">
        <v>28</v>
      </c>
      <c r="P23" s="4">
        <v>46045.0</v>
      </c>
      <c r="Q23" s="3">
        <v>54.0</v>
      </c>
      <c r="R23" s="3" t="s">
        <v>29</v>
      </c>
    </row>
    <row r="24">
      <c r="A24" s="3" t="s">
        <v>109</v>
      </c>
      <c r="B24" s="3" t="s">
        <v>97</v>
      </c>
      <c r="C24" s="3" t="s">
        <v>51</v>
      </c>
      <c r="D24" s="3" t="s">
        <v>22</v>
      </c>
      <c r="E24" s="3" t="s">
        <v>52</v>
      </c>
      <c r="F24" s="3" t="s">
        <v>41</v>
      </c>
      <c r="G24" s="3" t="s">
        <v>110</v>
      </c>
      <c r="H24" s="3" t="s">
        <v>54</v>
      </c>
      <c r="I24" s="3" t="s">
        <v>54</v>
      </c>
      <c r="J24" s="4">
        <v>46161.0</v>
      </c>
      <c r="K24" s="7"/>
      <c r="L24" s="7"/>
      <c r="M24" s="7"/>
      <c r="N24" s="7"/>
      <c r="O24" s="3" t="s">
        <v>104</v>
      </c>
      <c r="P24" s="4">
        <v>46156.0</v>
      </c>
      <c r="R24" s="3" t="s">
        <v>29</v>
      </c>
    </row>
    <row r="25">
      <c r="A25" s="3" t="s">
        <v>112</v>
      </c>
      <c r="B25" s="3" t="s">
        <v>39</v>
      </c>
      <c r="C25" s="3" t="s">
        <v>67</v>
      </c>
      <c r="D25" s="3" t="s">
        <v>67</v>
      </c>
      <c r="E25" s="3" t="s">
        <v>52</v>
      </c>
      <c r="F25" s="3" t="s">
        <v>24</v>
      </c>
      <c r="G25" s="3" t="s">
        <v>106</v>
      </c>
      <c r="H25" s="3" t="s">
        <v>43</v>
      </c>
      <c r="I25" s="3" t="s">
        <v>36</v>
      </c>
      <c r="J25" s="4">
        <v>46083.0</v>
      </c>
      <c r="K25" s="4">
        <v>46090.0</v>
      </c>
      <c r="L25" s="7"/>
      <c r="M25" s="7"/>
      <c r="N25" s="7"/>
      <c r="O25" s="3" t="s">
        <v>55</v>
      </c>
      <c r="P25" s="4">
        <v>46078.0</v>
      </c>
      <c r="R25" s="3" t="s">
        <v>45</v>
      </c>
    </row>
    <row r="26">
      <c r="A26" s="3" t="s">
        <v>113</v>
      </c>
      <c r="B26" s="3" t="s">
        <v>114</v>
      </c>
      <c r="C26" s="3" t="s">
        <v>58</v>
      </c>
      <c r="D26" s="3" t="s">
        <v>58</v>
      </c>
      <c r="E26" s="3" t="s">
        <v>23</v>
      </c>
      <c r="F26" s="3" t="s">
        <v>48</v>
      </c>
      <c r="G26" s="3" t="s">
        <v>63</v>
      </c>
      <c r="H26" s="3" t="s">
        <v>60</v>
      </c>
      <c r="I26" s="3" t="s">
        <v>27</v>
      </c>
      <c r="J26" s="4">
        <v>46067.0</v>
      </c>
      <c r="K26" s="4">
        <v>46074.0</v>
      </c>
      <c r="L26" s="7"/>
      <c r="M26" s="7"/>
      <c r="N26" s="7"/>
      <c r="O26" s="3" t="s">
        <v>37</v>
      </c>
      <c r="P26" s="4">
        <v>46064.0</v>
      </c>
      <c r="R26" s="3" t="s">
        <v>45</v>
      </c>
    </row>
    <row r="27">
      <c r="A27" s="3" t="s">
        <v>116</v>
      </c>
      <c r="B27" s="3" t="s">
        <v>20</v>
      </c>
      <c r="C27" s="3" t="s">
        <v>32</v>
      </c>
      <c r="D27" s="3" t="s">
        <v>22</v>
      </c>
      <c r="E27" s="3" t="s">
        <v>47</v>
      </c>
      <c r="F27" s="3" t="s">
        <v>41</v>
      </c>
      <c r="G27" s="3" t="s">
        <v>94</v>
      </c>
      <c r="H27" s="3" t="s">
        <v>35</v>
      </c>
      <c r="I27" s="3" t="s">
        <v>27</v>
      </c>
      <c r="J27" s="4">
        <v>46161.0</v>
      </c>
      <c r="K27" s="4">
        <v>46167.0</v>
      </c>
      <c r="L27" s="4">
        <v>46176.0</v>
      </c>
      <c r="M27" s="7"/>
      <c r="N27" s="7"/>
      <c r="O27" s="3" t="s">
        <v>44</v>
      </c>
      <c r="P27" s="4">
        <v>46157.0</v>
      </c>
      <c r="R27" s="3" t="s">
        <v>29</v>
      </c>
    </row>
    <row r="28">
      <c r="A28" s="3" t="s">
        <v>117</v>
      </c>
      <c r="B28" s="3" t="s">
        <v>118</v>
      </c>
      <c r="C28" s="3" t="s">
        <v>58</v>
      </c>
      <c r="D28" s="3" t="s">
        <v>58</v>
      </c>
      <c r="E28" s="3" t="s">
        <v>23</v>
      </c>
      <c r="F28" s="3" t="s">
        <v>48</v>
      </c>
      <c r="G28" s="3" t="s">
        <v>90</v>
      </c>
      <c r="H28" s="3" t="s">
        <v>43</v>
      </c>
      <c r="I28" s="3" t="s">
        <v>36</v>
      </c>
      <c r="J28" s="4">
        <v>46069.0</v>
      </c>
      <c r="K28" s="4">
        <v>46074.0</v>
      </c>
      <c r="L28" s="4">
        <v>46085.0</v>
      </c>
      <c r="M28" s="4">
        <v>46094.0</v>
      </c>
      <c r="N28" s="7"/>
      <c r="O28" s="3" t="s">
        <v>76</v>
      </c>
      <c r="P28" s="4">
        <v>46068.0</v>
      </c>
      <c r="R28" s="3" t="s">
        <v>45</v>
      </c>
    </row>
    <row r="29">
      <c r="A29" s="3" t="s">
        <v>119</v>
      </c>
      <c r="B29" s="3" t="s">
        <v>120</v>
      </c>
      <c r="C29" s="3" t="s">
        <v>115</v>
      </c>
      <c r="D29" s="3" t="s">
        <v>115</v>
      </c>
      <c r="E29" s="3" t="s">
        <v>47</v>
      </c>
      <c r="F29" s="3" t="s">
        <v>24</v>
      </c>
      <c r="G29" s="3" t="s">
        <v>121</v>
      </c>
      <c r="H29" s="3" t="s">
        <v>35</v>
      </c>
      <c r="I29" s="3" t="s">
        <v>27</v>
      </c>
      <c r="J29" s="4">
        <v>46024.0</v>
      </c>
      <c r="K29" s="4">
        <v>46031.0</v>
      </c>
      <c r="L29" s="4">
        <v>46039.0</v>
      </c>
      <c r="M29" s="4">
        <v>46044.0</v>
      </c>
      <c r="N29" s="7"/>
      <c r="O29" s="3" t="s">
        <v>104</v>
      </c>
      <c r="P29" s="4">
        <v>46023.0</v>
      </c>
      <c r="R29" s="3" t="s">
        <v>45</v>
      </c>
    </row>
    <row r="30">
      <c r="A30" s="3" t="s">
        <v>122</v>
      </c>
      <c r="B30" s="3" t="s">
        <v>123</v>
      </c>
      <c r="C30" s="3" t="s">
        <v>93</v>
      </c>
      <c r="D30" s="3" t="s">
        <v>89</v>
      </c>
      <c r="E30" s="3" t="s">
        <v>40</v>
      </c>
      <c r="F30" s="3" t="s">
        <v>41</v>
      </c>
      <c r="G30" s="3" t="s">
        <v>59</v>
      </c>
      <c r="H30" s="3" t="s">
        <v>54</v>
      </c>
      <c r="I30" s="3" t="s">
        <v>54</v>
      </c>
      <c r="J30" s="4">
        <v>46093.0</v>
      </c>
      <c r="K30" s="4">
        <v>46095.0</v>
      </c>
      <c r="L30" s="4">
        <v>46105.0</v>
      </c>
      <c r="M30" s="7"/>
      <c r="N30" s="7"/>
      <c r="O30" s="3" t="s">
        <v>104</v>
      </c>
      <c r="P30" s="4">
        <v>46091.0</v>
      </c>
      <c r="R30" s="3" t="s">
        <v>29</v>
      </c>
    </row>
    <row r="31">
      <c r="A31" s="3" t="s">
        <v>125</v>
      </c>
      <c r="B31" s="3" t="s">
        <v>126</v>
      </c>
      <c r="C31" s="3" t="s">
        <v>51</v>
      </c>
      <c r="D31" s="3" t="s">
        <v>22</v>
      </c>
      <c r="E31" s="3" t="s">
        <v>47</v>
      </c>
      <c r="F31" s="3" t="s">
        <v>41</v>
      </c>
      <c r="G31" s="3" t="s">
        <v>121</v>
      </c>
      <c r="H31" s="3" t="s">
        <v>60</v>
      </c>
      <c r="I31" s="3" t="s">
        <v>36</v>
      </c>
      <c r="J31" s="4">
        <v>46067.0</v>
      </c>
      <c r="K31" s="4">
        <v>46072.0</v>
      </c>
      <c r="L31" s="4">
        <v>46077.0</v>
      </c>
      <c r="M31" s="7"/>
      <c r="N31" s="7"/>
      <c r="O31" s="3" t="s">
        <v>44</v>
      </c>
      <c r="P31" s="4">
        <v>46066.0</v>
      </c>
      <c r="R31" s="3" t="s">
        <v>29</v>
      </c>
    </row>
    <row r="32">
      <c r="A32" s="3" t="s">
        <v>128</v>
      </c>
      <c r="B32" s="3" t="s">
        <v>118</v>
      </c>
      <c r="C32" s="3" t="s">
        <v>32</v>
      </c>
      <c r="D32" s="3" t="s">
        <v>22</v>
      </c>
      <c r="E32" s="3" t="s">
        <v>23</v>
      </c>
      <c r="F32" s="3" t="s">
        <v>41</v>
      </c>
      <c r="G32" s="3" t="s">
        <v>129</v>
      </c>
      <c r="H32" s="3" t="s">
        <v>60</v>
      </c>
      <c r="I32" s="3" t="s">
        <v>27</v>
      </c>
      <c r="J32" s="4">
        <v>46121.0</v>
      </c>
      <c r="K32" s="4">
        <v>46127.0</v>
      </c>
      <c r="L32" s="7"/>
      <c r="M32" s="7"/>
      <c r="N32" s="7"/>
      <c r="O32" s="3" t="s">
        <v>55</v>
      </c>
      <c r="P32" s="4">
        <v>46116.0</v>
      </c>
      <c r="R32" s="3" t="s">
        <v>45</v>
      </c>
    </row>
    <row r="33">
      <c r="A33" s="3" t="s">
        <v>131</v>
      </c>
      <c r="B33" s="3" t="s">
        <v>120</v>
      </c>
      <c r="C33" s="3" t="s">
        <v>51</v>
      </c>
      <c r="D33" s="3" t="s">
        <v>22</v>
      </c>
      <c r="E33" s="3" t="s">
        <v>40</v>
      </c>
      <c r="F33" s="3" t="s">
        <v>33</v>
      </c>
      <c r="G33" s="3" t="s">
        <v>42</v>
      </c>
      <c r="H33" s="3" t="s">
        <v>43</v>
      </c>
      <c r="I33" s="3" t="s">
        <v>27</v>
      </c>
      <c r="J33" s="4">
        <v>46174.0</v>
      </c>
      <c r="K33" s="7"/>
      <c r="L33" s="7"/>
      <c r="M33" s="7"/>
      <c r="N33" s="7"/>
      <c r="O33" s="3" t="s">
        <v>104</v>
      </c>
      <c r="P33" s="4">
        <v>46171.0</v>
      </c>
      <c r="R33" s="3" t="s">
        <v>45</v>
      </c>
    </row>
    <row r="34">
      <c r="A34" s="3" t="s">
        <v>132</v>
      </c>
      <c r="B34" s="3" t="s">
        <v>133</v>
      </c>
      <c r="C34" s="3" t="s">
        <v>32</v>
      </c>
      <c r="D34" s="3" t="s">
        <v>22</v>
      </c>
      <c r="E34" s="3" t="s">
        <v>40</v>
      </c>
      <c r="F34" s="3" t="s">
        <v>33</v>
      </c>
      <c r="G34" s="3" t="s">
        <v>70</v>
      </c>
      <c r="H34" s="3" t="s">
        <v>54</v>
      </c>
      <c r="I34" s="3" t="s">
        <v>54</v>
      </c>
      <c r="J34" s="4">
        <v>46073.0</v>
      </c>
      <c r="K34" s="4">
        <v>46078.0</v>
      </c>
      <c r="L34" s="4">
        <v>46082.0</v>
      </c>
      <c r="M34" s="7"/>
      <c r="N34" s="7"/>
      <c r="O34" s="3" t="s">
        <v>55</v>
      </c>
      <c r="P34" s="4">
        <v>46072.0</v>
      </c>
      <c r="R34" s="3" t="s">
        <v>29</v>
      </c>
    </row>
    <row r="35">
      <c r="A35" s="3" t="s">
        <v>134</v>
      </c>
      <c r="B35" s="3" t="s">
        <v>135</v>
      </c>
      <c r="C35" s="3" t="s">
        <v>21</v>
      </c>
      <c r="D35" s="3" t="s">
        <v>22</v>
      </c>
      <c r="E35" s="3" t="s">
        <v>47</v>
      </c>
      <c r="F35" s="3" t="s">
        <v>33</v>
      </c>
      <c r="G35" s="3" t="s">
        <v>99</v>
      </c>
      <c r="H35" s="3" t="s">
        <v>26</v>
      </c>
      <c r="I35" s="3" t="s">
        <v>36</v>
      </c>
      <c r="J35" s="4">
        <v>46090.0</v>
      </c>
      <c r="K35" s="4">
        <v>46094.0</v>
      </c>
      <c r="L35" s="4">
        <v>46106.0</v>
      </c>
      <c r="M35" s="7"/>
      <c r="N35" s="7"/>
      <c r="O35" s="3" t="s">
        <v>55</v>
      </c>
      <c r="P35" s="4">
        <v>46090.0</v>
      </c>
      <c r="R35" s="3" t="s">
        <v>29</v>
      </c>
    </row>
    <row r="36">
      <c r="A36" s="3" t="s">
        <v>137</v>
      </c>
      <c r="B36" s="3" t="s">
        <v>74</v>
      </c>
      <c r="C36" s="3" t="s">
        <v>51</v>
      </c>
      <c r="D36" s="3" t="s">
        <v>22</v>
      </c>
      <c r="E36" s="3" t="s">
        <v>40</v>
      </c>
      <c r="F36" s="3" t="s">
        <v>48</v>
      </c>
      <c r="G36" s="3" t="s">
        <v>75</v>
      </c>
      <c r="H36" s="3" t="s">
        <v>43</v>
      </c>
      <c r="I36" s="3" t="s">
        <v>27</v>
      </c>
      <c r="J36" s="4">
        <v>46169.0</v>
      </c>
      <c r="K36" s="4">
        <v>46174.0</v>
      </c>
      <c r="L36" s="7"/>
      <c r="M36" s="7"/>
      <c r="N36" s="7"/>
      <c r="O36" s="3" t="s">
        <v>37</v>
      </c>
      <c r="P36" s="4">
        <v>46164.0</v>
      </c>
      <c r="R36" s="3" t="s">
        <v>29</v>
      </c>
    </row>
    <row r="37">
      <c r="A37" s="3" t="s">
        <v>138</v>
      </c>
      <c r="B37" s="3" t="s">
        <v>120</v>
      </c>
      <c r="C37" s="3" t="s">
        <v>93</v>
      </c>
      <c r="D37" s="3" t="s">
        <v>89</v>
      </c>
      <c r="E37" s="3" t="s">
        <v>40</v>
      </c>
      <c r="F37" s="3" t="s">
        <v>24</v>
      </c>
      <c r="G37" s="3" t="s">
        <v>106</v>
      </c>
      <c r="H37" s="3" t="s">
        <v>43</v>
      </c>
      <c r="I37" s="3" t="s">
        <v>36</v>
      </c>
      <c r="J37" s="4">
        <v>46122.0</v>
      </c>
      <c r="K37" s="4">
        <v>46126.0</v>
      </c>
      <c r="L37" s="7"/>
      <c r="M37" s="7"/>
      <c r="N37" s="7"/>
      <c r="O37" s="3" t="s">
        <v>37</v>
      </c>
      <c r="P37" s="4">
        <v>46117.0</v>
      </c>
      <c r="R37" s="3" t="s">
        <v>45</v>
      </c>
    </row>
    <row r="38">
      <c r="A38" s="3" t="s">
        <v>139</v>
      </c>
      <c r="B38" s="3" t="s">
        <v>140</v>
      </c>
      <c r="C38" s="3" t="s">
        <v>32</v>
      </c>
      <c r="D38" s="3" t="s">
        <v>22</v>
      </c>
      <c r="E38" s="3" t="s">
        <v>52</v>
      </c>
      <c r="F38" s="3" t="s">
        <v>24</v>
      </c>
      <c r="G38" s="3" t="s">
        <v>129</v>
      </c>
      <c r="H38" s="3" t="s">
        <v>26</v>
      </c>
      <c r="I38" s="3" t="s">
        <v>27</v>
      </c>
      <c r="J38" s="4">
        <v>46117.0</v>
      </c>
      <c r="K38" s="4">
        <v>46123.0</v>
      </c>
      <c r="L38" s="4">
        <v>46132.0</v>
      </c>
      <c r="M38" s="7"/>
      <c r="N38" s="7"/>
      <c r="O38" s="3" t="s">
        <v>44</v>
      </c>
      <c r="P38" s="4">
        <v>46117.0</v>
      </c>
      <c r="R38" s="3" t="s">
        <v>29</v>
      </c>
    </row>
    <row r="39">
      <c r="A39" s="3" t="s">
        <v>143</v>
      </c>
      <c r="B39" s="3" t="s">
        <v>39</v>
      </c>
      <c r="C39" s="3" t="s">
        <v>88</v>
      </c>
      <c r="D39" s="3" t="s">
        <v>89</v>
      </c>
      <c r="E39" s="3" t="s">
        <v>52</v>
      </c>
      <c r="F39" s="3" t="s">
        <v>48</v>
      </c>
      <c r="G39" s="3" t="s">
        <v>81</v>
      </c>
      <c r="H39" s="3" t="s">
        <v>60</v>
      </c>
      <c r="I39" s="3" t="s">
        <v>27</v>
      </c>
      <c r="J39" s="4">
        <v>46117.0</v>
      </c>
      <c r="K39" s="4">
        <v>46119.0</v>
      </c>
      <c r="L39" s="7"/>
      <c r="M39" s="7"/>
      <c r="N39" s="7"/>
      <c r="O39" s="3" t="s">
        <v>55</v>
      </c>
      <c r="P39" s="4">
        <v>46113.0</v>
      </c>
      <c r="R39" s="3" t="s">
        <v>45</v>
      </c>
    </row>
    <row r="40">
      <c r="A40" s="3" t="s">
        <v>144</v>
      </c>
      <c r="B40" s="3" t="s">
        <v>145</v>
      </c>
      <c r="C40" s="3" t="s">
        <v>115</v>
      </c>
      <c r="D40" s="3" t="s">
        <v>115</v>
      </c>
      <c r="E40" s="3" t="s">
        <v>23</v>
      </c>
      <c r="F40" s="3" t="s">
        <v>33</v>
      </c>
      <c r="G40" s="3" t="s">
        <v>84</v>
      </c>
      <c r="H40" s="3" t="s">
        <v>35</v>
      </c>
      <c r="I40" s="3" t="s">
        <v>27</v>
      </c>
      <c r="J40" s="4">
        <v>46030.0</v>
      </c>
      <c r="K40" s="7"/>
      <c r="L40" s="7"/>
      <c r="M40" s="7"/>
      <c r="N40" s="7"/>
      <c r="O40" s="3" t="s">
        <v>104</v>
      </c>
      <c r="P40" s="4">
        <v>46030.0</v>
      </c>
      <c r="R40" s="3" t="s">
        <v>29</v>
      </c>
    </row>
    <row r="41">
      <c r="A41" s="3" t="s">
        <v>147</v>
      </c>
      <c r="B41" s="3" t="s">
        <v>148</v>
      </c>
      <c r="C41" s="3" t="s">
        <v>88</v>
      </c>
      <c r="D41" s="3" t="s">
        <v>89</v>
      </c>
      <c r="E41" s="3" t="s">
        <v>47</v>
      </c>
      <c r="F41" s="3" t="s">
        <v>41</v>
      </c>
      <c r="G41" s="3" t="s">
        <v>149</v>
      </c>
      <c r="H41" s="3" t="s">
        <v>43</v>
      </c>
      <c r="I41" s="3" t="s">
        <v>27</v>
      </c>
      <c r="J41" s="4">
        <v>46153.0</v>
      </c>
      <c r="K41" s="4">
        <v>46156.0</v>
      </c>
      <c r="L41" s="7"/>
      <c r="M41" s="7"/>
      <c r="N41" s="7"/>
      <c r="O41" s="3" t="s">
        <v>104</v>
      </c>
      <c r="P41" s="4">
        <v>46151.0</v>
      </c>
      <c r="R41" s="3" t="s">
        <v>45</v>
      </c>
    </row>
    <row r="42">
      <c r="A42" s="3" t="s">
        <v>150</v>
      </c>
      <c r="B42" s="3" t="s">
        <v>151</v>
      </c>
      <c r="C42" s="3" t="s">
        <v>67</v>
      </c>
      <c r="D42" s="3" t="s">
        <v>67</v>
      </c>
      <c r="E42" s="3" t="s">
        <v>52</v>
      </c>
      <c r="F42" s="3" t="s">
        <v>24</v>
      </c>
      <c r="G42" s="3" t="s">
        <v>149</v>
      </c>
      <c r="H42" s="3" t="s">
        <v>35</v>
      </c>
      <c r="I42" s="3" t="s">
        <v>27</v>
      </c>
      <c r="J42" s="4">
        <v>46037.0</v>
      </c>
      <c r="K42" s="4">
        <v>46041.0</v>
      </c>
      <c r="L42" s="4">
        <v>46051.0</v>
      </c>
      <c r="M42" s="4">
        <v>46057.0</v>
      </c>
      <c r="N42" s="4">
        <v>46084.0</v>
      </c>
      <c r="O42" s="3" t="s">
        <v>28</v>
      </c>
      <c r="P42" s="4">
        <v>46036.0</v>
      </c>
      <c r="Q42" s="3">
        <v>48.0</v>
      </c>
      <c r="R42" s="3" t="s">
        <v>29</v>
      </c>
    </row>
    <row r="43">
      <c r="A43" s="3" t="s">
        <v>153</v>
      </c>
      <c r="B43" s="3" t="s">
        <v>92</v>
      </c>
      <c r="C43" s="3" t="s">
        <v>88</v>
      </c>
      <c r="D43" s="3" t="s">
        <v>89</v>
      </c>
      <c r="E43" s="3" t="s">
        <v>23</v>
      </c>
      <c r="F43" s="3" t="s">
        <v>33</v>
      </c>
      <c r="G43" s="3" t="s">
        <v>90</v>
      </c>
      <c r="H43" s="3" t="s">
        <v>54</v>
      </c>
      <c r="I43" s="3" t="s">
        <v>54</v>
      </c>
      <c r="J43" s="4">
        <v>46178.0</v>
      </c>
      <c r="K43" s="7"/>
      <c r="L43" s="7"/>
      <c r="M43" s="7"/>
      <c r="N43" s="7"/>
      <c r="O43" s="3" t="s">
        <v>55</v>
      </c>
      <c r="P43" s="4">
        <v>46173.0</v>
      </c>
      <c r="R43" s="3" t="s">
        <v>29</v>
      </c>
    </row>
    <row r="44">
      <c r="A44" s="3" t="s">
        <v>154</v>
      </c>
      <c r="B44" s="3" t="s">
        <v>83</v>
      </c>
      <c r="C44" s="3" t="s">
        <v>115</v>
      </c>
      <c r="D44" s="3" t="s">
        <v>115</v>
      </c>
      <c r="E44" s="3" t="s">
        <v>52</v>
      </c>
      <c r="F44" s="3" t="s">
        <v>33</v>
      </c>
      <c r="G44" s="3" t="s">
        <v>84</v>
      </c>
      <c r="H44" s="3" t="s">
        <v>26</v>
      </c>
      <c r="I44" s="3" t="s">
        <v>36</v>
      </c>
      <c r="J44" s="4">
        <v>46137.0</v>
      </c>
      <c r="K44" s="7"/>
      <c r="L44" s="7"/>
      <c r="M44" s="7"/>
      <c r="N44" s="7"/>
      <c r="O44" s="3" t="s">
        <v>104</v>
      </c>
      <c r="P44" s="4">
        <v>46134.0</v>
      </c>
      <c r="R44" s="3" t="s">
        <v>29</v>
      </c>
    </row>
    <row r="45">
      <c r="A45" s="3" t="s">
        <v>155</v>
      </c>
      <c r="B45" s="3" t="s">
        <v>80</v>
      </c>
      <c r="C45" s="3" t="s">
        <v>58</v>
      </c>
      <c r="D45" s="3" t="s">
        <v>58</v>
      </c>
      <c r="E45" s="3" t="s">
        <v>47</v>
      </c>
      <c r="F45" s="3" t="s">
        <v>48</v>
      </c>
      <c r="G45" s="3" t="s">
        <v>63</v>
      </c>
      <c r="H45" s="3" t="s">
        <v>60</v>
      </c>
      <c r="I45" s="3" t="s">
        <v>27</v>
      </c>
      <c r="J45" s="4">
        <v>46109.0</v>
      </c>
      <c r="K45" s="4">
        <v>46116.0</v>
      </c>
      <c r="L45" s="7"/>
      <c r="M45" s="7"/>
      <c r="N45" s="7"/>
      <c r="O45" s="3" t="s">
        <v>37</v>
      </c>
      <c r="P45" s="4">
        <v>46108.0</v>
      </c>
      <c r="R45" s="3" t="s">
        <v>29</v>
      </c>
    </row>
    <row r="46">
      <c r="A46" s="3" t="s">
        <v>156</v>
      </c>
      <c r="B46" s="3" t="s">
        <v>50</v>
      </c>
      <c r="C46" s="3" t="s">
        <v>58</v>
      </c>
      <c r="D46" s="3" t="s">
        <v>58</v>
      </c>
      <c r="E46" s="3" t="s">
        <v>23</v>
      </c>
      <c r="F46" s="3" t="s">
        <v>24</v>
      </c>
      <c r="G46" s="3" t="s">
        <v>90</v>
      </c>
      <c r="H46" s="3" t="s">
        <v>60</v>
      </c>
      <c r="I46" s="3" t="s">
        <v>27</v>
      </c>
      <c r="J46" s="4">
        <v>46146.0</v>
      </c>
      <c r="K46" s="4">
        <v>46150.0</v>
      </c>
      <c r="L46" s="4">
        <v>46160.0</v>
      </c>
      <c r="M46" s="4">
        <v>46166.0</v>
      </c>
      <c r="N46" s="4">
        <v>46192.0</v>
      </c>
      <c r="O46" s="3" t="s">
        <v>28</v>
      </c>
      <c r="P46" s="4">
        <v>46142.0</v>
      </c>
      <c r="Q46" s="3">
        <v>50.0</v>
      </c>
      <c r="R46" s="3" t="s">
        <v>29</v>
      </c>
    </row>
    <row r="47">
      <c r="A47" s="3" t="s">
        <v>158</v>
      </c>
      <c r="B47" s="3" t="s">
        <v>159</v>
      </c>
      <c r="C47" s="3" t="s">
        <v>67</v>
      </c>
      <c r="D47" s="3" t="s">
        <v>67</v>
      </c>
      <c r="E47" s="3" t="s">
        <v>23</v>
      </c>
      <c r="F47" s="3" t="s">
        <v>24</v>
      </c>
      <c r="G47" s="3" t="s">
        <v>129</v>
      </c>
      <c r="H47" s="3" t="s">
        <v>43</v>
      </c>
      <c r="I47" s="3" t="s">
        <v>27</v>
      </c>
      <c r="J47" s="4">
        <v>46069.0</v>
      </c>
      <c r="K47" s="7"/>
      <c r="L47" s="7"/>
      <c r="M47" s="7"/>
      <c r="N47" s="7"/>
      <c r="O47" s="3" t="s">
        <v>104</v>
      </c>
      <c r="P47" s="4">
        <v>46069.0</v>
      </c>
      <c r="R47" s="3" t="s">
        <v>45</v>
      </c>
    </row>
    <row r="48">
      <c r="A48" s="3" t="s">
        <v>160</v>
      </c>
      <c r="B48" s="3" t="s">
        <v>161</v>
      </c>
      <c r="C48" s="3" t="s">
        <v>32</v>
      </c>
      <c r="D48" s="3" t="s">
        <v>22</v>
      </c>
      <c r="E48" s="3" t="s">
        <v>23</v>
      </c>
      <c r="F48" s="3" t="s">
        <v>48</v>
      </c>
      <c r="G48" s="3" t="s">
        <v>70</v>
      </c>
      <c r="H48" s="3" t="s">
        <v>60</v>
      </c>
      <c r="I48" s="3" t="s">
        <v>27</v>
      </c>
      <c r="J48" s="4">
        <v>46170.0</v>
      </c>
      <c r="K48" s="4">
        <v>46175.0</v>
      </c>
      <c r="L48" s="4">
        <v>46186.0</v>
      </c>
      <c r="M48" s="7"/>
      <c r="N48" s="7"/>
      <c r="O48" s="3" t="s">
        <v>44</v>
      </c>
      <c r="P48" s="4">
        <v>46165.0</v>
      </c>
      <c r="R48" s="3" t="s">
        <v>29</v>
      </c>
    </row>
    <row r="49">
      <c r="A49" s="3" t="s">
        <v>162</v>
      </c>
      <c r="B49" s="3" t="s">
        <v>163</v>
      </c>
      <c r="C49" s="3" t="s">
        <v>32</v>
      </c>
      <c r="D49" s="3" t="s">
        <v>22</v>
      </c>
      <c r="E49" s="3" t="s">
        <v>52</v>
      </c>
      <c r="F49" s="3" t="s">
        <v>41</v>
      </c>
      <c r="G49" s="3" t="s">
        <v>149</v>
      </c>
      <c r="H49" s="3" t="s">
        <v>35</v>
      </c>
      <c r="I49" s="3" t="s">
        <v>36</v>
      </c>
      <c r="J49" s="4">
        <v>46106.0</v>
      </c>
      <c r="K49" s="4">
        <v>46109.0</v>
      </c>
      <c r="L49" s="7"/>
      <c r="M49" s="7"/>
      <c r="N49" s="7"/>
      <c r="O49" s="3" t="s">
        <v>104</v>
      </c>
      <c r="P49" s="4">
        <v>46104.0</v>
      </c>
      <c r="R49" s="3" t="s">
        <v>29</v>
      </c>
    </row>
    <row r="50">
      <c r="A50" s="3" t="s">
        <v>164</v>
      </c>
      <c r="B50" s="3" t="s">
        <v>165</v>
      </c>
      <c r="C50" s="3" t="s">
        <v>51</v>
      </c>
      <c r="D50" s="3" t="s">
        <v>22</v>
      </c>
      <c r="E50" s="3" t="s">
        <v>40</v>
      </c>
      <c r="F50" s="3" t="s">
        <v>41</v>
      </c>
      <c r="G50" s="3" t="s">
        <v>121</v>
      </c>
      <c r="H50" s="3" t="s">
        <v>26</v>
      </c>
      <c r="I50" s="3" t="s">
        <v>36</v>
      </c>
      <c r="J50" s="4">
        <v>46139.0</v>
      </c>
      <c r="K50" s="4">
        <v>46142.0</v>
      </c>
      <c r="L50" s="7"/>
      <c r="M50" s="7"/>
      <c r="N50" s="7"/>
      <c r="O50" s="3" t="s">
        <v>55</v>
      </c>
      <c r="P50" s="4">
        <v>46136.0</v>
      </c>
      <c r="R50" s="3" t="s">
        <v>29</v>
      </c>
    </row>
    <row r="51">
      <c r="A51" s="3" t="s">
        <v>166</v>
      </c>
      <c r="B51" s="3" t="s">
        <v>72</v>
      </c>
      <c r="C51" s="3" t="s">
        <v>51</v>
      </c>
      <c r="D51" s="3" t="s">
        <v>22</v>
      </c>
      <c r="E51" s="3" t="s">
        <v>47</v>
      </c>
      <c r="F51" s="3" t="s">
        <v>48</v>
      </c>
      <c r="G51" s="3" t="s">
        <v>70</v>
      </c>
      <c r="H51" s="3" t="s">
        <v>43</v>
      </c>
      <c r="I51" s="3" t="s">
        <v>36</v>
      </c>
      <c r="J51" s="4">
        <v>46051.0</v>
      </c>
      <c r="K51" s="4">
        <v>46056.0</v>
      </c>
      <c r="L51" s="7"/>
      <c r="M51" s="7"/>
      <c r="N51" s="7"/>
      <c r="O51" s="3" t="s">
        <v>104</v>
      </c>
      <c r="P51" s="4">
        <v>46049.0</v>
      </c>
      <c r="R51" s="3" t="s">
        <v>29</v>
      </c>
    </row>
    <row r="52">
      <c r="A52" s="3" t="s">
        <v>167</v>
      </c>
      <c r="B52" s="3" t="s">
        <v>123</v>
      </c>
      <c r="C52" s="3" t="s">
        <v>51</v>
      </c>
      <c r="D52" s="3" t="s">
        <v>22</v>
      </c>
      <c r="E52" s="3" t="s">
        <v>40</v>
      </c>
      <c r="F52" s="3" t="s">
        <v>41</v>
      </c>
      <c r="G52" s="3" t="s">
        <v>102</v>
      </c>
      <c r="H52" s="3" t="s">
        <v>43</v>
      </c>
      <c r="I52" s="3" t="s">
        <v>36</v>
      </c>
      <c r="J52" s="4">
        <v>46096.0</v>
      </c>
      <c r="K52" s="4">
        <v>46099.0</v>
      </c>
      <c r="L52" s="7"/>
      <c r="M52" s="7"/>
      <c r="N52" s="7"/>
      <c r="O52" s="3" t="s">
        <v>104</v>
      </c>
      <c r="P52" s="4">
        <v>46091.0</v>
      </c>
      <c r="R52" s="3" t="s">
        <v>29</v>
      </c>
    </row>
    <row r="53">
      <c r="A53" s="3" t="s">
        <v>168</v>
      </c>
      <c r="B53" s="3" t="s">
        <v>169</v>
      </c>
      <c r="C53" s="3" t="s">
        <v>93</v>
      </c>
      <c r="D53" s="3" t="s">
        <v>89</v>
      </c>
      <c r="E53" s="3" t="s">
        <v>23</v>
      </c>
      <c r="F53" s="3" t="s">
        <v>48</v>
      </c>
      <c r="G53" s="3" t="s">
        <v>99</v>
      </c>
      <c r="H53" s="3" t="s">
        <v>54</v>
      </c>
      <c r="I53" s="3" t="s">
        <v>54</v>
      </c>
      <c r="J53" s="4">
        <v>46135.0</v>
      </c>
      <c r="K53" s="4">
        <v>46141.0</v>
      </c>
      <c r="L53" s="4">
        <v>46155.0</v>
      </c>
      <c r="M53" s="7"/>
      <c r="N53" s="7"/>
      <c r="O53" s="3" t="s">
        <v>44</v>
      </c>
      <c r="P53" s="4">
        <v>46135.0</v>
      </c>
      <c r="R53" s="3" t="s">
        <v>29</v>
      </c>
    </row>
    <row r="54">
      <c r="A54" s="3" t="s">
        <v>170</v>
      </c>
      <c r="B54" s="3" t="s">
        <v>171</v>
      </c>
      <c r="C54" s="3" t="s">
        <v>51</v>
      </c>
      <c r="D54" s="3" t="s">
        <v>22</v>
      </c>
      <c r="E54" s="3" t="s">
        <v>23</v>
      </c>
      <c r="F54" s="3" t="s">
        <v>48</v>
      </c>
      <c r="G54" s="3" t="s">
        <v>110</v>
      </c>
      <c r="H54" s="3" t="s">
        <v>54</v>
      </c>
      <c r="I54" s="3" t="s">
        <v>54</v>
      </c>
      <c r="J54" s="4">
        <v>46045.0</v>
      </c>
      <c r="K54" s="4">
        <v>46050.0</v>
      </c>
      <c r="L54" s="4">
        <v>46062.0</v>
      </c>
      <c r="M54" s="4">
        <v>46067.0</v>
      </c>
      <c r="N54" s="7"/>
      <c r="O54" s="3" t="s">
        <v>55</v>
      </c>
      <c r="P54" s="4">
        <v>46041.0</v>
      </c>
      <c r="R54" s="3" t="s">
        <v>45</v>
      </c>
    </row>
    <row r="55">
      <c r="A55" s="3" t="s">
        <v>172</v>
      </c>
      <c r="B55" s="3" t="s">
        <v>83</v>
      </c>
      <c r="C55" s="3" t="s">
        <v>32</v>
      </c>
      <c r="D55" s="3" t="s">
        <v>22</v>
      </c>
      <c r="E55" s="3" t="s">
        <v>47</v>
      </c>
      <c r="F55" s="3" t="s">
        <v>48</v>
      </c>
      <c r="G55" s="3" t="s">
        <v>173</v>
      </c>
      <c r="H55" s="3" t="s">
        <v>54</v>
      </c>
      <c r="I55" s="3" t="s">
        <v>54</v>
      </c>
      <c r="J55" s="4">
        <v>46037.0</v>
      </c>
      <c r="K55" s="7"/>
      <c r="L55" s="7"/>
      <c r="M55" s="7"/>
      <c r="N55" s="7"/>
      <c r="O55" s="3" t="s">
        <v>104</v>
      </c>
      <c r="P55" s="4">
        <v>46037.0</v>
      </c>
      <c r="R55" s="3" t="s">
        <v>29</v>
      </c>
    </row>
    <row r="56">
      <c r="A56" s="3" t="s">
        <v>174</v>
      </c>
      <c r="B56" s="3" t="s">
        <v>175</v>
      </c>
      <c r="C56" s="3" t="s">
        <v>21</v>
      </c>
      <c r="D56" s="3" t="s">
        <v>22</v>
      </c>
      <c r="E56" s="3" t="s">
        <v>47</v>
      </c>
      <c r="F56" s="3" t="s">
        <v>24</v>
      </c>
      <c r="G56" s="3" t="s">
        <v>129</v>
      </c>
      <c r="H56" s="3" t="s">
        <v>26</v>
      </c>
      <c r="I56" s="3" t="s">
        <v>27</v>
      </c>
      <c r="J56" s="4">
        <v>46112.0</v>
      </c>
      <c r="K56" s="4">
        <v>46114.0</v>
      </c>
      <c r="L56" s="4">
        <v>46124.0</v>
      </c>
      <c r="M56" s="7"/>
      <c r="N56" s="7"/>
      <c r="O56" s="3" t="s">
        <v>55</v>
      </c>
      <c r="P56" s="4">
        <v>46108.0</v>
      </c>
      <c r="R56" s="3" t="s">
        <v>45</v>
      </c>
    </row>
    <row r="57">
      <c r="A57" s="3" t="s">
        <v>176</v>
      </c>
      <c r="B57" s="3" t="s">
        <v>177</v>
      </c>
      <c r="C57" s="3" t="s">
        <v>115</v>
      </c>
      <c r="D57" s="3" t="s">
        <v>115</v>
      </c>
      <c r="E57" s="3" t="s">
        <v>52</v>
      </c>
      <c r="F57" s="3" t="s">
        <v>33</v>
      </c>
      <c r="G57" s="3" t="s">
        <v>34</v>
      </c>
      <c r="H57" s="3" t="s">
        <v>43</v>
      </c>
      <c r="I57" s="3" t="s">
        <v>27</v>
      </c>
      <c r="J57" s="4">
        <v>46094.0</v>
      </c>
      <c r="K57" s="7"/>
      <c r="L57" s="7"/>
      <c r="M57" s="7"/>
      <c r="N57" s="7"/>
      <c r="O57" s="3" t="s">
        <v>55</v>
      </c>
      <c r="P57" s="4">
        <v>46092.0</v>
      </c>
      <c r="R57" s="3" t="s">
        <v>29</v>
      </c>
    </row>
    <row r="58">
      <c r="A58" s="3" t="s">
        <v>178</v>
      </c>
      <c r="B58" s="3" t="s">
        <v>120</v>
      </c>
      <c r="C58" s="3" t="s">
        <v>21</v>
      </c>
      <c r="D58" s="3" t="s">
        <v>22</v>
      </c>
      <c r="E58" s="3" t="s">
        <v>52</v>
      </c>
      <c r="F58" s="3" t="s">
        <v>41</v>
      </c>
      <c r="G58" s="3" t="s">
        <v>84</v>
      </c>
      <c r="H58" s="3" t="s">
        <v>26</v>
      </c>
      <c r="I58" s="3" t="s">
        <v>36</v>
      </c>
      <c r="J58" s="4">
        <v>46122.0</v>
      </c>
      <c r="K58" s="4">
        <v>46125.0</v>
      </c>
      <c r="L58" s="4">
        <v>46130.0</v>
      </c>
      <c r="M58" s="4">
        <v>46138.0</v>
      </c>
      <c r="N58" s="7"/>
      <c r="O58" s="3" t="s">
        <v>55</v>
      </c>
      <c r="P58" s="4">
        <v>46120.0</v>
      </c>
      <c r="R58" s="3" t="s">
        <v>45</v>
      </c>
    </row>
    <row r="59">
      <c r="A59" s="3" t="s">
        <v>179</v>
      </c>
      <c r="B59" s="3" t="s">
        <v>180</v>
      </c>
      <c r="C59" s="3" t="s">
        <v>32</v>
      </c>
      <c r="D59" s="3" t="s">
        <v>22</v>
      </c>
      <c r="E59" s="3" t="s">
        <v>23</v>
      </c>
      <c r="F59" s="3" t="s">
        <v>48</v>
      </c>
      <c r="G59" s="3" t="s">
        <v>181</v>
      </c>
      <c r="H59" s="3" t="s">
        <v>35</v>
      </c>
      <c r="I59" s="3" t="s">
        <v>27</v>
      </c>
      <c r="J59" s="4">
        <v>46163.0</v>
      </c>
      <c r="K59" s="4">
        <v>46169.0</v>
      </c>
      <c r="L59" s="7"/>
      <c r="M59" s="7"/>
      <c r="N59" s="7"/>
      <c r="O59" s="3" t="s">
        <v>37</v>
      </c>
      <c r="P59" s="4">
        <v>46163.0</v>
      </c>
      <c r="R59" s="3" t="s">
        <v>45</v>
      </c>
    </row>
    <row r="60">
      <c r="A60" s="3" t="s">
        <v>182</v>
      </c>
      <c r="B60" s="3" t="s">
        <v>183</v>
      </c>
      <c r="C60" s="3" t="s">
        <v>93</v>
      </c>
      <c r="D60" s="3" t="s">
        <v>89</v>
      </c>
      <c r="E60" s="3" t="s">
        <v>52</v>
      </c>
      <c r="F60" s="3" t="s">
        <v>33</v>
      </c>
      <c r="G60" s="3" t="s">
        <v>129</v>
      </c>
      <c r="H60" s="3" t="s">
        <v>54</v>
      </c>
      <c r="I60" s="3" t="s">
        <v>54</v>
      </c>
      <c r="J60" s="4">
        <v>46065.0</v>
      </c>
      <c r="K60" s="4">
        <v>46069.0</v>
      </c>
      <c r="L60" s="7"/>
      <c r="M60" s="7"/>
      <c r="N60" s="7"/>
      <c r="O60" s="3" t="s">
        <v>37</v>
      </c>
      <c r="P60" s="4">
        <v>46065.0</v>
      </c>
      <c r="R60" s="3" t="s">
        <v>29</v>
      </c>
    </row>
    <row r="61">
      <c r="A61" s="3" t="s">
        <v>184</v>
      </c>
      <c r="B61" s="3" t="s">
        <v>185</v>
      </c>
      <c r="C61" s="3" t="s">
        <v>88</v>
      </c>
      <c r="D61" s="3" t="s">
        <v>89</v>
      </c>
      <c r="E61" s="3" t="s">
        <v>23</v>
      </c>
      <c r="F61" s="3" t="s">
        <v>24</v>
      </c>
      <c r="G61" s="3" t="s">
        <v>94</v>
      </c>
      <c r="H61" s="3" t="s">
        <v>26</v>
      </c>
      <c r="I61" s="3" t="s">
        <v>27</v>
      </c>
      <c r="J61" s="4">
        <v>46079.0</v>
      </c>
      <c r="K61" s="7"/>
      <c r="L61" s="7"/>
      <c r="M61" s="7"/>
      <c r="N61" s="7"/>
      <c r="O61" s="3" t="s">
        <v>104</v>
      </c>
      <c r="P61" s="4">
        <v>46077.0</v>
      </c>
      <c r="R61" s="3" t="s">
        <v>29</v>
      </c>
    </row>
    <row r="62">
      <c r="A62" s="3" t="s">
        <v>186</v>
      </c>
      <c r="B62" s="3" t="s">
        <v>180</v>
      </c>
      <c r="C62" s="3" t="s">
        <v>58</v>
      </c>
      <c r="D62" s="3" t="s">
        <v>58</v>
      </c>
      <c r="E62" s="3" t="s">
        <v>52</v>
      </c>
      <c r="F62" s="3" t="s">
        <v>41</v>
      </c>
      <c r="G62" s="3" t="s">
        <v>106</v>
      </c>
      <c r="H62" s="3" t="s">
        <v>54</v>
      </c>
      <c r="I62" s="3" t="s">
        <v>54</v>
      </c>
      <c r="J62" s="4">
        <v>46098.0</v>
      </c>
      <c r="K62" s="4">
        <v>46100.0</v>
      </c>
      <c r="L62" s="7"/>
      <c r="M62" s="7"/>
      <c r="N62" s="7"/>
      <c r="O62" s="3" t="s">
        <v>37</v>
      </c>
      <c r="P62" s="4">
        <v>46097.0</v>
      </c>
      <c r="R62" s="3" t="s">
        <v>45</v>
      </c>
    </row>
    <row r="63">
      <c r="A63" s="3" t="s">
        <v>187</v>
      </c>
      <c r="B63" s="3" t="s">
        <v>188</v>
      </c>
      <c r="C63" s="3" t="s">
        <v>88</v>
      </c>
      <c r="D63" s="3" t="s">
        <v>89</v>
      </c>
      <c r="E63" s="3" t="s">
        <v>47</v>
      </c>
      <c r="F63" s="3" t="s">
        <v>33</v>
      </c>
      <c r="G63" s="3" t="s">
        <v>121</v>
      </c>
      <c r="H63" s="3" t="s">
        <v>43</v>
      </c>
      <c r="I63" s="3" t="s">
        <v>36</v>
      </c>
      <c r="J63" s="4">
        <v>46121.0</v>
      </c>
      <c r="K63" s="4">
        <v>46124.0</v>
      </c>
      <c r="L63" s="4">
        <v>46138.0</v>
      </c>
      <c r="M63" s="4">
        <v>46143.0</v>
      </c>
      <c r="N63" s="4">
        <v>46160.0</v>
      </c>
      <c r="O63" s="3" t="s">
        <v>28</v>
      </c>
      <c r="P63" s="4">
        <v>46118.0</v>
      </c>
      <c r="Q63" s="3">
        <v>42.0</v>
      </c>
      <c r="R63" s="3" t="s">
        <v>29</v>
      </c>
    </row>
    <row r="64">
      <c r="A64" s="3" t="s">
        <v>189</v>
      </c>
      <c r="B64" s="3" t="s">
        <v>101</v>
      </c>
      <c r="C64" s="3" t="s">
        <v>51</v>
      </c>
      <c r="D64" s="3" t="s">
        <v>22</v>
      </c>
      <c r="E64" s="3" t="s">
        <v>47</v>
      </c>
      <c r="F64" s="3" t="s">
        <v>41</v>
      </c>
      <c r="G64" s="3" t="s">
        <v>70</v>
      </c>
      <c r="H64" s="3" t="s">
        <v>60</v>
      </c>
      <c r="I64" s="3" t="s">
        <v>27</v>
      </c>
      <c r="J64" s="4">
        <v>46141.0</v>
      </c>
      <c r="K64" s="4">
        <v>46145.0</v>
      </c>
      <c r="L64" s="7"/>
      <c r="M64" s="7"/>
      <c r="N64" s="7"/>
      <c r="O64" s="3" t="s">
        <v>37</v>
      </c>
      <c r="P64" s="4">
        <v>46139.0</v>
      </c>
      <c r="R64" s="3" t="s">
        <v>29</v>
      </c>
    </row>
    <row r="65">
      <c r="A65" s="3" t="s">
        <v>190</v>
      </c>
      <c r="B65" s="3" t="s">
        <v>50</v>
      </c>
      <c r="C65" s="3" t="s">
        <v>58</v>
      </c>
      <c r="D65" s="3" t="s">
        <v>58</v>
      </c>
      <c r="E65" s="3" t="s">
        <v>47</v>
      </c>
      <c r="F65" s="3" t="s">
        <v>48</v>
      </c>
      <c r="G65" s="3" t="s">
        <v>129</v>
      </c>
      <c r="H65" s="3" t="s">
        <v>54</v>
      </c>
      <c r="I65" s="3" t="s">
        <v>54</v>
      </c>
      <c r="J65" s="4">
        <v>46145.0</v>
      </c>
      <c r="K65" s="4">
        <v>46147.0</v>
      </c>
      <c r="L65" s="4">
        <v>46157.0</v>
      </c>
      <c r="M65" s="4">
        <v>46162.0</v>
      </c>
      <c r="N65" s="7"/>
      <c r="O65" s="3" t="s">
        <v>55</v>
      </c>
      <c r="P65" s="4">
        <v>46145.0</v>
      </c>
      <c r="R65" s="3" t="s">
        <v>29</v>
      </c>
    </row>
    <row r="66">
      <c r="A66" s="3" t="s">
        <v>191</v>
      </c>
      <c r="B66" s="3" t="s">
        <v>78</v>
      </c>
      <c r="C66" s="3" t="s">
        <v>88</v>
      </c>
      <c r="D66" s="3" t="s">
        <v>89</v>
      </c>
      <c r="E66" s="3" t="s">
        <v>23</v>
      </c>
      <c r="F66" s="3" t="s">
        <v>24</v>
      </c>
      <c r="G66" s="3" t="s">
        <v>149</v>
      </c>
      <c r="H66" s="3" t="s">
        <v>60</v>
      </c>
      <c r="I66" s="3" t="s">
        <v>27</v>
      </c>
      <c r="J66" s="4">
        <v>46170.0</v>
      </c>
      <c r="K66" s="4">
        <v>46174.0</v>
      </c>
      <c r="L66" s="7"/>
      <c r="M66" s="7"/>
      <c r="N66" s="7"/>
      <c r="O66" s="3" t="s">
        <v>37</v>
      </c>
      <c r="P66" s="4">
        <v>46166.0</v>
      </c>
      <c r="R66" s="3" t="s">
        <v>29</v>
      </c>
    </row>
    <row r="67">
      <c r="A67" s="3" t="s">
        <v>192</v>
      </c>
      <c r="B67" s="3" t="s">
        <v>161</v>
      </c>
      <c r="C67" s="3" t="s">
        <v>21</v>
      </c>
      <c r="D67" s="3" t="s">
        <v>22</v>
      </c>
      <c r="E67" s="3" t="s">
        <v>23</v>
      </c>
      <c r="F67" s="3" t="s">
        <v>24</v>
      </c>
      <c r="G67" s="3" t="s">
        <v>129</v>
      </c>
      <c r="H67" s="3" t="s">
        <v>60</v>
      </c>
      <c r="I67" s="3" t="s">
        <v>36</v>
      </c>
      <c r="J67" s="4">
        <v>46088.0</v>
      </c>
      <c r="K67" s="4">
        <v>46093.0</v>
      </c>
      <c r="L67" s="4">
        <v>46105.0</v>
      </c>
      <c r="M67" s="4">
        <v>46113.0</v>
      </c>
      <c r="N67" s="7"/>
      <c r="O67" s="3" t="s">
        <v>104</v>
      </c>
      <c r="P67" s="4">
        <v>46085.0</v>
      </c>
      <c r="R67" s="3" t="s">
        <v>29</v>
      </c>
    </row>
    <row r="68">
      <c r="A68" s="3" t="s">
        <v>193</v>
      </c>
      <c r="B68" s="3" t="s">
        <v>194</v>
      </c>
      <c r="C68" s="3" t="s">
        <v>67</v>
      </c>
      <c r="D68" s="3" t="s">
        <v>67</v>
      </c>
      <c r="E68" s="3" t="s">
        <v>52</v>
      </c>
      <c r="F68" s="3" t="s">
        <v>48</v>
      </c>
      <c r="G68" s="3" t="s">
        <v>102</v>
      </c>
      <c r="H68" s="3" t="s">
        <v>60</v>
      </c>
      <c r="I68" s="3" t="s">
        <v>27</v>
      </c>
      <c r="J68" s="4">
        <v>46125.0</v>
      </c>
      <c r="K68" s="4">
        <v>46129.0</v>
      </c>
      <c r="L68" s="4">
        <v>46141.0</v>
      </c>
      <c r="M68" s="7"/>
      <c r="N68" s="7"/>
      <c r="O68" s="3" t="s">
        <v>55</v>
      </c>
      <c r="P68" s="4">
        <v>46121.0</v>
      </c>
      <c r="R68" s="3" t="s">
        <v>29</v>
      </c>
    </row>
    <row r="69">
      <c r="A69" s="3" t="s">
        <v>195</v>
      </c>
      <c r="B69" s="3" t="s">
        <v>78</v>
      </c>
      <c r="C69" s="3" t="s">
        <v>67</v>
      </c>
      <c r="D69" s="3" t="s">
        <v>67</v>
      </c>
      <c r="E69" s="3" t="s">
        <v>40</v>
      </c>
      <c r="F69" s="3" t="s">
        <v>41</v>
      </c>
      <c r="G69" s="3" t="s">
        <v>129</v>
      </c>
      <c r="H69" s="3" t="s">
        <v>54</v>
      </c>
      <c r="I69" s="3" t="s">
        <v>54</v>
      </c>
      <c r="J69" s="4">
        <v>46140.0</v>
      </c>
      <c r="K69" s="7"/>
      <c r="L69" s="7"/>
      <c r="M69" s="7"/>
      <c r="N69" s="7"/>
      <c r="O69" s="3" t="s">
        <v>55</v>
      </c>
      <c r="P69" s="4">
        <v>46138.0</v>
      </c>
      <c r="R69" s="3" t="s">
        <v>29</v>
      </c>
    </row>
    <row r="70">
      <c r="A70" s="3" t="s">
        <v>196</v>
      </c>
      <c r="B70" s="3" t="s">
        <v>145</v>
      </c>
      <c r="C70" s="3" t="s">
        <v>58</v>
      </c>
      <c r="D70" s="3" t="s">
        <v>58</v>
      </c>
      <c r="E70" s="3" t="s">
        <v>40</v>
      </c>
      <c r="F70" s="3" t="s">
        <v>41</v>
      </c>
      <c r="G70" s="3" t="s">
        <v>25</v>
      </c>
      <c r="H70" s="3" t="s">
        <v>43</v>
      </c>
      <c r="I70" s="3" t="s">
        <v>36</v>
      </c>
      <c r="J70" s="4">
        <v>46047.0</v>
      </c>
      <c r="K70" s="4">
        <v>46053.0</v>
      </c>
      <c r="L70" s="7"/>
      <c r="M70" s="7"/>
      <c r="N70" s="7"/>
      <c r="O70" s="3" t="s">
        <v>104</v>
      </c>
      <c r="P70" s="4">
        <v>46044.0</v>
      </c>
      <c r="R70" s="3" t="s">
        <v>29</v>
      </c>
    </row>
    <row r="71">
      <c r="A71" s="3" t="s">
        <v>197</v>
      </c>
      <c r="B71" s="3" t="s">
        <v>163</v>
      </c>
      <c r="C71" s="3" t="s">
        <v>115</v>
      </c>
      <c r="D71" s="3" t="s">
        <v>115</v>
      </c>
      <c r="E71" s="3" t="s">
        <v>23</v>
      </c>
      <c r="F71" s="3" t="s">
        <v>24</v>
      </c>
      <c r="G71" s="3" t="s">
        <v>75</v>
      </c>
      <c r="H71" s="3" t="s">
        <v>26</v>
      </c>
      <c r="I71" s="3" t="s">
        <v>27</v>
      </c>
      <c r="J71" s="4">
        <v>46158.0</v>
      </c>
      <c r="K71" s="7"/>
      <c r="L71" s="7"/>
      <c r="M71" s="7"/>
      <c r="N71" s="7"/>
      <c r="O71" s="3" t="s">
        <v>104</v>
      </c>
      <c r="P71" s="4">
        <v>46157.0</v>
      </c>
      <c r="R71" s="3" t="s">
        <v>29</v>
      </c>
    </row>
    <row r="72">
      <c r="A72" s="3" t="s">
        <v>198</v>
      </c>
      <c r="B72" s="3" t="s">
        <v>185</v>
      </c>
      <c r="C72" s="3" t="s">
        <v>88</v>
      </c>
      <c r="D72" s="3" t="s">
        <v>89</v>
      </c>
      <c r="E72" s="3" t="s">
        <v>52</v>
      </c>
      <c r="F72" s="3" t="s">
        <v>41</v>
      </c>
      <c r="G72" s="3" t="s">
        <v>94</v>
      </c>
      <c r="H72" s="3" t="s">
        <v>60</v>
      </c>
      <c r="I72" s="3" t="s">
        <v>27</v>
      </c>
      <c r="J72" s="4">
        <v>46141.0</v>
      </c>
      <c r="K72" s="7"/>
      <c r="L72" s="7"/>
      <c r="M72" s="7"/>
      <c r="N72" s="7"/>
      <c r="O72" s="3" t="s">
        <v>104</v>
      </c>
      <c r="P72" s="4">
        <v>46138.0</v>
      </c>
      <c r="R72" s="3" t="s">
        <v>29</v>
      </c>
    </row>
    <row r="73">
      <c r="A73" s="3" t="s">
        <v>199</v>
      </c>
      <c r="B73" s="3" t="s">
        <v>200</v>
      </c>
      <c r="C73" s="3" t="s">
        <v>32</v>
      </c>
      <c r="D73" s="3" t="s">
        <v>22</v>
      </c>
      <c r="E73" s="3" t="s">
        <v>47</v>
      </c>
      <c r="F73" s="3" t="s">
        <v>33</v>
      </c>
      <c r="G73" s="3" t="s">
        <v>181</v>
      </c>
      <c r="H73" s="3" t="s">
        <v>35</v>
      </c>
      <c r="I73" s="3" t="s">
        <v>36</v>
      </c>
      <c r="J73" s="4">
        <v>46078.0</v>
      </c>
      <c r="K73" s="4">
        <v>46082.0</v>
      </c>
      <c r="L73" s="4">
        <v>46093.0</v>
      </c>
      <c r="M73" s="4">
        <v>46098.0</v>
      </c>
      <c r="N73" s="4">
        <v>46119.0</v>
      </c>
      <c r="O73" s="3" t="s">
        <v>28</v>
      </c>
      <c r="P73" s="4">
        <v>46074.0</v>
      </c>
      <c r="Q73" s="3">
        <v>45.0</v>
      </c>
      <c r="R73" s="3" t="s">
        <v>29</v>
      </c>
    </row>
    <row r="74">
      <c r="A74" s="3" t="s">
        <v>201</v>
      </c>
      <c r="B74" s="3" t="s">
        <v>148</v>
      </c>
      <c r="C74" s="3" t="s">
        <v>67</v>
      </c>
      <c r="D74" s="3" t="s">
        <v>67</v>
      </c>
      <c r="E74" s="3" t="s">
        <v>23</v>
      </c>
      <c r="F74" s="3" t="s">
        <v>33</v>
      </c>
      <c r="G74" s="3" t="s">
        <v>102</v>
      </c>
      <c r="H74" s="3" t="s">
        <v>43</v>
      </c>
      <c r="I74" s="3" t="s">
        <v>36</v>
      </c>
      <c r="J74" s="4">
        <v>46038.0</v>
      </c>
      <c r="K74" s="4">
        <v>46043.0</v>
      </c>
      <c r="L74" s="3" t="s">
        <v>202</v>
      </c>
      <c r="M74" s="7"/>
      <c r="N74" s="7"/>
      <c r="O74" s="3" t="s">
        <v>55</v>
      </c>
      <c r="P74" s="4">
        <v>46034.0</v>
      </c>
      <c r="R74" s="3" t="s">
        <v>45</v>
      </c>
    </row>
    <row r="75">
      <c r="A75" s="3" t="s">
        <v>203</v>
      </c>
      <c r="B75" s="3" t="s">
        <v>39</v>
      </c>
      <c r="C75" s="3" t="s">
        <v>88</v>
      </c>
      <c r="D75" s="3" t="s">
        <v>89</v>
      </c>
      <c r="E75" s="3" t="s">
        <v>23</v>
      </c>
      <c r="F75" s="3" t="s">
        <v>33</v>
      </c>
      <c r="G75" s="3" t="s">
        <v>106</v>
      </c>
      <c r="H75" s="3" t="s">
        <v>43</v>
      </c>
      <c r="I75" s="3" t="s">
        <v>36</v>
      </c>
      <c r="J75" s="4">
        <v>46158.0</v>
      </c>
      <c r="K75" s="4">
        <v>46161.0</v>
      </c>
      <c r="L75" s="7"/>
      <c r="M75" s="7"/>
      <c r="N75" s="7"/>
      <c r="O75" s="3" t="s">
        <v>55</v>
      </c>
      <c r="P75" s="4">
        <v>46155.0</v>
      </c>
      <c r="R75" s="3" t="s">
        <v>45</v>
      </c>
    </row>
    <row r="76">
      <c r="A76" s="3" t="s">
        <v>204</v>
      </c>
      <c r="B76" s="3" t="s">
        <v>97</v>
      </c>
      <c r="C76" s="3" t="s">
        <v>21</v>
      </c>
      <c r="D76" s="3" t="s">
        <v>22</v>
      </c>
      <c r="E76" s="3" t="s">
        <v>23</v>
      </c>
      <c r="F76" s="3" t="s">
        <v>24</v>
      </c>
      <c r="G76" s="3" t="s">
        <v>110</v>
      </c>
      <c r="H76" s="3" t="s">
        <v>54</v>
      </c>
      <c r="I76" s="3" t="s">
        <v>54</v>
      </c>
      <c r="J76" s="4">
        <v>46165.0</v>
      </c>
      <c r="K76" s="4">
        <v>46167.0</v>
      </c>
      <c r="L76" s="4">
        <v>46176.0</v>
      </c>
      <c r="M76" s="4">
        <v>46182.0</v>
      </c>
      <c r="N76" s="4">
        <v>46198.0</v>
      </c>
      <c r="O76" s="3" t="s">
        <v>28</v>
      </c>
      <c r="P76" s="4">
        <v>46162.0</v>
      </c>
      <c r="Q76" s="3">
        <v>36.0</v>
      </c>
      <c r="R76" s="3" t="s">
        <v>29</v>
      </c>
    </row>
    <row r="77">
      <c r="A77" s="3" t="s">
        <v>205</v>
      </c>
      <c r="B77" s="3" t="s">
        <v>135</v>
      </c>
      <c r="C77" s="3" t="s">
        <v>115</v>
      </c>
      <c r="D77" s="3" t="s">
        <v>115</v>
      </c>
      <c r="E77" s="3" t="s">
        <v>23</v>
      </c>
      <c r="F77" s="3" t="s">
        <v>24</v>
      </c>
      <c r="G77" s="3" t="s">
        <v>34</v>
      </c>
      <c r="H77" s="3" t="s">
        <v>35</v>
      </c>
      <c r="I77" s="3" t="s">
        <v>36</v>
      </c>
      <c r="J77" s="4">
        <v>46043.0</v>
      </c>
      <c r="K77" s="4">
        <v>46050.0</v>
      </c>
      <c r="L77" s="7"/>
      <c r="M77" s="7"/>
      <c r="N77" s="7"/>
      <c r="O77" s="3" t="s">
        <v>37</v>
      </c>
      <c r="P77" s="4">
        <v>46043.0</v>
      </c>
      <c r="R77" s="3" t="s">
        <v>29</v>
      </c>
    </row>
    <row r="78">
      <c r="A78" s="3" t="s">
        <v>206</v>
      </c>
      <c r="B78" s="3" t="s">
        <v>207</v>
      </c>
      <c r="C78" s="3" t="s">
        <v>21</v>
      </c>
      <c r="D78" s="3" t="s">
        <v>22</v>
      </c>
      <c r="E78" s="3" t="s">
        <v>23</v>
      </c>
      <c r="F78" s="3" t="s">
        <v>24</v>
      </c>
      <c r="G78" s="3" t="s">
        <v>121</v>
      </c>
      <c r="H78" s="3" t="s">
        <v>54</v>
      </c>
      <c r="I78" s="3" t="s">
        <v>54</v>
      </c>
      <c r="J78" s="4">
        <v>46075.0</v>
      </c>
      <c r="K78" s="4">
        <v>46082.0</v>
      </c>
      <c r="L78" s="4">
        <v>46093.0</v>
      </c>
      <c r="M78" s="4">
        <v>46098.0</v>
      </c>
      <c r="N78" s="4">
        <v>46116.0</v>
      </c>
      <c r="O78" s="3" t="s">
        <v>28</v>
      </c>
      <c r="P78" s="4">
        <v>46070.0</v>
      </c>
      <c r="Q78" s="3">
        <v>46.0</v>
      </c>
      <c r="R78" s="3" t="s">
        <v>29</v>
      </c>
    </row>
    <row r="79">
      <c r="A79" s="3" t="s">
        <v>208</v>
      </c>
      <c r="B79" s="3" t="s">
        <v>183</v>
      </c>
      <c r="C79" s="3" t="s">
        <v>93</v>
      </c>
      <c r="D79" s="3" t="s">
        <v>89</v>
      </c>
      <c r="E79" s="3" t="s">
        <v>47</v>
      </c>
      <c r="F79" s="3" t="s">
        <v>24</v>
      </c>
      <c r="G79" s="3" t="s">
        <v>81</v>
      </c>
      <c r="H79" s="3" t="s">
        <v>54</v>
      </c>
      <c r="I79" s="3" t="s">
        <v>54</v>
      </c>
      <c r="J79" s="4">
        <v>46132.0</v>
      </c>
      <c r="K79" s="4">
        <v>46134.0</v>
      </c>
      <c r="L79" s="7"/>
      <c r="M79" s="7"/>
      <c r="N79" s="7"/>
      <c r="O79" s="3" t="s">
        <v>37</v>
      </c>
      <c r="P79" s="4">
        <v>46129.0</v>
      </c>
      <c r="R79" s="3" t="s">
        <v>29</v>
      </c>
    </row>
    <row r="80">
      <c r="A80" s="3" t="s">
        <v>209</v>
      </c>
      <c r="B80" s="3" t="s">
        <v>185</v>
      </c>
      <c r="C80" s="3" t="s">
        <v>67</v>
      </c>
      <c r="D80" s="3" t="s">
        <v>67</v>
      </c>
      <c r="E80" s="3" t="s">
        <v>23</v>
      </c>
      <c r="F80" s="3" t="s">
        <v>48</v>
      </c>
      <c r="G80" s="3" t="s">
        <v>70</v>
      </c>
      <c r="H80" s="3" t="s">
        <v>54</v>
      </c>
      <c r="I80" s="3" t="s">
        <v>54</v>
      </c>
      <c r="J80" s="4">
        <v>46121.0</v>
      </c>
      <c r="K80" s="4">
        <v>46124.0</v>
      </c>
      <c r="L80" s="7"/>
      <c r="M80" s="7"/>
      <c r="N80" s="7"/>
      <c r="O80" s="3" t="s">
        <v>55</v>
      </c>
      <c r="P80" s="4">
        <v>46118.0</v>
      </c>
      <c r="R80" s="3" t="s">
        <v>29</v>
      </c>
    </row>
    <row r="81">
      <c r="A81" s="3" t="s">
        <v>210</v>
      </c>
      <c r="B81" s="3" t="s">
        <v>180</v>
      </c>
      <c r="C81" s="3" t="s">
        <v>32</v>
      </c>
      <c r="D81" s="3" t="s">
        <v>22</v>
      </c>
      <c r="E81" s="3" t="s">
        <v>52</v>
      </c>
      <c r="F81" s="3" t="s">
        <v>24</v>
      </c>
      <c r="G81" s="3" t="s">
        <v>129</v>
      </c>
      <c r="H81" s="3" t="s">
        <v>43</v>
      </c>
      <c r="I81" s="3" t="s">
        <v>27</v>
      </c>
      <c r="J81" s="4">
        <v>46134.0</v>
      </c>
      <c r="K81" s="4">
        <v>46139.0</v>
      </c>
      <c r="L81" s="4">
        <v>46146.0</v>
      </c>
      <c r="M81" s="4">
        <v>46151.0</v>
      </c>
      <c r="N81" s="7"/>
      <c r="O81" s="3" t="s">
        <v>55</v>
      </c>
      <c r="P81" s="4">
        <v>46131.0</v>
      </c>
      <c r="R81" s="3" t="s">
        <v>45</v>
      </c>
    </row>
    <row r="82">
      <c r="A82" s="3" t="s">
        <v>211</v>
      </c>
      <c r="B82" s="3" t="s">
        <v>212</v>
      </c>
      <c r="C82" s="3" t="s">
        <v>88</v>
      </c>
      <c r="D82" s="3" t="s">
        <v>89</v>
      </c>
      <c r="E82" s="3" t="s">
        <v>23</v>
      </c>
      <c r="F82" s="3" t="s">
        <v>33</v>
      </c>
      <c r="G82" s="3" t="s">
        <v>94</v>
      </c>
      <c r="H82" s="3" t="s">
        <v>43</v>
      </c>
      <c r="I82" s="3" t="s">
        <v>36</v>
      </c>
      <c r="J82" s="4">
        <v>46096.0</v>
      </c>
      <c r="K82" s="7"/>
      <c r="L82" s="7"/>
      <c r="M82" s="7"/>
      <c r="N82" s="7"/>
      <c r="O82" s="3" t="s">
        <v>104</v>
      </c>
      <c r="P82" s="4">
        <v>46094.0</v>
      </c>
      <c r="R82" s="3" t="s">
        <v>29</v>
      </c>
    </row>
    <row r="83">
      <c r="A83" s="3" t="s">
        <v>213</v>
      </c>
      <c r="B83" s="3" t="s">
        <v>101</v>
      </c>
      <c r="C83" s="3" t="s">
        <v>67</v>
      </c>
      <c r="D83" s="3" t="s">
        <v>67</v>
      </c>
      <c r="E83" s="3" t="s">
        <v>23</v>
      </c>
      <c r="F83" s="3" t="s">
        <v>41</v>
      </c>
      <c r="G83" s="3" t="s">
        <v>81</v>
      </c>
      <c r="H83" s="3" t="s">
        <v>54</v>
      </c>
      <c r="I83" s="3" t="s">
        <v>54</v>
      </c>
      <c r="J83" s="4">
        <v>46099.0</v>
      </c>
      <c r="K83" s="4">
        <v>46102.0</v>
      </c>
      <c r="L83" s="4">
        <v>46108.0</v>
      </c>
      <c r="M83" s="4">
        <v>46116.0</v>
      </c>
      <c r="N83" s="7"/>
      <c r="O83" s="3" t="s">
        <v>76</v>
      </c>
      <c r="P83" s="4">
        <v>46096.0</v>
      </c>
      <c r="R83" s="3" t="s">
        <v>29</v>
      </c>
    </row>
    <row r="84">
      <c r="A84" s="3" t="s">
        <v>214</v>
      </c>
      <c r="B84" s="3" t="s">
        <v>50</v>
      </c>
      <c r="C84" s="3" t="s">
        <v>88</v>
      </c>
      <c r="D84" s="3" t="s">
        <v>89</v>
      </c>
      <c r="E84" s="3" t="s">
        <v>40</v>
      </c>
      <c r="F84" s="3" t="s">
        <v>48</v>
      </c>
      <c r="G84" s="3" t="s">
        <v>99</v>
      </c>
      <c r="H84" s="3" t="s">
        <v>54</v>
      </c>
      <c r="I84" s="3" t="s">
        <v>54</v>
      </c>
      <c r="J84" s="4">
        <v>46132.0</v>
      </c>
      <c r="K84" s="4">
        <v>46135.0</v>
      </c>
      <c r="L84" s="4">
        <v>46148.0</v>
      </c>
      <c r="M84" s="7"/>
      <c r="N84" s="7"/>
      <c r="O84" s="3" t="s">
        <v>44</v>
      </c>
      <c r="P84" s="4">
        <v>46131.0</v>
      </c>
      <c r="R84" s="3" t="s">
        <v>29</v>
      </c>
    </row>
    <row r="85">
      <c r="A85" s="3" t="s">
        <v>215</v>
      </c>
      <c r="B85" s="3" t="s">
        <v>183</v>
      </c>
      <c r="C85" s="3" t="s">
        <v>88</v>
      </c>
      <c r="D85" s="3" t="s">
        <v>89</v>
      </c>
      <c r="E85" s="3" t="s">
        <v>52</v>
      </c>
      <c r="F85" s="3" t="s">
        <v>33</v>
      </c>
      <c r="G85" s="3" t="s">
        <v>75</v>
      </c>
      <c r="H85" s="3" t="s">
        <v>43</v>
      </c>
      <c r="I85" s="3" t="s">
        <v>27</v>
      </c>
      <c r="J85" s="4">
        <v>46087.0</v>
      </c>
      <c r="K85" s="4">
        <v>46093.0</v>
      </c>
      <c r="L85" s="4">
        <v>46106.0</v>
      </c>
      <c r="M85" s="4">
        <v>46112.0</v>
      </c>
      <c r="N85" s="4">
        <v>46132.0</v>
      </c>
      <c r="O85" s="3" t="s">
        <v>28</v>
      </c>
      <c r="P85" s="4">
        <v>46086.0</v>
      </c>
      <c r="Q85" s="3">
        <v>46.0</v>
      </c>
      <c r="R85" s="3" t="s">
        <v>29</v>
      </c>
    </row>
    <row r="86">
      <c r="A86" s="3" t="s">
        <v>216</v>
      </c>
      <c r="B86" s="3" t="s">
        <v>188</v>
      </c>
      <c r="C86" s="3" t="s">
        <v>51</v>
      </c>
      <c r="D86" s="3" t="s">
        <v>22</v>
      </c>
      <c r="E86" s="3" t="s">
        <v>47</v>
      </c>
      <c r="F86" s="3" t="s">
        <v>48</v>
      </c>
      <c r="G86" s="3" t="s">
        <v>59</v>
      </c>
      <c r="H86" s="3" t="s">
        <v>54</v>
      </c>
      <c r="I86" s="3" t="s">
        <v>54</v>
      </c>
      <c r="J86" s="4">
        <v>46150.0</v>
      </c>
      <c r="K86" s="4">
        <v>46155.0</v>
      </c>
      <c r="L86" s="7"/>
      <c r="M86" s="7"/>
      <c r="N86" s="7"/>
      <c r="O86" s="3" t="s">
        <v>104</v>
      </c>
      <c r="P86" s="4">
        <v>46148.0</v>
      </c>
      <c r="R86" s="3" t="s">
        <v>29</v>
      </c>
    </row>
    <row r="87">
      <c r="A87" s="3" t="s">
        <v>217</v>
      </c>
      <c r="B87" s="3" t="s">
        <v>101</v>
      </c>
      <c r="C87" s="3" t="s">
        <v>115</v>
      </c>
      <c r="D87" s="3" t="s">
        <v>115</v>
      </c>
      <c r="E87" s="3" t="s">
        <v>47</v>
      </c>
      <c r="F87" s="3" t="s">
        <v>48</v>
      </c>
      <c r="G87" s="3" t="s">
        <v>110</v>
      </c>
      <c r="H87" s="3" t="s">
        <v>35</v>
      </c>
      <c r="I87" s="3" t="s">
        <v>27</v>
      </c>
      <c r="J87" s="4">
        <v>46176.0</v>
      </c>
      <c r="K87" s="7"/>
      <c r="L87" s="7"/>
      <c r="M87" s="7"/>
      <c r="N87" s="7"/>
      <c r="O87" s="3" t="s">
        <v>55</v>
      </c>
      <c r="P87" s="4">
        <v>46173.0</v>
      </c>
      <c r="R87" s="3" t="s">
        <v>29</v>
      </c>
    </row>
    <row r="88">
      <c r="A88" s="3" t="s">
        <v>218</v>
      </c>
      <c r="B88" s="3" t="s">
        <v>135</v>
      </c>
      <c r="C88" s="3" t="s">
        <v>51</v>
      </c>
      <c r="D88" s="3" t="s">
        <v>22</v>
      </c>
      <c r="E88" s="3" t="s">
        <v>52</v>
      </c>
      <c r="F88" s="3" t="s">
        <v>33</v>
      </c>
      <c r="G88" s="3" t="s">
        <v>149</v>
      </c>
      <c r="H88" s="3" t="s">
        <v>26</v>
      </c>
      <c r="I88" s="3" t="s">
        <v>27</v>
      </c>
      <c r="J88" s="4">
        <v>46161.0</v>
      </c>
      <c r="K88" s="4">
        <v>46163.0</v>
      </c>
      <c r="L88" s="4">
        <v>46174.0</v>
      </c>
      <c r="M88" s="7"/>
      <c r="N88" s="7"/>
      <c r="O88" s="3" t="s">
        <v>55</v>
      </c>
      <c r="P88" s="4">
        <v>46161.0</v>
      </c>
      <c r="R88" s="3" t="s">
        <v>29</v>
      </c>
    </row>
    <row r="89">
      <c r="A89" s="3" t="s">
        <v>219</v>
      </c>
      <c r="B89" s="3" t="s">
        <v>123</v>
      </c>
      <c r="C89" s="3" t="s">
        <v>88</v>
      </c>
      <c r="D89" s="3" t="s">
        <v>89</v>
      </c>
      <c r="E89" s="3" t="s">
        <v>52</v>
      </c>
      <c r="F89" s="3" t="s">
        <v>24</v>
      </c>
      <c r="G89" s="3" t="s">
        <v>90</v>
      </c>
      <c r="H89" s="3" t="s">
        <v>35</v>
      </c>
      <c r="I89" s="3" t="s">
        <v>36</v>
      </c>
      <c r="J89" s="4">
        <v>46039.0</v>
      </c>
      <c r="K89" s="4">
        <v>46044.0</v>
      </c>
      <c r="L89" s="7"/>
      <c r="M89" s="7"/>
      <c r="N89" s="7"/>
      <c r="O89" s="3" t="s">
        <v>104</v>
      </c>
      <c r="P89" s="4">
        <v>46039.0</v>
      </c>
      <c r="R89" s="3" t="s">
        <v>29</v>
      </c>
    </row>
    <row r="90">
      <c r="A90" s="3" t="s">
        <v>220</v>
      </c>
      <c r="B90" s="3" t="s">
        <v>50</v>
      </c>
      <c r="C90" s="3" t="s">
        <v>115</v>
      </c>
      <c r="D90" s="3" t="s">
        <v>115</v>
      </c>
      <c r="E90" s="3" t="s">
        <v>52</v>
      </c>
      <c r="F90" s="3" t="s">
        <v>24</v>
      </c>
      <c r="G90" s="3" t="s">
        <v>75</v>
      </c>
      <c r="H90" s="3" t="s">
        <v>26</v>
      </c>
      <c r="I90" s="3" t="s">
        <v>27</v>
      </c>
      <c r="J90" s="4">
        <v>46080.0</v>
      </c>
      <c r="K90" s="4">
        <v>46082.0</v>
      </c>
      <c r="L90" s="4">
        <v>46089.0</v>
      </c>
      <c r="M90" s="4">
        <v>46096.0</v>
      </c>
      <c r="N90" s="7"/>
      <c r="O90" s="3" t="s">
        <v>55</v>
      </c>
      <c r="P90" s="4">
        <v>46079.0</v>
      </c>
      <c r="R90" s="3" t="s">
        <v>29</v>
      </c>
    </row>
    <row r="91">
      <c r="A91" s="3" t="s">
        <v>221</v>
      </c>
      <c r="B91" s="3" t="s">
        <v>126</v>
      </c>
      <c r="C91" s="3" t="s">
        <v>93</v>
      </c>
      <c r="D91" s="3" t="s">
        <v>89</v>
      </c>
      <c r="E91" s="3" t="s">
        <v>40</v>
      </c>
      <c r="F91" s="3" t="s">
        <v>24</v>
      </c>
      <c r="G91" s="3" t="s">
        <v>99</v>
      </c>
      <c r="H91" s="3" t="s">
        <v>60</v>
      </c>
      <c r="I91" s="3" t="s">
        <v>27</v>
      </c>
      <c r="J91" s="4">
        <v>46139.0</v>
      </c>
      <c r="K91" s="4">
        <v>46143.0</v>
      </c>
      <c r="L91" s="4">
        <v>46153.0</v>
      </c>
      <c r="M91" s="7"/>
      <c r="N91" s="7"/>
      <c r="O91" s="3" t="s">
        <v>44</v>
      </c>
      <c r="P91" s="4">
        <v>46137.0</v>
      </c>
      <c r="R91" s="3" t="s">
        <v>29</v>
      </c>
    </row>
    <row r="92">
      <c r="A92" s="3" t="s">
        <v>222</v>
      </c>
      <c r="B92" s="3" t="s">
        <v>87</v>
      </c>
      <c r="C92" s="3" t="s">
        <v>115</v>
      </c>
      <c r="D92" s="3" t="s">
        <v>115</v>
      </c>
      <c r="E92" s="3" t="s">
        <v>23</v>
      </c>
      <c r="F92" s="3" t="s">
        <v>48</v>
      </c>
      <c r="G92" s="3" t="s">
        <v>181</v>
      </c>
      <c r="H92" s="3" t="s">
        <v>43</v>
      </c>
      <c r="I92" s="3" t="s">
        <v>36</v>
      </c>
      <c r="J92" s="4">
        <v>46158.0</v>
      </c>
      <c r="K92" s="7"/>
      <c r="L92" s="7"/>
      <c r="M92" s="7"/>
      <c r="N92" s="7"/>
      <c r="O92" s="3" t="s">
        <v>104</v>
      </c>
      <c r="P92" s="4">
        <v>46155.0</v>
      </c>
      <c r="R92" s="3" t="s">
        <v>29</v>
      </c>
    </row>
    <row r="93">
      <c r="A93" s="3" t="s">
        <v>223</v>
      </c>
      <c r="B93" s="3" t="s">
        <v>188</v>
      </c>
      <c r="C93" s="3" t="s">
        <v>58</v>
      </c>
      <c r="D93" s="3" t="s">
        <v>58</v>
      </c>
      <c r="E93" s="3" t="s">
        <v>40</v>
      </c>
      <c r="F93" s="3" t="s">
        <v>24</v>
      </c>
      <c r="G93" s="3" t="s">
        <v>106</v>
      </c>
      <c r="H93" s="3" t="s">
        <v>26</v>
      </c>
      <c r="I93" s="3" t="s">
        <v>36</v>
      </c>
      <c r="J93" s="4">
        <v>46066.0</v>
      </c>
      <c r="K93" s="7"/>
      <c r="L93" s="7"/>
      <c r="M93" s="7"/>
      <c r="N93" s="7"/>
      <c r="O93" s="3" t="s">
        <v>55</v>
      </c>
      <c r="P93" s="4">
        <v>46064.0</v>
      </c>
      <c r="R93" s="3" t="s">
        <v>29</v>
      </c>
    </row>
    <row r="94">
      <c r="A94" s="3" t="s">
        <v>224</v>
      </c>
      <c r="B94" s="3" t="s">
        <v>225</v>
      </c>
      <c r="C94" s="3" t="s">
        <v>51</v>
      </c>
      <c r="D94" s="3" t="s">
        <v>22</v>
      </c>
      <c r="E94" s="3" t="s">
        <v>52</v>
      </c>
      <c r="F94" s="3" t="s">
        <v>24</v>
      </c>
      <c r="G94" s="3" t="s">
        <v>129</v>
      </c>
      <c r="H94" s="3" t="s">
        <v>54</v>
      </c>
      <c r="I94" s="3" t="s">
        <v>54</v>
      </c>
      <c r="J94" s="4">
        <v>46074.0</v>
      </c>
      <c r="K94" s="4">
        <v>46078.0</v>
      </c>
      <c r="L94" s="7"/>
      <c r="M94" s="7"/>
      <c r="N94" s="7"/>
      <c r="O94" s="3" t="s">
        <v>104</v>
      </c>
      <c r="P94" s="4">
        <v>46069.0</v>
      </c>
      <c r="R94" s="3" t="s">
        <v>29</v>
      </c>
    </row>
    <row r="95">
      <c r="A95" s="3" t="s">
        <v>226</v>
      </c>
      <c r="B95" s="3" t="s">
        <v>133</v>
      </c>
      <c r="C95" s="3" t="s">
        <v>88</v>
      </c>
      <c r="D95" s="3" t="s">
        <v>89</v>
      </c>
      <c r="E95" s="3" t="s">
        <v>40</v>
      </c>
      <c r="F95" s="3" t="s">
        <v>33</v>
      </c>
      <c r="G95" s="3" t="s">
        <v>42</v>
      </c>
      <c r="H95" s="3" t="s">
        <v>43</v>
      </c>
      <c r="I95" s="3" t="s">
        <v>27</v>
      </c>
      <c r="J95" s="4">
        <v>46029.0</v>
      </c>
      <c r="K95" s="7"/>
      <c r="L95" s="7"/>
      <c r="M95" s="7"/>
      <c r="N95" s="7"/>
      <c r="O95" s="3" t="s">
        <v>55</v>
      </c>
      <c r="P95" s="4">
        <v>46026.0</v>
      </c>
      <c r="R95" s="3" t="s">
        <v>29</v>
      </c>
    </row>
    <row r="96">
      <c r="A96" s="3" t="s">
        <v>227</v>
      </c>
      <c r="B96" s="3" t="s">
        <v>83</v>
      </c>
      <c r="C96" s="3" t="s">
        <v>115</v>
      </c>
      <c r="D96" s="3" t="s">
        <v>115</v>
      </c>
      <c r="E96" s="3" t="s">
        <v>40</v>
      </c>
      <c r="F96" s="3" t="s">
        <v>41</v>
      </c>
      <c r="G96" s="3" t="s">
        <v>110</v>
      </c>
      <c r="H96" s="3" t="s">
        <v>26</v>
      </c>
      <c r="I96" s="3" t="s">
        <v>36</v>
      </c>
      <c r="J96" s="4">
        <v>46063.0</v>
      </c>
      <c r="K96" s="4">
        <v>46065.0</v>
      </c>
      <c r="L96" s="7"/>
      <c r="M96" s="7"/>
      <c r="N96" s="7"/>
      <c r="O96" s="3" t="s">
        <v>37</v>
      </c>
      <c r="P96" s="4">
        <v>46062.0</v>
      </c>
      <c r="R96" s="3" t="s">
        <v>29</v>
      </c>
    </row>
    <row r="97">
      <c r="A97" s="3" t="s">
        <v>228</v>
      </c>
      <c r="B97" s="3" t="s">
        <v>114</v>
      </c>
      <c r="C97" s="3" t="s">
        <v>51</v>
      </c>
      <c r="D97" s="3" t="s">
        <v>22</v>
      </c>
      <c r="E97" s="3" t="s">
        <v>40</v>
      </c>
      <c r="F97" s="3" t="s">
        <v>24</v>
      </c>
      <c r="G97" s="3" t="s">
        <v>106</v>
      </c>
      <c r="H97" s="3" t="s">
        <v>43</v>
      </c>
      <c r="I97" s="3" t="s">
        <v>27</v>
      </c>
      <c r="J97" s="4">
        <v>46131.0</v>
      </c>
      <c r="K97" s="4">
        <v>46133.0</v>
      </c>
      <c r="L97" s="4">
        <v>46146.0</v>
      </c>
      <c r="M97" s="7"/>
      <c r="N97" s="7"/>
      <c r="O97" s="3" t="s">
        <v>55</v>
      </c>
      <c r="P97" s="4">
        <v>46129.0</v>
      </c>
      <c r="R97" s="3" t="s">
        <v>45</v>
      </c>
    </row>
    <row r="98">
      <c r="A98" s="3" t="s">
        <v>229</v>
      </c>
      <c r="B98" s="3" t="s">
        <v>161</v>
      </c>
      <c r="C98" s="3" t="s">
        <v>67</v>
      </c>
      <c r="D98" s="3" t="s">
        <v>67</v>
      </c>
      <c r="E98" s="3" t="s">
        <v>23</v>
      </c>
      <c r="F98" s="3" t="s">
        <v>41</v>
      </c>
      <c r="G98" s="3" t="s">
        <v>99</v>
      </c>
      <c r="H98" s="3" t="s">
        <v>35</v>
      </c>
      <c r="I98" s="3" t="s">
        <v>36</v>
      </c>
      <c r="J98" s="4">
        <v>46123.0</v>
      </c>
      <c r="K98" s="4">
        <v>46128.0</v>
      </c>
      <c r="L98" s="4">
        <v>46141.0</v>
      </c>
      <c r="M98" s="4">
        <v>46146.0</v>
      </c>
      <c r="N98" s="7"/>
      <c r="O98" s="3" t="s">
        <v>76</v>
      </c>
      <c r="P98" s="4">
        <v>46121.0</v>
      </c>
      <c r="R98" s="3" t="s">
        <v>29</v>
      </c>
    </row>
    <row r="99">
      <c r="A99" s="3" t="s">
        <v>230</v>
      </c>
      <c r="B99" s="3" t="s">
        <v>194</v>
      </c>
      <c r="C99" s="3" t="s">
        <v>32</v>
      </c>
      <c r="D99" s="3" t="s">
        <v>22</v>
      </c>
      <c r="E99" s="3" t="s">
        <v>52</v>
      </c>
      <c r="F99" s="3" t="s">
        <v>24</v>
      </c>
      <c r="G99" s="3" t="s">
        <v>34</v>
      </c>
      <c r="H99" s="3" t="s">
        <v>26</v>
      </c>
      <c r="I99" s="3" t="s">
        <v>27</v>
      </c>
      <c r="J99" s="4">
        <v>46161.0</v>
      </c>
      <c r="K99" s="7"/>
      <c r="L99" s="7"/>
      <c r="M99" s="7"/>
      <c r="N99" s="7"/>
      <c r="O99" s="3" t="s">
        <v>55</v>
      </c>
      <c r="P99" s="4">
        <v>46158.0</v>
      </c>
      <c r="R99" s="3" t="s">
        <v>29</v>
      </c>
    </row>
    <row r="100">
      <c r="A100" s="3" t="s">
        <v>231</v>
      </c>
      <c r="B100" s="3" t="s">
        <v>57</v>
      </c>
      <c r="C100" s="3" t="s">
        <v>88</v>
      </c>
      <c r="D100" s="3" t="s">
        <v>89</v>
      </c>
      <c r="E100" s="3" t="s">
        <v>40</v>
      </c>
      <c r="F100" s="3" t="s">
        <v>24</v>
      </c>
      <c r="G100" s="3" t="s">
        <v>59</v>
      </c>
      <c r="H100" s="3" t="s">
        <v>60</v>
      </c>
      <c r="I100" s="3" t="s">
        <v>27</v>
      </c>
      <c r="J100" s="4">
        <v>46108.0</v>
      </c>
      <c r="K100" s="4">
        <v>46113.0</v>
      </c>
      <c r="L100" s="4">
        <v>46126.0</v>
      </c>
      <c r="M100" s="7"/>
      <c r="N100" s="7"/>
      <c r="O100" s="3" t="s">
        <v>44</v>
      </c>
      <c r="P100" s="4">
        <v>46104.0</v>
      </c>
      <c r="R100" s="3" t="s">
        <v>29</v>
      </c>
    </row>
    <row r="101">
      <c r="A101" s="3" t="s">
        <v>232</v>
      </c>
      <c r="B101" s="3" t="s">
        <v>120</v>
      </c>
      <c r="C101" s="3" t="s">
        <v>115</v>
      </c>
      <c r="D101" s="3" t="s">
        <v>115</v>
      </c>
      <c r="E101" s="3" t="s">
        <v>23</v>
      </c>
      <c r="F101" s="3" t="s">
        <v>24</v>
      </c>
      <c r="G101" s="3" t="s">
        <v>106</v>
      </c>
      <c r="H101" s="3" t="s">
        <v>60</v>
      </c>
      <c r="I101" s="3" t="s">
        <v>27</v>
      </c>
      <c r="J101" s="4">
        <v>46051.0</v>
      </c>
      <c r="K101" s="4">
        <v>46057.0</v>
      </c>
      <c r="L101" s="7"/>
      <c r="M101" s="7"/>
      <c r="N101" s="7"/>
      <c r="O101" s="3" t="s">
        <v>55</v>
      </c>
      <c r="P101" s="4">
        <v>46051.0</v>
      </c>
      <c r="R101" s="3" t="s">
        <v>45</v>
      </c>
    </row>
    <row r="102">
      <c r="A102" s="3" t="s">
        <v>233</v>
      </c>
      <c r="B102" s="3" t="s">
        <v>92</v>
      </c>
      <c r="C102" s="3" t="s">
        <v>51</v>
      </c>
      <c r="D102" s="3" t="s">
        <v>22</v>
      </c>
      <c r="E102" s="3" t="s">
        <v>47</v>
      </c>
      <c r="F102" s="3" t="s">
        <v>48</v>
      </c>
      <c r="G102" s="3" t="s">
        <v>84</v>
      </c>
      <c r="H102" s="3" t="s">
        <v>26</v>
      </c>
      <c r="I102" s="3" t="s">
        <v>27</v>
      </c>
      <c r="J102" s="4">
        <v>46099.0</v>
      </c>
      <c r="K102" s="7"/>
      <c r="L102" s="7"/>
      <c r="M102" s="7"/>
      <c r="N102" s="7"/>
      <c r="O102" s="3" t="s">
        <v>55</v>
      </c>
      <c r="P102" s="4">
        <v>46096.0</v>
      </c>
      <c r="R102" s="3" t="s">
        <v>29</v>
      </c>
    </row>
    <row r="103">
      <c r="A103" s="3" t="s">
        <v>234</v>
      </c>
      <c r="B103" s="3" t="s">
        <v>31</v>
      </c>
      <c r="C103" s="3" t="s">
        <v>51</v>
      </c>
      <c r="D103" s="3" t="s">
        <v>22</v>
      </c>
      <c r="E103" s="3" t="s">
        <v>52</v>
      </c>
      <c r="F103" s="3" t="s">
        <v>33</v>
      </c>
      <c r="G103" s="3" t="s">
        <v>149</v>
      </c>
      <c r="H103" s="3" t="s">
        <v>26</v>
      </c>
      <c r="I103" s="3" t="s">
        <v>36</v>
      </c>
      <c r="J103" s="4">
        <v>46064.0</v>
      </c>
      <c r="K103" s="4">
        <v>46067.0</v>
      </c>
      <c r="L103" s="4">
        <v>46076.0</v>
      </c>
      <c r="M103" s="4">
        <v>46080.0</v>
      </c>
      <c r="N103" s="4">
        <v>46103.0</v>
      </c>
      <c r="O103" s="3" t="s">
        <v>28</v>
      </c>
      <c r="P103" s="4">
        <v>46059.0</v>
      </c>
      <c r="Q103" s="3">
        <v>44.0</v>
      </c>
      <c r="R103" s="3" t="s">
        <v>29</v>
      </c>
    </row>
    <row r="104">
      <c r="A104" s="3" t="s">
        <v>235</v>
      </c>
      <c r="B104" s="3" t="s">
        <v>200</v>
      </c>
      <c r="C104" s="3" t="s">
        <v>32</v>
      </c>
      <c r="D104" s="3" t="s">
        <v>22</v>
      </c>
      <c r="E104" s="3" t="s">
        <v>23</v>
      </c>
      <c r="F104" s="3" t="s">
        <v>41</v>
      </c>
      <c r="G104" s="3" t="s">
        <v>34</v>
      </c>
      <c r="H104" s="3" t="s">
        <v>43</v>
      </c>
      <c r="I104" s="3" t="s">
        <v>36</v>
      </c>
      <c r="J104" s="4">
        <v>46058.0</v>
      </c>
      <c r="K104" s="4">
        <v>46060.0</v>
      </c>
      <c r="L104" s="4">
        <v>46070.0</v>
      </c>
      <c r="M104" s="7"/>
      <c r="N104" s="7"/>
      <c r="O104" s="3" t="s">
        <v>44</v>
      </c>
      <c r="P104" s="4">
        <v>46056.0</v>
      </c>
      <c r="R104" s="3" t="s">
        <v>29</v>
      </c>
    </row>
    <row r="105">
      <c r="A105" s="3" t="s">
        <v>236</v>
      </c>
      <c r="B105" s="3" t="s">
        <v>133</v>
      </c>
      <c r="C105" s="3" t="s">
        <v>115</v>
      </c>
      <c r="D105" s="3" t="s">
        <v>115</v>
      </c>
      <c r="E105" s="3" t="s">
        <v>23</v>
      </c>
      <c r="F105" s="3" t="s">
        <v>48</v>
      </c>
      <c r="G105" s="3" t="s">
        <v>121</v>
      </c>
      <c r="H105" s="3" t="s">
        <v>26</v>
      </c>
      <c r="I105" s="3" t="s">
        <v>27</v>
      </c>
      <c r="J105" s="4">
        <v>46114.0</v>
      </c>
      <c r="K105" s="4">
        <v>46120.0</v>
      </c>
      <c r="L105" s="4">
        <v>46127.0</v>
      </c>
      <c r="M105" s="4">
        <v>46132.0</v>
      </c>
      <c r="N105" s="4">
        <v>46151.0</v>
      </c>
      <c r="O105" s="3" t="s">
        <v>28</v>
      </c>
      <c r="P105" s="4">
        <v>46110.0</v>
      </c>
      <c r="Q105" s="3">
        <v>41.0</v>
      </c>
      <c r="R105" s="3" t="s">
        <v>29</v>
      </c>
    </row>
    <row r="106">
      <c r="A106" s="3" t="s">
        <v>237</v>
      </c>
      <c r="B106" s="3" t="s">
        <v>83</v>
      </c>
      <c r="C106" s="3" t="s">
        <v>32</v>
      </c>
      <c r="D106" s="3" t="s">
        <v>22</v>
      </c>
      <c r="E106" s="3" t="s">
        <v>23</v>
      </c>
      <c r="F106" s="3" t="s">
        <v>41</v>
      </c>
      <c r="G106" s="3" t="s">
        <v>129</v>
      </c>
      <c r="H106" s="3" t="s">
        <v>60</v>
      </c>
      <c r="I106" s="3" t="s">
        <v>27</v>
      </c>
      <c r="J106" s="4">
        <v>46105.0</v>
      </c>
      <c r="K106" s="7"/>
      <c r="L106" s="7"/>
      <c r="M106" s="7"/>
      <c r="N106" s="7"/>
      <c r="O106" s="3" t="s">
        <v>104</v>
      </c>
      <c r="P106" s="4">
        <v>46101.0</v>
      </c>
      <c r="R106" s="3" t="s">
        <v>29</v>
      </c>
    </row>
    <row r="107">
      <c r="A107" s="3" t="s">
        <v>238</v>
      </c>
      <c r="B107" s="3" t="s">
        <v>165</v>
      </c>
      <c r="C107" s="3" t="s">
        <v>115</v>
      </c>
      <c r="D107" s="3" t="s">
        <v>115</v>
      </c>
      <c r="E107" s="3" t="s">
        <v>52</v>
      </c>
      <c r="F107" s="3" t="s">
        <v>48</v>
      </c>
      <c r="G107" s="3" t="s">
        <v>63</v>
      </c>
      <c r="H107" s="3" t="s">
        <v>26</v>
      </c>
      <c r="I107" s="3" t="s">
        <v>27</v>
      </c>
      <c r="J107" s="4">
        <v>46029.0</v>
      </c>
      <c r="K107" s="4">
        <v>46035.0</v>
      </c>
      <c r="L107" s="7"/>
      <c r="M107" s="7"/>
      <c r="N107" s="7"/>
      <c r="O107" s="3" t="s">
        <v>55</v>
      </c>
      <c r="P107" s="4">
        <v>46024.0</v>
      </c>
      <c r="R107" s="3" t="s">
        <v>29</v>
      </c>
    </row>
    <row r="108">
      <c r="A108" s="3" t="s">
        <v>239</v>
      </c>
      <c r="B108" s="3" t="s">
        <v>165</v>
      </c>
      <c r="C108" s="3" t="s">
        <v>88</v>
      </c>
      <c r="D108" s="3" t="s">
        <v>89</v>
      </c>
      <c r="E108" s="3" t="s">
        <v>52</v>
      </c>
      <c r="F108" s="3" t="s">
        <v>41</v>
      </c>
      <c r="G108" s="3" t="s">
        <v>129</v>
      </c>
      <c r="H108" s="3" t="s">
        <v>60</v>
      </c>
      <c r="I108" s="3" t="s">
        <v>27</v>
      </c>
      <c r="J108" s="4">
        <v>46109.0</v>
      </c>
      <c r="K108" s="4">
        <v>46111.0</v>
      </c>
      <c r="L108" s="4">
        <v>46124.0</v>
      </c>
      <c r="M108" s="4">
        <v>46133.0</v>
      </c>
      <c r="N108" s="7"/>
      <c r="O108" s="3" t="s">
        <v>76</v>
      </c>
      <c r="P108" s="4">
        <v>46105.0</v>
      </c>
      <c r="R108" s="3" t="s">
        <v>29</v>
      </c>
    </row>
    <row r="109">
      <c r="A109" s="3" t="s">
        <v>240</v>
      </c>
      <c r="B109" s="3" t="s">
        <v>72</v>
      </c>
      <c r="C109" s="3" t="s">
        <v>88</v>
      </c>
      <c r="D109" s="3" t="s">
        <v>89</v>
      </c>
      <c r="E109" s="3" t="s">
        <v>52</v>
      </c>
      <c r="F109" s="3" t="s">
        <v>48</v>
      </c>
      <c r="G109" s="3" t="s">
        <v>90</v>
      </c>
      <c r="H109" s="3" t="s">
        <v>35</v>
      </c>
      <c r="I109" s="3" t="s">
        <v>27</v>
      </c>
      <c r="J109" s="4">
        <v>46048.0</v>
      </c>
      <c r="K109" s="4">
        <v>46051.0</v>
      </c>
      <c r="L109" s="4">
        <v>46065.0</v>
      </c>
      <c r="M109" s="7"/>
      <c r="N109" s="7"/>
      <c r="O109" s="3" t="s">
        <v>44</v>
      </c>
      <c r="P109" s="4">
        <v>46047.0</v>
      </c>
      <c r="R109" s="3" t="s">
        <v>29</v>
      </c>
    </row>
    <row r="110">
      <c r="A110" s="3" t="s">
        <v>241</v>
      </c>
      <c r="B110" s="3" t="s">
        <v>148</v>
      </c>
      <c r="C110" s="3" t="s">
        <v>32</v>
      </c>
      <c r="D110" s="3" t="s">
        <v>22</v>
      </c>
      <c r="E110" s="3" t="s">
        <v>52</v>
      </c>
      <c r="F110" s="3" t="s">
        <v>48</v>
      </c>
      <c r="G110" s="3" t="s">
        <v>75</v>
      </c>
      <c r="H110" s="3" t="s">
        <v>26</v>
      </c>
      <c r="I110" s="3" t="s">
        <v>27</v>
      </c>
      <c r="J110" s="4">
        <v>46171.0</v>
      </c>
      <c r="K110" s="7"/>
      <c r="L110" s="7"/>
      <c r="M110" s="7"/>
      <c r="N110" s="7"/>
      <c r="O110" s="3" t="s">
        <v>55</v>
      </c>
      <c r="P110" s="4">
        <v>46170.0</v>
      </c>
      <c r="R110" s="3" t="s">
        <v>45</v>
      </c>
    </row>
    <row r="111">
      <c r="A111" s="3" t="s">
        <v>242</v>
      </c>
      <c r="B111" s="3" t="s">
        <v>185</v>
      </c>
      <c r="C111" s="3" t="s">
        <v>51</v>
      </c>
      <c r="D111" s="3" t="s">
        <v>22</v>
      </c>
      <c r="E111" s="3" t="s">
        <v>23</v>
      </c>
      <c r="F111" s="3" t="s">
        <v>24</v>
      </c>
      <c r="G111" s="3" t="s">
        <v>90</v>
      </c>
      <c r="H111" s="3" t="s">
        <v>43</v>
      </c>
      <c r="I111" s="3" t="s">
        <v>36</v>
      </c>
      <c r="J111" s="4">
        <v>46157.0</v>
      </c>
      <c r="K111" s="7"/>
      <c r="L111" s="7"/>
      <c r="M111" s="7"/>
      <c r="N111" s="7"/>
      <c r="O111" s="3" t="s">
        <v>55</v>
      </c>
      <c r="P111" s="4">
        <v>46155.0</v>
      </c>
      <c r="R111" s="3" t="s">
        <v>29</v>
      </c>
    </row>
    <row r="112">
      <c r="A112" s="3" t="s">
        <v>243</v>
      </c>
      <c r="B112" s="3" t="s">
        <v>78</v>
      </c>
      <c r="C112" s="3" t="s">
        <v>51</v>
      </c>
      <c r="D112" s="3" t="s">
        <v>22</v>
      </c>
      <c r="E112" s="3" t="s">
        <v>23</v>
      </c>
      <c r="F112" s="3" t="s">
        <v>24</v>
      </c>
      <c r="G112" s="3" t="s">
        <v>106</v>
      </c>
      <c r="H112" s="3" t="s">
        <v>60</v>
      </c>
      <c r="I112" s="3" t="s">
        <v>27</v>
      </c>
      <c r="J112" s="4">
        <v>46114.0</v>
      </c>
      <c r="K112" s="4">
        <v>46121.0</v>
      </c>
      <c r="L112" s="4">
        <v>46126.0</v>
      </c>
      <c r="M112" s="7"/>
      <c r="N112" s="7"/>
      <c r="O112" s="3" t="s">
        <v>44</v>
      </c>
      <c r="P112" s="4">
        <v>46109.0</v>
      </c>
      <c r="R112" s="3" t="s">
        <v>29</v>
      </c>
    </row>
    <row r="113">
      <c r="A113" s="3" t="s">
        <v>244</v>
      </c>
      <c r="B113" s="3" t="s">
        <v>171</v>
      </c>
      <c r="C113" s="3" t="s">
        <v>51</v>
      </c>
      <c r="D113" s="3" t="s">
        <v>22</v>
      </c>
      <c r="E113" s="3" t="s">
        <v>23</v>
      </c>
      <c r="F113" s="3" t="s">
        <v>33</v>
      </c>
      <c r="G113" s="3" t="s">
        <v>173</v>
      </c>
      <c r="H113" s="3" t="s">
        <v>26</v>
      </c>
      <c r="I113" s="3" t="s">
        <v>36</v>
      </c>
      <c r="J113" s="4">
        <v>46083.0</v>
      </c>
      <c r="K113" s="7"/>
      <c r="L113" s="7"/>
      <c r="M113" s="7"/>
      <c r="N113" s="7"/>
      <c r="O113" s="3" t="s">
        <v>55</v>
      </c>
      <c r="P113" s="4">
        <v>46083.0</v>
      </c>
      <c r="R113" s="3" t="s">
        <v>45</v>
      </c>
    </row>
    <row r="114">
      <c r="A114" s="3" t="s">
        <v>245</v>
      </c>
      <c r="B114" s="3" t="s">
        <v>145</v>
      </c>
      <c r="C114" s="3" t="s">
        <v>115</v>
      </c>
      <c r="D114" s="3" t="s">
        <v>115</v>
      </c>
      <c r="E114" s="3" t="s">
        <v>23</v>
      </c>
      <c r="F114" s="3" t="s">
        <v>24</v>
      </c>
      <c r="G114" s="3" t="s">
        <v>75</v>
      </c>
      <c r="H114" s="3" t="s">
        <v>54</v>
      </c>
      <c r="I114" s="3" t="s">
        <v>54</v>
      </c>
      <c r="J114" s="4">
        <v>46136.0</v>
      </c>
      <c r="K114" s="4">
        <v>46138.0</v>
      </c>
      <c r="L114" s="4">
        <v>46144.0</v>
      </c>
      <c r="M114" s="4">
        <v>46152.0</v>
      </c>
      <c r="N114" s="7"/>
      <c r="O114" s="3" t="s">
        <v>55</v>
      </c>
      <c r="P114" s="4">
        <v>46132.0</v>
      </c>
      <c r="R114" s="3" t="s">
        <v>29</v>
      </c>
    </row>
    <row r="115">
      <c r="A115" s="3" t="s">
        <v>246</v>
      </c>
      <c r="B115" s="3" t="s">
        <v>185</v>
      </c>
      <c r="C115" s="3" t="s">
        <v>21</v>
      </c>
      <c r="D115" s="3" t="s">
        <v>22</v>
      </c>
      <c r="E115" s="3" t="s">
        <v>52</v>
      </c>
      <c r="F115" s="3" t="s">
        <v>41</v>
      </c>
      <c r="G115" s="3" t="s">
        <v>99</v>
      </c>
      <c r="H115" s="3" t="s">
        <v>35</v>
      </c>
      <c r="I115" s="3" t="s">
        <v>27</v>
      </c>
      <c r="J115" s="4">
        <v>46099.0</v>
      </c>
      <c r="K115" s="7"/>
      <c r="L115" s="7"/>
      <c r="M115" s="7"/>
      <c r="N115" s="7"/>
      <c r="O115" s="3" t="s">
        <v>55</v>
      </c>
      <c r="P115" s="4">
        <v>46099.0</v>
      </c>
      <c r="R115" s="3" t="s">
        <v>29</v>
      </c>
    </row>
    <row r="116">
      <c r="A116" s="3" t="s">
        <v>248</v>
      </c>
      <c r="B116" s="3" t="s">
        <v>57</v>
      </c>
      <c r="C116" s="3" t="s">
        <v>115</v>
      </c>
      <c r="D116" s="3" t="s">
        <v>115</v>
      </c>
      <c r="E116" s="3" t="s">
        <v>23</v>
      </c>
      <c r="F116" s="3" t="s">
        <v>24</v>
      </c>
      <c r="G116" s="3" t="s">
        <v>110</v>
      </c>
      <c r="H116" s="3" t="s">
        <v>60</v>
      </c>
      <c r="I116" s="3" t="s">
        <v>27</v>
      </c>
      <c r="J116" s="4">
        <v>46032.0</v>
      </c>
      <c r="K116" s="4">
        <v>46036.0</v>
      </c>
      <c r="L116" s="7"/>
      <c r="M116" s="7"/>
      <c r="N116" s="7"/>
      <c r="O116" s="3" t="s">
        <v>37</v>
      </c>
      <c r="P116" s="4">
        <v>46030.0</v>
      </c>
      <c r="R116" s="3" t="s">
        <v>29</v>
      </c>
    </row>
    <row r="117">
      <c r="A117" s="3" t="s">
        <v>251</v>
      </c>
      <c r="B117" s="3" t="s">
        <v>159</v>
      </c>
      <c r="C117" s="3" t="s">
        <v>51</v>
      </c>
      <c r="D117" s="3" t="s">
        <v>22</v>
      </c>
      <c r="E117" s="3" t="s">
        <v>40</v>
      </c>
      <c r="F117" s="3" t="s">
        <v>24</v>
      </c>
      <c r="G117" s="3" t="s">
        <v>94</v>
      </c>
      <c r="H117" s="3" t="s">
        <v>26</v>
      </c>
      <c r="I117" s="3" t="s">
        <v>36</v>
      </c>
      <c r="J117" s="4">
        <v>46041.0</v>
      </c>
      <c r="K117" s="4">
        <v>46047.0</v>
      </c>
      <c r="L117" s="4">
        <v>46054.0</v>
      </c>
      <c r="M117" s="4">
        <v>46063.0</v>
      </c>
      <c r="N117" s="7"/>
      <c r="O117" s="3" t="s">
        <v>76</v>
      </c>
      <c r="P117" s="4">
        <v>46037.0</v>
      </c>
      <c r="R117" s="3" t="s">
        <v>45</v>
      </c>
    </row>
    <row r="118">
      <c r="A118" s="3" t="s">
        <v>253</v>
      </c>
      <c r="B118" s="3" t="s">
        <v>183</v>
      </c>
      <c r="C118" s="3" t="s">
        <v>21</v>
      </c>
      <c r="D118" s="3" t="s">
        <v>22</v>
      </c>
      <c r="E118" s="3" t="s">
        <v>23</v>
      </c>
      <c r="F118" s="3" t="s">
        <v>33</v>
      </c>
      <c r="G118" s="3" t="s">
        <v>173</v>
      </c>
      <c r="H118" s="3" t="s">
        <v>35</v>
      </c>
      <c r="I118" s="3" t="s">
        <v>27</v>
      </c>
      <c r="J118" s="4">
        <v>46033.0</v>
      </c>
      <c r="K118" s="4">
        <v>46036.0</v>
      </c>
      <c r="L118" s="7"/>
      <c r="M118" s="7"/>
      <c r="N118" s="7"/>
      <c r="O118" s="3" t="s">
        <v>37</v>
      </c>
      <c r="P118" s="4">
        <v>46032.0</v>
      </c>
      <c r="R118" s="3" t="s">
        <v>29</v>
      </c>
    </row>
    <row r="119">
      <c r="A119" s="3" t="s">
        <v>254</v>
      </c>
      <c r="B119" s="3" t="s">
        <v>72</v>
      </c>
      <c r="C119" s="3" t="s">
        <v>21</v>
      </c>
      <c r="D119" s="3" t="s">
        <v>22</v>
      </c>
      <c r="E119" s="3" t="s">
        <v>23</v>
      </c>
      <c r="F119" s="3" t="s">
        <v>48</v>
      </c>
      <c r="G119" s="3" t="s">
        <v>42</v>
      </c>
      <c r="H119" s="3" t="s">
        <v>26</v>
      </c>
      <c r="I119" s="3" t="s">
        <v>27</v>
      </c>
      <c r="J119" s="4">
        <v>46148.0</v>
      </c>
      <c r="K119" s="4">
        <v>46153.0</v>
      </c>
      <c r="L119" s="4">
        <v>46160.0</v>
      </c>
      <c r="M119" s="4">
        <v>46166.0</v>
      </c>
      <c r="N119" s="7"/>
      <c r="O119" s="3" t="s">
        <v>76</v>
      </c>
      <c r="P119" s="4">
        <v>46143.0</v>
      </c>
      <c r="R119" s="3" t="s">
        <v>29</v>
      </c>
    </row>
    <row r="120">
      <c r="A120" s="3" t="s">
        <v>255</v>
      </c>
      <c r="B120" s="3" t="s">
        <v>39</v>
      </c>
      <c r="C120" s="3" t="s">
        <v>21</v>
      </c>
      <c r="D120" s="3" t="s">
        <v>22</v>
      </c>
      <c r="E120" s="3" t="s">
        <v>52</v>
      </c>
      <c r="F120" s="3" t="s">
        <v>41</v>
      </c>
      <c r="G120" s="3" t="s">
        <v>70</v>
      </c>
      <c r="H120" s="3" t="s">
        <v>43</v>
      </c>
      <c r="I120" s="3" t="s">
        <v>36</v>
      </c>
      <c r="J120" s="4">
        <v>46058.0</v>
      </c>
      <c r="K120" s="4">
        <v>46060.0</v>
      </c>
      <c r="L120" s="4">
        <v>46071.0</v>
      </c>
      <c r="M120" s="7"/>
      <c r="N120" s="7"/>
      <c r="O120" s="3" t="s">
        <v>44</v>
      </c>
      <c r="P120" s="4">
        <v>46058.0</v>
      </c>
      <c r="R120" s="3" t="s">
        <v>45</v>
      </c>
    </row>
    <row r="121">
      <c r="A121" s="3" t="s">
        <v>256</v>
      </c>
      <c r="B121" s="3" t="s">
        <v>183</v>
      </c>
      <c r="C121" s="3" t="s">
        <v>115</v>
      </c>
      <c r="D121" s="3" t="s">
        <v>115</v>
      </c>
      <c r="E121" s="3" t="s">
        <v>52</v>
      </c>
      <c r="F121" s="3" t="s">
        <v>33</v>
      </c>
      <c r="G121" s="3" t="s">
        <v>34</v>
      </c>
      <c r="H121" s="3" t="s">
        <v>43</v>
      </c>
      <c r="I121" s="3" t="s">
        <v>36</v>
      </c>
      <c r="J121" s="4">
        <v>46079.0</v>
      </c>
      <c r="K121" s="4">
        <v>46082.0</v>
      </c>
      <c r="L121" s="4">
        <v>46096.0</v>
      </c>
      <c r="M121" s="4">
        <v>46104.0</v>
      </c>
      <c r="N121" s="4">
        <v>46124.0</v>
      </c>
      <c r="O121" s="3" t="s">
        <v>28</v>
      </c>
      <c r="P121" s="4">
        <v>46074.0</v>
      </c>
      <c r="Q121" s="3">
        <v>50.0</v>
      </c>
      <c r="R121" s="3" t="s">
        <v>29</v>
      </c>
    </row>
    <row r="122">
      <c r="A122" s="3" t="s">
        <v>257</v>
      </c>
      <c r="B122" s="3" t="s">
        <v>159</v>
      </c>
      <c r="C122" s="3" t="s">
        <v>115</v>
      </c>
      <c r="D122" s="3" t="s">
        <v>115</v>
      </c>
      <c r="E122" s="3" t="s">
        <v>47</v>
      </c>
      <c r="F122" s="3" t="s">
        <v>41</v>
      </c>
      <c r="G122" s="3" t="s">
        <v>34</v>
      </c>
      <c r="H122" s="3" t="s">
        <v>35</v>
      </c>
      <c r="I122" s="3" t="s">
        <v>27</v>
      </c>
      <c r="J122" s="4">
        <v>46056.0</v>
      </c>
      <c r="K122" s="4">
        <v>46060.0</v>
      </c>
      <c r="L122" s="4">
        <v>46072.0</v>
      </c>
      <c r="M122" s="7"/>
      <c r="N122" s="7"/>
      <c r="O122" s="3" t="s">
        <v>44</v>
      </c>
      <c r="P122" s="4">
        <v>46056.0</v>
      </c>
      <c r="R122" s="3" t="s">
        <v>45</v>
      </c>
    </row>
    <row r="123">
      <c r="A123" s="3" t="s">
        <v>258</v>
      </c>
      <c r="B123" s="3" t="s">
        <v>259</v>
      </c>
      <c r="C123" s="3" t="s">
        <v>32</v>
      </c>
      <c r="D123" s="3" t="s">
        <v>22</v>
      </c>
      <c r="E123" s="3" t="s">
        <v>40</v>
      </c>
      <c r="F123" s="3" t="s">
        <v>24</v>
      </c>
      <c r="G123" s="3" t="s">
        <v>63</v>
      </c>
      <c r="H123" s="3" t="s">
        <v>43</v>
      </c>
      <c r="I123" s="3" t="s">
        <v>27</v>
      </c>
      <c r="J123" s="4">
        <v>46058.0</v>
      </c>
      <c r="K123" s="4">
        <v>46064.0</v>
      </c>
      <c r="L123" s="4">
        <v>46072.0</v>
      </c>
      <c r="M123" s="7"/>
      <c r="N123" s="7"/>
      <c r="O123" s="3" t="s">
        <v>55</v>
      </c>
      <c r="P123" s="4">
        <v>46054.0</v>
      </c>
      <c r="R123" s="3" t="s">
        <v>29</v>
      </c>
    </row>
    <row r="124">
      <c r="A124" s="3" t="s">
        <v>260</v>
      </c>
      <c r="B124" s="3" t="s">
        <v>39</v>
      </c>
      <c r="C124" s="3" t="s">
        <v>21</v>
      </c>
      <c r="D124" s="3" t="s">
        <v>22</v>
      </c>
      <c r="E124" s="3" t="s">
        <v>52</v>
      </c>
      <c r="F124" s="3" t="s">
        <v>33</v>
      </c>
      <c r="G124" s="3" t="s">
        <v>102</v>
      </c>
      <c r="H124" s="3" t="s">
        <v>43</v>
      </c>
      <c r="I124" s="3" t="s">
        <v>36</v>
      </c>
      <c r="J124" s="4">
        <v>46118.0</v>
      </c>
      <c r="K124" s="4">
        <v>46123.0</v>
      </c>
      <c r="L124" s="4">
        <v>46132.0</v>
      </c>
      <c r="M124" s="7"/>
      <c r="N124" s="7"/>
      <c r="O124" s="3" t="s">
        <v>55</v>
      </c>
      <c r="P124" s="4">
        <v>46114.0</v>
      </c>
      <c r="R124" s="3" t="s">
        <v>45</v>
      </c>
    </row>
    <row r="125">
      <c r="A125" s="3" t="s">
        <v>261</v>
      </c>
      <c r="B125" s="3" t="s">
        <v>262</v>
      </c>
      <c r="C125" s="3" t="s">
        <v>115</v>
      </c>
      <c r="D125" s="3" t="s">
        <v>115</v>
      </c>
      <c r="E125" s="3" t="s">
        <v>47</v>
      </c>
      <c r="F125" s="3" t="s">
        <v>24</v>
      </c>
      <c r="G125" s="3" t="s">
        <v>63</v>
      </c>
      <c r="H125" s="3" t="s">
        <v>54</v>
      </c>
      <c r="I125" s="3" t="s">
        <v>54</v>
      </c>
      <c r="J125" s="4">
        <v>46128.0</v>
      </c>
      <c r="K125" s="7"/>
      <c r="L125" s="7"/>
      <c r="M125" s="7"/>
      <c r="N125" s="3"/>
      <c r="O125" s="3" t="s">
        <v>104</v>
      </c>
      <c r="P125" s="4">
        <v>46125.0</v>
      </c>
      <c r="Q125" s="3"/>
      <c r="R125" s="3" t="s">
        <v>45</v>
      </c>
    </row>
    <row r="126">
      <c r="A126" s="3" t="s">
        <v>263</v>
      </c>
      <c r="B126" s="3" t="s">
        <v>78</v>
      </c>
      <c r="C126" s="3" t="s">
        <v>32</v>
      </c>
      <c r="D126" s="3" t="s">
        <v>22</v>
      </c>
      <c r="E126" s="3" t="s">
        <v>52</v>
      </c>
      <c r="F126" s="3" t="s">
        <v>48</v>
      </c>
      <c r="G126" s="3" t="s">
        <v>94</v>
      </c>
      <c r="H126" s="3" t="s">
        <v>35</v>
      </c>
      <c r="I126" s="3" t="s">
        <v>36</v>
      </c>
      <c r="J126" s="4">
        <v>46156.0</v>
      </c>
      <c r="K126" s="4">
        <v>46158.0</v>
      </c>
      <c r="L126" s="4">
        <v>46169.0</v>
      </c>
      <c r="M126" s="7"/>
      <c r="N126" s="7"/>
      <c r="O126" s="3" t="s">
        <v>44</v>
      </c>
      <c r="P126" s="4">
        <v>46156.0</v>
      </c>
      <c r="R126" s="3" t="s">
        <v>29</v>
      </c>
    </row>
    <row r="127">
      <c r="A127" s="3" t="s">
        <v>264</v>
      </c>
      <c r="B127" s="3" t="s">
        <v>265</v>
      </c>
      <c r="C127" s="3" t="s">
        <v>115</v>
      </c>
      <c r="D127" s="3" t="s">
        <v>115</v>
      </c>
      <c r="E127" s="3" t="s">
        <v>52</v>
      </c>
      <c r="F127" s="3" t="s">
        <v>33</v>
      </c>
      <c r="G127" s="3" t="s">
        <v>121</v>
      </c>
      <c r="H127" s="3" t="s">
        <v>26</v>
      </c>
      <c r="I127" s="3" t="s">
        <v>36</v>
      </c>
      <c r="J127" s="4">
        <v>46082.0</v>
      </c>
      <c r="K127" s="4">
        <v>46088.0</v>
      </c>
      <c r="L127" s="7"/>
      <c r="M127" s="7"/>
      <c r="N127" s="7"/>
      <c r="O127" s="3" t="s">
        <v>55</v>
      </c>
      <c r="P127" s="4">
        <v>46077.0</v>
      </c>
      <c r="R127" s="3" t="s">
        <v>29</v>
      </c>
    </row>
    <row r="128">
      <c r="A128" s="3" t="s">
        <v>266</v>
      </c>
      <c r="B128" s="3" t="s">
        <v>259</v>
      </c>
      <c r="C128" s="3" t="s">
        <v>32</v>
      </c>
      <c r="D128" s="3" t="s">
        <v>22</v>
      </c>
      <c r="E128" s="3" t="s">
        <v>40</v>
      </c>
      <c r="F128" s="3" t="s">
        <v>48</v>
      </c>
      <c r="G128" s="3" t="s">
        <v>106</v>
      </c>
      <c r="H128" s="3" t="s">
        <v>35</v>
      </c>
      <c r="I128" s="3" t="s">
        <v>27</v>
      </c>
      <c r="J128" s="4">
        <v>46073.0</v>
      </c>
      <c r="K128" s="4">
        <v>46080.0</v>
      </c>
      <c r="L128" s="4">
        <v>46090.0</v>
      </c>
      <c r="M128" s="7"/>
      <c r="N128" s="7"/>
      <c r="O128" s="3" t="s">
        <v>44</v>
      </c>
      <c r="P128" s="4">
        <v>46073.0</v>
      </c>
      <c r="R128" s="3" t="s">
        <v>29</v>
      </c>
    </row>
    <row r="129">
      <c r="A129" s="3" t="s">
        <v>267</v>
      </c>
      <c r="B129" s="3" t="s">
        <v>185</v>
      </c>
      <c r="C129" s="3" t="s">
        <v>32</v>
      </c>
      <c r="D129" s="3" t="s">
        <v>22</v>
      </c>
      <c r="E129" s="3" t="s">
        <v>40</v>
      </c>
      <c r="F129" s="3" t="s">
        <v>24</v>
      </c>
      <c r="G129" s="3" t="s">
        <v>42</v>
      </c>
      <c r="H129" s="3" t="s">
        <v>60</v>
      </c>
      <c r="I129" s="3" t="s">
        <v>36</v>
      </c>
      <c r="J129" s="4">
        <v>46024.0</v>
      </c>
      <c r="K129" s="4">
        <v>46029.0</v>
      </c>
      <c r="L129" s="4">
        <v>46040.0</v>
      </c>
      <c r="M129" s="4">
        <v>46048.0</v>
      </c>
      <c r="N129" s="4">
        <v>46076.0</v>
      </c>
      <c r="O129" s="3" t="s">
        <v>28</v>
      </c>
      <c r="P129" s="4">
        <v>46023.0</v>
      </c>
      <c r="Q129" s="3">
        <v>53.0</v>
      </c>
      <c r="R129" s="3" t="s">
        <v>29</v>
      </c>
    </row>
    <row r="130">
      <c r="A130" s="3" t="s">
        <v>268</v>
      </c>
      <c r="B130" s="3" t="s">
        <v>177</v>
      </c>
      <c r="C130" s="3" t="s">
        <v>88</v>
      </c>
      <c r="D130" s="3" t="s">
        <v>89</v>
      </c>
      <c r="E130" s="3" t="s">
        <v>23</v>
      </c>
      <c r="F130" s="3" t="s">
        <v>48</v>
      </c>
      <c r="G130" s="3" t="s">
        <v>106</v>
      </c>
      <c r="H130" s="3" t="s">
        <v>43</v>
      </c>
      <c r="I130" s="3" t="s">
        <v>36</v>
      </c>
      <c r="J130" s="4">
        <v>46052.0</v>
      </c>
      <c r="K130" s="4">
        <v>46056.0</v>
      </c>
      <c r="L130" s="4">
        <v>46061.0</v>
      </c>
      <c r="M130" s="4">
        <v>46067.0</v>
      </c>
      <c r="N130" s="7"/>
      <c r="O130" s="3" t="s">
        <v>76</v>
      </c>
      <c r="P130" s="4">
        <v>46047.0</v>
      </c>
      <c r="R130" s="3" t="s">
        <v>29</v>
      </c>
    </row>
    <row r="131">
      <c r="A131" s="3" t="s">
        <v>269</v>
      </c>
      <c r="B131" s="3" t="s">
        <v>270</v>
      </c>
      <c r="C131" s="3" t="s">
        <v>32</v>
      </c>
      <c r="D131" s="3" t="s">
        <v>22</v>
      </c>
      <c r="E131" s="3" t="s">
        <v>40</v>
      </c>
      <c r="F131" s="3" t="s">
        <v>41</v>
      </c>
      <c r="G131" s="3" t="s">
        <v>149</v>
      </c>
      <c r="H131" s="3" t="s">
        <v>35</v>
      </c>
      <c r="I131" s="3" t="s">
        <v>27</v>
      </c>
      <c r="J131" s="4">
        <v>46108.0</v>
      </c>
      <c r="K131" s="7"/>
      <c r="L131" s="7"/>
      <c r="M131" s="7"/>
      <c r="N131" s="7"/>
      <c r="O131" s="3" t="s">
        <v>55</v>
      </c>
      <c r="P131" s="4">
        <v>46107.0</v>
      </c>
      <c r="R131" s="3" t="s">
        <v>29</v>
      </c>
    </row>
    <row r="132">
      <c r="A132" s="3" t="s">
        <v>272</v>
      </c>
      <c r="B132" s="3" t="s">
        <v>114</v>
      </c>
      <c r="C132" s="3" t="s">
        <v>21</v>
      </c>
      <c r="D132" s="3" t="s">
        <v>22</v>
      </c>
      <c r="E132" s="3" t="s">
        <v>40</v>
      </c>
      <c r="F132" s="3" t="s">
        <v>24</v>
      </c>
      <c r="G132" s="3" t="s">
        <v>181</v>
      </c>
      <c r="H132" s="3" t="s">
        <v>35</v>
      </c>
      <c r="I132" s="3" t="s">
        <v>27</v>
      </c>
      <c r="J132" s="4">
        <v>46171.0</v>
      </c>
      <c r="K132" s="4">
        <v>46178.0</v>
      </c>
      <c r="L132" s="4">
        <v>46188.0</v>
      </c>
      <c r="M132" s="7"/>
      <c r="N132" s="7"/>
      <c r="O132" s="3" t="s">
        <v>55</v>
      </c>
      <c r="P132" s="4">
        <v>46167.0</v>
      </c>
      <c r="R132" s="3" t="s">
        <v>45</v>
      </c>
    </row>
    <row r="133">
      <c r="A133" s="3" t="s">
        <v>273</v>
      </c>
      <c r="B133" s="3" t="s">
        <v>262</v>
      </c>
      <c r="C133" s="3" t="s">
        <v>58</v>
      </c>
      <c r="D133" s="3" t="s">
        <v>58</v>
      </c>
      <c r="E133" s="3" t="s">
        <v>23</v>
      </c>
      <c r="F133" s="3" t="s">
        <v>41</v>
      </c>
      <c r="G133" s="3" t="s">
        <v>63</v>
      </c>
      <c r="H133" s="3" t="s">
        <v>43</v>
      </c>
      <c r="I133" s="3" t="s">
        <v>27</v>
      </c>
      <c r="J133" s="4">
        <v>46051.0</v>
      </c>
      <c r="K133" s="7"/>
      <c r="L133" s="7"/>
      <c r="M133" s="7"/>
      <c r="N133" s="7"/>
      <c r="O133" s="3" t="s">
        <v>104</v>
      </c>
      <c r="P133" s="4">
        <v>46050.0</v>
      </c>
      <c r="R133" s="3" t="s">
        <v>45</v>
      </c>
    </row>
    <row r="134">
      <c r="A134" s="3" t="s">
        <v>275</v>
      </c>
      <c r="B134" s="3" t="s">
        <v>225</v>
      </c>
      <c r="C134" s="3" t="s">
        <v>93</v>
      </c>
      <c r="D134" s="3" t="s">
        <v>89</v>
      </c>
      <c r="E134" s="3" t="s">
        <v>23</v>
      </c>
      <c r="F134" s="3" t="s">
        <v>48</v>
      </c>
      <c r="G134" s="3" t="s">
        <v>34</v>
      </c>
      <c r="H134" s="3" t="s">
        <v>54</v>
      </c>
      <c r="I134" s="3" t="s">
        <v>54</v>
      </c>
      <c r="J134" s="4">
        <v>46084.0</v>
      </c>
      <c r="K134" s="7"/>
      <c r="L134" s="7"/>
      <c r="M134" s="7"/>
      <c r="N134" s="7"/>
      <c r="O134" s="3" t="s">
        <v>55</v>
      </c>
      <c r="P134" s="4">
        <v>46081.0</v>
      </c>
      <c r="R134" s="3" t="s">
        <v>29</v>
      </c>
    </row>
    <row r="135">
      <c r="A135" s="3" t="s">
        <v>277</v>
      </c>
      <c r="B135" s="3" t="s">
        <v>50</v>
      </c>
      <c r="C135" s="3" t="s">
        <v>51</v>
      </c>
      <c r="D135" s="3" t="s">
        <v>22</v>
      </c>
      <c r="E135" s="3" t="s">
        <v>52</v>
      </c>
      <c r="F135" s="3" t="s">
        <v>48</v>
      </c>
      <c r="G135" s="3" t="s">
        <v>94</v>
      </c>
      <c r="H135" s="3" t="s">
        <v>35</v>
      </c>
      <c r="I135" s="3" t="s">
        <v>36</v>
      </c>
      <c r="J135" s="4">
        <v>46115.0</v>
      </c>
      <c r="K135" s="7"/>
      <c r="L135" s="7"/>
      <c r="M135" s="7"/>
      <c r="N135" s="7"/>
      <c r="O135" s="3" t="s">
        <v>55</v>
      </c>
      <c r="P135" s="4">
        <v>46110.0</v>
      </c>
      <c r="R135" s="3" t="s">
        <v>29</v>
      </c>
    </row>
    <row r="136">
      <c r="A136" s="3" t="s">
        <v>279</v>
      </c>
      <c r="B136" s="3" t="s">
        <v>171</v>
      </c>
      <c r="C136" s="3" t="s">
        <v>21</v>
      </c>
      <c r="D136" s="3" t="s">
        <v>22</v>
      </c>
      <c r="E136" s="3" t="s">
        <v>52</v>
      </c>
      <c r="F136" s="3" t="s">
        <v>24</v>
      </c>
      <c r="G136" s="3" t="s">
        <v>94</v>
      </c>
      <c r="H136" s="3" t="s">
        <v>43</v>
      </c>
      <c r="I136" s="3" t="s">
        <v>36</v>
      </c>
      <c r="J136" s="4">
        <v>46027.0</v>
      </c>
      <c r="K136" s="4">
        <v>46032.0</v>
      </c>
      <c r="L136" s="4">
        <v>46041.0</v>
      </c>
      <c r="M136" s="4">
        <v>46045.0</v>
      </c>
      <c r="N136" s="7"/>
      <c r="O136" s="3" t="s">
        <v>76</v>
      </c>
      <c r="P136" s="4">
        <v>46023.0</v>
      </c>
      <c r="R136" s="3" t="s">
        <v>45</v>
      </c>
    </row>
    <row r="137">
      <c r="A137" s="3" t="s">
        <v>282</v>
      </c>
      <c r="B137" s="3" t="s">
        <v>165</v>
      </c>
      <c r="C137" s="3" t="s">
        <v>21</v>
      </c>
      <c r="D137" s="3" t="s">
        <v>22</v>
      </c>
      <c r="E137" s="3" t="s">
        <v>23</v>
      </c>
      <c r="F137" s="3" t="s">
        <v>48</v>
      </c>
      <c r="G137" s="3" t="s">
        <v>121</v>
      </c>
      <c r="H137" s="3" t="s">
        <v>35</v>
      </c>
      <c r="I137" s="3" t="s">
        <v>27</v>
      </c>
      <c r="J137" s="4">
        <v>46086.0</v>
      </c>
      <c r="K137" s="4">
        <v>46089.0</v>
      </c>
      <c r="L137" s="4">
        <v>46101.0</v>
      </c>
      <c r="M137" s="4">
        <v>46105.0</v>
      </c>
      <c r="N137" s="7"/>
      <c r="O137" s="3" t="s">
        <v>76</v>
      </c>
      <c r="P137" s="4">
        <v>46085.0</v>
      </c>
      <c r="R137" s="3" t="s">
        <v>29</v>
      </c>
    </row>
    <row r="138">
      <c r="A138" s="3" t="s">
        <v>284</v>
      </c>
      <c r="B138" s="3" t="s">
        <v>165</v>
      </c>
      <c r="C138" s="3" t="s">
        <v>32</v>
      </c>
      <c r="D138" s="3" t="s">
        <v>22</v>
      </c>
      <c r="E138" s="3" t="s">
        <v>40</v>
      </c>
      <c r="F138" s="3" t="s">
        <v>41</v>
      </c>
      <c r="G138" s="3" t="s">
        <v>75</v>
      </c>
      <c r="H138" s="3" t="s">
        <v>35</v>
      </c>
      <c r="I138" s="3" t="s">
        <v>27</v>
      </c>
      <c r="J138" s="4">
        <v>46097.0</v>
      </c>
      <c r="K138" s="4">
        <v>46103.0</v>
      </c>
      <c r="L138" s="4">
        <v>46112.0</v>
      </c>
      <c r="M138" s="4">
        <v>46122.0</v>
      </c>
      <c r="N138" s="7"/>
      <c r="O138" s="3" t="s">
        <v>76</v>
      </c>
      <c r="P138" s="4">
        <v>46093.0</v>
      </c>
      <c r="R138" s="3" t="s">
        <v>29</v>
      </c>
    </row>
    <row r="139">
      <c r="A139" s="3" t="s">
        <v>287</v>
      </c>
      <c r="B139" s="3" t="s">
        <v>185</v>
      </c>
      <c r="C139" s="3" t="s">
        <v>67</v>
      </c>
      <c r="D139" s="3" t="s">
        <v>67</v>
      </c>
      <c r="E139" s="3" t="s">
        <v>52</v>
      </c>
      <c r="F139" s="3" t="s">
        <v>33</v>
      </c>
      <c r="G139" s="3" t="s">
        <v>110</v>
      </c>
      <c r="H139" s="3" t="s">
        <v>60</v>
      </c>
      <c r="I139" s="3" t="s">
        <v>27</v>
      </c>
      <c r="J139" s="4">
        <v>46090.0</v>
      </c>
      <c r="K139" s="4">
        <v>46096.0</v>
      </c>
      <c r="L139" s="4">
        <v>46110.0</v>
      </c>
      <c r="M139" s="7"/>
      <c r="N139" s="7"/>
      <c r="O139" s="3" t="s">
        <v>44</v>
      </c>
      <c r="P139" s="4">
        <v>46086.0</v>
      </c>
      <c r="R139" s="3" t="s">
        <v>29</v>
      </c>
    </row>
    <row r="140">
      <c r="A140" s="3" t="s">
        <v>288</v>
      </c>
      <c r="B140" s="3" t="s">
        <v>180</v>
      </c>
      <c r="C140" s="3" t="s">
        <v>93</v>
      </c>
      <c r="D140" s="3" t="s">
        <v>89</v>
      </c>
      <c r="E140" s="3" t="s">
        <v>52</v>
      </c>
      <c r="F140" s="3" t="s">
        <v>48</v>
      </c>
      <c r="G140" s="3" t="s">
        <v>94</v>
      </c>
      <c r="H140" s="3" t="s">
        <v>60</v>
      </c>
      <c r="I140" s="3" t="s">
        <v>27</v>
      </c>
      <c r="J140" s="4">
        <v>46169.0</v>
      </c>
      <c r="K140" s="7"/>
      <c r="L140" s="7"/>
      <c r="M140" s="7"/>
      <c r="N140" s="7"/>
      <c r="O140" s="3" t="s">
        <v>55</v>
      </c>
      <c r="P140" s="4">
        <v>46167.0</v>
      </c>
      <c r="R140" s="3" t="s">
        <v>45</v>
      </c>
    </row>
    <row r="141">
      <c r="A141" s="3" t="s">
        <v>289</v>
      </c>
      <c r="B141" s="3" t="s">
        <v>165</v>
      </c>
      <c r="C141" s="3" t="s">
        <v>67</v>
      </c>
      <c r="D141" s="3" t="s">
        <v>67</v>
      </c>
      <c r="E141" s="3" t="s">
        <v>23</v>
      </c>
      <c r="F141" s="3" t="s">
        <v>33</v>
      </c>
      <c r="G141" s="3" t="s">
        <v>25</v>
      </c>
      <c r="H141" s="3" t="s">
        <v>35</v>
      </c>
      <c r="I141" s="3" t="s">
        <v>27</v>
      </c>
      <c r="J141" s="4">
        <v>46160.0</v>
      </c>
      <c r="K141" s="7"/>
      <c r="L141" s="7"/>
      <c r="M141" s="7"/>
      <c r="N141" s="7"/>
      <c r="O141" s="3" t="s">
        <v>55</v>
      </c>
      <c r="P141" s="4">
        <v>46158.0</v>
      </c>
      <c r="R141" s="3" t="s">
        <v>29</v>
      </c>
    </row>
    <row r="142">
      <c r="A142" s="3" t="s">
        <v>290</v>
      </c>
      <c r="B142" s="3" t="s">
        <v>259</v>
      </c>
      <c r="C142" s="3" t="s">
        <v>51</v>
      </c>
      <c r="D142" s="3" t="s">
        <v>22</v>
      </c>
      <c r="E142" s="3" t="s">
        <v>52</v>
      </c>
      <c r="F142" s="3" t="s">
        <v>48</v>
      </c>
      <c r="G142" s="3" t="s">
        <v>81</v>
      </c>
      <c r="H142" s="3" t="s">
        <v>35</v>
      </c>
      <c r="I142" s="3" t="s">
        <v>27</v>
      </c>
      <c r="J142" s="4">
        <v>46126.0</v>
      </c>
      <c r="K142" s="4">
        <v>46128.0</v>
      </c>
      <c r="L142" s="7"/>
      <c r="M142" s="7"/>
      <c r="N142" s="7"/>
      <c r="O142" s="3" t="s">
        <v>55</v>
      </c>
      <c r="P142" s="4">
        <v>46125.0</v>
      </c>
      <c r="R142" s="3" t="s">
        <v>29</v>
      </c>
    </row>
    <row r="143">
      <c r="A143" s="3" t="s">
        <v>291</v>
      </c>
      <c r="B143" s="3" t="s">
        <v>259</v>
      </c>
      <c r="C143" s="3" t="s">
        <v>93</v>
      </c>
      <c r="D143" s="3" t="s">
        <v>89</v>
      </c>
      <c r="E143" s="3" t="s">
        <v>47</v>
      </c>
      <c r="F143" s="3" t="s">
        <v>24</v>
      </c>
      <c r="G143" s="3" t="s">
        <v>102</v>
      </c>
      <c r="H143" s="3" t="s">
        <v>54</v>
      </c>
      <c r="I143" s="3" t="s">
        <v>54</v>
      </c>
      <c r="J143" s="4">
        <v>46152.0</v>
      </c>
      <c r="K143" s="4">
        <v>46154.0</v>
      </c>
      <c r="L143" s="4">
        <v>46166.0</v>
      </c>
      <c r="M143" s="4">
        <v>46176.0</v>
      </c>
      <c r="N143" s="4">
        <v>46194.0</v>
      </c>
      <c r="O143" s="3" t="s">
        <v>28</v>
      </c>
      <c r="P143" s="4">
        <v>46152.0</v>
      </c>
      <c r="Q143" s="3">
        <v>42.0</v>
      </c>
      <c r="R143" s="3" t="s">
        <v>29</v>
      </c>
    </row>
    <row r="144">
      <c r="A144" s="3" t="s">
        <v>292</v>
      </c>
      <c r="B144" s="3" t="s">
        <v>80</v>
      </c>
      <c r="C144" s="3" t="s">
        <v>93</v>
      </c>
      <c r="D144" s="3" t="s">
        <v>89</v>
      </c>
      <c r="E144" s="3" t="s">
        <v>52</v>
      </c>
      <c r="F144" s="3" t="s">
        <v>24</v>
      </c>
      <c r="G144" s="3" t="s">
        <v>34</v>
      </c>
      <c r="H144" s="3" t="s">
        <v>60</v>
      </c>
      <c r="I144" s="3" t="s">
        <v>27</v>
      </c>
      <c r="J144" s="4">
        <v>46049.0</v>
      </c>
      <c r="K144" s="4">
        <v>46052.0</v>
      </c>
      <c r="L144" s="4">
        <v>46064.0</v>
      </c>
      <c r="M144" s="4">
        <v>46067.0</v>
      </c>
      <c r="N144" s="7"/>
      <c r="O144" s="3" t="s">
        <v>76</v>
      </c>
      <c r="P144" s="4">
        <v>46046.0</v>
      </c>
      <c r="R144" s="3" t="s">
        <v>29</v>
      </c>
    </row>
    <row r="145">
      <c r="A145" s="3" t="s">
        <v>293</v>
      </c>
      <c r="B145" s="3" t="s">
        <v>175</v>
      </c>
      <c r="C145" s="3" t="s">
        <v>21</v>
      </c>
      <c r="D145" s="3" t="s">
        <v>22</v>
      </c>
      <c r="E145" s="3" t="s">
        <v>40</v>
      </c>
      <c r="F145" s="3" t="s">
        <v>24</v>
      </c>
      <c r="G145" s="3" t="s">
        <v>94</v>
      </c>
      <c r="H145" s="3" t="s">
        <v>54</v>
      </c>
      <c r="I145" s="3" t="s">
        <v>54</v>
      </c>
      <c r="J145" s="4">
        <v>46178.0</v>
      </c>
      <c r="K145" s="7"/>
      <c r="L145" s="7"/>
      <c r="M145" s="7"/>
      <c r="N145" s="7"/>
      <c r="O145" s="3" t="s">
        <v>104</v>
      </c>
      <c r="P145" s="4">
        <v>46173.0</v>
      </c>
      <c r="R145" s="3" t="s">
        <v>45</v>
      </c>
    </row>
    <row r="146">
      <c r="A146" s="3" t="s">
        <v>294</v>
      </c>
      <c r="B146" s="3" t="s">
        <v>295</v>
      </c>
      <c r="C146" s="3" t="s">
        <v>32</v>
      </c>
      <c r="D146" s="3" t="s">
        <v>22</v>
      </c>
      <c r="E146" s="3" t="s">
        <v>52</v>
      </c>
      <c r="F146" s="3" t="s">
        <v>48</v>
      </c>
      <c r="G146" s="3" t="s">
        <v>84</v>
      </c>
      <c r="H146" s="3" t="s">
        <v>35</v>
      </c>
      <c r="I146" s="3" t="s">
        <v>27</v>
      </c>
      <c r="J146" s="4">
        <v>46078.0</v>
      </c>
      <c r="K146" s="4">
        <v>46084.0</v>
      </c>
      <c r="L146" s="4">
        <v>46093.0</v>
      </c>
      <c r="M146" s="7"/>
      <c r="N146" s="7"/>
      <c r="O146" s="3" t="s">
        <v>44</v>
      </c>
      <c r="P146" s="4">
        <v>46073.0</v>
      </c>
      <c r="R146" s="3" t="s">
        <v>29</v>
      </c>
    </row>
    <row r="147">
      <c r="A147" s="3" t="s">
        <v>296</v>
      </c>
      <c r="B147" s="3" t="s">
        <v>165</v>
      </c>
      <c r="C147" s="3" t="s">
        <v>58</v>
      </c>
      <c r="D147" s="3" t="s">
        <v>58</v>
      </c>
      <c r="E147" s="3" t="s">
        <v>47</v>
      </c>
      <c r="F147" s="3" t="s">
        <v>33</v>
      </c>
      <c r="G147" s="3" t="s">
        <v>99</v>
      </c>
      <c r="H147" s="3" t="s">
        <v>54</v>
      </c>
      <c r="I147" s="3" t="s">
        <v>54</v>
      </c>
      <c r="J147" s="4">
        <v>46077.0</v>
      </c>
      <c r="K147" s="4">
        <v>46081.0</v>
      </c>
      <c r="L147" s="4">
        <v>46088.0</v>
      </c>
      <c r="M147" s="4">
        <v>46092.0</v>
      </c>
      <c r="N147" s="7"/>
      <c r="O147" s="3" t="s">
        <v>76</v>
      </c>
      <c r="P147" s="4">
        <v>46072.0</v>
      </c>
      <c r="R147" s="3" t="s">
        <v>29</v>
      </c>
    </row>
    <row r="148">
      <c r="A148" s="3" t="s">
        <v>297</v>
      </c>
      <c r="B148" s="3" t="s">
        <v>133</v>
      </c>
      <c r="C148" s="3" t="s">
        <v>115</v>
      </c>
      <c r="D148" s="3" t="s">
        <v>115</v>
      </c>
      <c r="E148" s="3" t="s">
        <v>40</v>
      </c>
      <c r="F148" s="3" t="s">
        <v>41</v>
      </c>
      <c r="G148" s="3" t="s">
        <v>90</v>
      </c>
      <c r="H148" s="3" t="s">
        <v>60</v>
      </c>
      <c r="I148" s="3" t="s">
        <v>36</v>
      </c>
      <c r="J148" s="4">
        <v>46137.0</v>
      </c>
      <c r="K148" s="4">
        <v>46141.0</v>
      </c>
      <c r="L148" s="7"/>
      <c r="M148" s="7"/>
      <c r="N148" s="7"/>
      <c r="O148" s="3" t="s">
        <v>104</v>
      </c>
      <c r="P148" s="4">
        <v>46133.0</v>
      </c>
      <c r="R148" s="3" t="s">
        <v>29</v>
      </c>
    </row>
    <row r="149">
      <c r="A149" s="3" t="s">
        <v>298</v>
      </c>
      <c r="B149" s="3" t="s">
        <v>140</v>
      </c>
      <c r="C149" s="3" t="s">
        <v>67</v>
      </c>
      <c r="D149" s="3" t="s">
        <v>67</v>
      </c>
      <c r="E149" s="3" t="s">
        <v>47</v>
      </c>
      <c r="F149" s="3" t="s">
        <v>33</v>
      </c>
      <c r="G149" s="3" t="s">
        <v>42</v>
      </c>
      <c r="H149" s="3" t="s">
        <v>43</v>
      </c>
      <c r="I149" s="3" t="s">
        <v>27</v>
      </c>
      <c r="J149" s="4">
        <v>46129.0</v>
      </c>
      <c r="K149" s="4">
        <v>46132.0</v>
      </c>
      <c r="L149" s="7"/>
      <c r="M149" s="7"/>
      <c r="N149" s="7"/>
      <c r="O149" s="3" t="s">
        <v>104</v>
      </c>
      <c r="P149" s="4">
        <v>46129.0</v>
      </c>
      <c r="R149" s="3" t="s">
        <v>29</v>
      </c>
    </row>
    <row r="150">
      <c r="A150" s="3" t="s">
        <v>299</v>
      </c>
      <c r="B150" s="3" t="s">
        <v>118</v>
      </c>
      <c r="C150" s="3" t="s">
        <v>93</v>
      </c>
      <c r="D150" s="3" t="s">
        <v>89</v>
      </c>
      <c r="E150" s="3" t="s">
        <v>23</v>
      </c>
      <c r="F150" s="3" t="s">
        <v>33</v>
      </c>
      <c r="G150" s="3" t="s">
        <v>84</v>
      </c>
      <c r="H150" s="3" t="s">
        <v>35</v>
      </c>
      <c r="I150" s="3" t="s">
        <v>27</v>
      </c>
      <c r="J150" s="4">
        <v>46105.0</v>
      </c>
      <c r="K150" s="4">
        <v>46110.0</v>
      </c>
      <c r="L150" s="4">
        <v>46118.0</v>
      </c>
      <c r="M150" s="7"/>
      <c r="N150" s="7"/>
      <c r="O150" s="3" t="s">
        <v>44</v>
      </c>
      <c r="P150" s="4">
        <v>46101.0</v>
      </c>
      <c r="R150" s="3" t="s">
        <v>45</v>
      </c>
    </row>
    <row r="151">
      <c r="A151" s="3" t="s">
        <v>300</v>
      </c>
      <c r="B151" s="3" t="s">
        <v>301</v>
      </c>
      <c r="C151" s="3" t="s">
        <v>115</v>
      </c>
      <c r="D151" s="3" t="s">
        <v>115</v>
      </c>
      <c r="E151" s="3" t="s">
        <v>52</v>
      </c>
      <c r="F151" s="3" t="s">
        <v>24</v>
      </c>
      <c r="G151" s="3" t="s">
        <v>121</v>
      </c>
      <c r="H151" s="3" t="s">
        <v>60</v>
      </c>
      <c r="I151" s="3" t="s">
        <v>27</v>
      </c>
      <c r="J151" s="4">
        <v>46156.0</v>
      </c>
      <c r="K151" s="7"/>
      <c r="L151" s="7"/>
      <c r="M151" s="7"/>
      <c r="N151" s="7"/>
      <c r="O151" s="3" t="s">
        <v>104</v>
      </c>
      <c r="P151" s="4">
        <v>46155.0</v>
      </c>
      <c r="R151" s="3" t="s">
        <v>45</v>
      </c>
    </row>
    <row r="152">
      <c r="A152" s="3" t="s">
        <v>302</v>
      </c>
      <c r="B152" s="3" t="s">
        <v>183</v>
      </c>
      <c r="C152" s="3" t="s">
        <v>67</v>
      </c>
      <c r="D152" s="3" t="s">
        <v>67</v>
      </c>
      <c r="E152" s="3" t="s">
        <v>40</v>
      </c>
      <c r="F152" s="3" t="s">
        <v>48</v>
      </c>
      <c r="G152" s="3" t="s">
        <v>90</v>
      </c>
      <c r="H152" s="3" t="s">
        <v>60</v>
      </c>
      <c r="I152" s="3" t="s">
        <v>36</v>
      </c>
      <c r="J152" s="4">
        <v>46145.0</v>
      </c>
      <c r="K152" s="4">
        <v>46150.0</v>
      </c>
      <c r="L152" s="4">
        <v>46158.0</v>
      </c>
      <c r="M152" s="4">
        <v>46166.0</v>
      </c>
      <c r="N152" s="7"/>
      <c r="O152" s="3" t="s">
        <v>76</v>
      </c>
      <c r="P152" s="4">
        <v>46140.0</v>
      </c>
      <c r="R152" s="3" t="s">
        <v>29</v>
      </c>
    </row>
    <row r="153">
      <c r="A153" s="3" t="s">
        <v>303</v>
      </c>
      <c r="B153" s="3" t="s">
        <v>126</v>
      </c>
      <c r="C153" s="3" t="s">
        <v>51</v>
      </c>
      <c r="D153" s="3" t="s">
        <v>22</v>
      </c>
      <c r="E153" s="3" t="s">
        <v>23</v>
      </c>
      <c r="F153" s="3" t="s">
        <v>48</v>
      </c>
      <c r="G153" s="3" t="s">
        <v>34</v>
      </c>
      <c r="H153" s="3" t="s">
        <v>35</v>
      </c>
      <c r="I153" s="3" t="s">
        <v>27</v>
      </c>
      <c r="J153" s="4">
        <v>46094.0</v>
      </c>
      <c r="K153" s="7"/>
      <c r="L153" s="7"/>
      <c r="M153" s="7"/>
      <c r="N153" s="7"/>
      <c r="O153" s="3" t="s">
        <v>104</v>
      </c>
      <c r="P153" s="4">
        <v>46090.0</v>
      </c>
      <c r="R153" s="3" t="s">
        <v>29</v>
      </c>
    </row>
    <row r="154">
      <c r="A154" s="3" t="s">
        <v>304</v>
      </c>
      <c r="B154" s="3" t="s">
        <v>39</v>
      </c>
      <c r="C154" s="3" t="s">
        <v>51</v>
      </c>
      <c r="D154" s="3" t="s">
        <v>22</v>
      </c>
      <c r="E154" s="3" t="s">
        <v>40</v>
      </c>
      <c r="F154" s="3" t="s">
        <v>41</v>
      </c>
      <c r="G154" s="3" t="s">
        <v>102</v>
      </c>
      <c r="H154" s="3" t="s">
        <v>26</v>
      </c>
      <c r="I154" s="3" t="s">
        <v>27</v>
      </c>
      <c r="J154" s="4">
        <v>46116.0</v>
      </c>
      <c r="K154" s="4">
        <v>46119.0</v>
      </c>
      <c r="L154" s="7"/>
      <c r="M154" s="7"/>
      <c r="N154" s="7"/>
      <c r="O154" s="3" t="s">
        <v>104</v>
      </c>
      <c r="P154" s="4">
        <v>46112.0</v>
      </c>
      <c r="R154" s="3" t="s">
        <v>45</v>
      </c>
    </row>
    <row r="155">
      <c r="A155" s="3" t="s">
        <v>305</v>
      </c>
      <c r="B155" s="3" t="s">
        <v>72</v>
      </c>
      <c r="C155" s="3" t="s">
        <v>93</v>
      </c>
      <c r="D155" s="3" t="s">
        <v>89</v>
      </c>
      <c r="E155" s="3" t="s">
        <v>40</v>
      </c>
      <c r="F155" s="3" t="s">
        <v>41</v>
      </c>
      <c r="G155" s="3" t="s">
        <v>75</v>
      </c>
      <c r="H155" s="3" t="s">
        <v>43</v>
      </c>
      <c r="I155" s="3" t="s">
        <v>27</v>
      </c>
      <c r="J155" s="4">
        <v>46038.0</v>
      </c>
      <c r="K155" s="4">
        <v>46041.0</v>
      </c>
      <c r="L155" s="7"/>
      <c r="M155" s="7"/>
      <c r="N155" s="7"/>
      <c r="O155" s="3" t="s">
        <v>37</v>
      </c>
      <c r="P155" s="4">
        <v>46035.0</v>
      </c>
      <c r="R155" s="3" t="s">
        <v>29</v>
      </c>
    </row>
    <row r="156">
      <c r="A156" s="3" t="s">
        <v>306</v>
      </c>
      <c r="B156" s="3" t="s">
        <v>74</v>
      </c>
      <c r="C156" s="3" t="s">
        <v>58</v>
      </c>
      <c r="D156" s="3" t="s">
        <v>58</v>
      </c>
      <c r="E156" s="3" t="s">
        <v>40</v>
      </c>
      <c r="F156" s="3" t="s">
        <v>48</v>
      </c>
      <c r="G156" s="3" t="s">
        <v>173</v>
      </c>
      <c r="H156" s="3" t="s">
        <v>60</v>
      </c>
      <c r="I156" s="3" t="s">
        <v>27</v>
      </c>
      <c r="J156" s="4">
        <v>46113.0</v>
      </c>
      <c r="K156" s="4">
        <v>46120.0</v>
      </c>
      <c r="L156" s="4">
        <v>46133.0</v>
      </c>
      <c r="M156" s="4">
        <v>46137.0</v>
      </c>
      <c r="N156" s="7"/>
      <c r="O156" s="3" t="s">
        <v>76</v>
      </c>
      <c r="P156" s="4">
        <v>46108.0</v>
      </c>
      <c r="R156" s="3" t="s">
        <v>29</v>
      </c>
    </row>
    <row r="157">
      <c r="A157" s="3" t="s">
        <v>307</v>
      </c>
      <c r="B157" s="3" t="s">
        <v>114</v>
      </c>
      <c r="C157" s="3" t="s">
        <v>93</v>
      </c>
      <c r="D157" s="3" t="s">
        <v>89</v>
      </c>
      <c r="E157" s="3" t="s">
        <v>40</v>
      </c>
      <c r="F157" s="3" t="s">
        <v>48</v>
      </c>
      <c r="G157" s="3" t="s">
        <v>173</v>
      </c>
      <c r="H157" s="3" t="s">
        <v>43</v>
      </c>
      <c r="I157" s="3" t="s">
        <v>27</v>
      </c>
      <c r="J157" s="4">
        <v>46143.0</v>
      </c>
      <c r="K157" s="4">
        <v>46147.0</v>
      </c>
      <c r="L157" s="7"/>
      <c r="M157" s="7"/>
      <c r="N157" s="7"/>
      <c r="O157" s="3" t="s">
        <v>37</v>
      </c>
      <c r="P157" s="4">
        <v>46139.0</v>
      </c>
      <c r="R157" s="3" t="s">
        <v>45</v>
      </c>
    </row>
    <row r="158">
      <c r="A158" s="3" t="s">
        <v>308</v>
      </c>
      <c r="B158" s="3" t="s">
        <v>140</v>
      </c>
      <c r="C158" s="3" t="s">
        <v>115</v>
      </c>
      <c r="D158" s="3" t="s">
        <v>115</v>
      </c>
      <c r="E158" s="3" t="s">
        <v>47</v>
      </c>
      <c r="F158" s="3" t="s">
        <v>41</v>
      </c>
      <c r="G158" s="3" t="s">
        <v>181</v>
      </c>
      <c r="H158" s="3" t="s">
        <v>26</v>
      </c>
      <c r="I158" s="3" t="s">
        <v>36</v>
      </c>
      <c r="J158" s="4">
        <v>46046.0</v>
      </c>
      <c r="K158" s="4">
        <v>46048.0</v>
      </c>
      <c r="L158" s="4">
        <v>46062.0</v>
      </c>
      <c r="M158" s="4">
        <v>46065.0</v>
      </c>
      <c r="N158" s="7"/>
      <c r="O158" s="3" t="s">
        <v>104</v>
      </c>
      <c r="P158" s="4">
        <v>46044.0</v>
      </c>
      <c r="R158" s="3" t="s">
        <v>29</v>
      </c>
    </row>
    <row r="159">
      <c r="A159" s="3" t="s">
        <v>309</v>
      </c>
      <c r="B159" s="3" t="s">
        <v>74</v>
      </c>
      <c r="C159" s="3" t="s">
        <v>32</v>
      </c>
      <c r="D159" s="3" t="s">
        <v>22</v>
      </c>
      <c r="E159" s="3" t="s">
        <v>47</v>
      </c>
      <c r="F159" s="3" t="s">
        <v>41</v>
      </c>
      <c r="G159" s="3" t="s">
        <v>70</v>
      </c>
      <c r="H159" s="3" t="s">
        <v>26</v>
      </c>
      <c r="I159" s="3" t="s">
        <v>27</v>
      </c>
      <c r="J159" s="4">
        <v>46175.0</v>
      </c>
      <c r="K159" s="4">
        <v>46181.0</v>
      </c>
      <c r="L159" s="4">
        <v>46189.0</v>
      </c>
      <c r="M159" s="4">
        <v>46194.0</v>
      </c>
      <c r="N159" s="7"/>
      <c r="O159" s="3" t="s">
        <v>76</v>
      </c>
      <c r="P159" s="4">
        <v>46173.0</v>
      </c>
      <c r="R159" s="3" t="s">
        <v>29</v>
      </c>
    </row>
    <row r="160">
      <c r="A160" s="3" t="s">
        <v>310</v>
      </c>
      <c r="B160" s="3" t="s">
        <v>165</v>
      </c>
      <c r="C160" s="3" t="s">
        <v>115</v>
      </c>
      <c r="D160" s="3" t="s">
        <v>115</v>
      </c>
      <c r="E160" s="3" t="s">
        <v>52</v>
      </c>
      <c r="F160" s="3" t="s">
        <v>24</v>
      </c>
      <c r="G160" s="3" t="s">
        <v>25</v>
      </c>
      <c r="H160" s="3" t="s">
        <v>54</v>
      </c>
      <c r="I160" s="3" t="s">
        <v>54</v>
      </c>
      <c r="J160" s="4">
        <v>46075.0</v>
      </c>
      <c r="K160" s="4">
        <v>46078.0</v>
      </c>
      <c r="L160" s="4">
        <v>46089.0</v>
      </c>
      <c r="M160" s="7"/>
      <c r="N160" s="7"/>
      <c r="O160" s="3" t="s">
        <v>44</v>
      </c>
      <c r="P160" s="4">
        <v>46073.0</v>
      </c>
      <c r="R160" s="3" t="s">
        <v>29</v>
      </c>
    </row>
    <row r="161">
      <c r="A161" s="3" t="s">
        <v>311</v>
      </c>
      <c r="B161" s="3" t="s">
        <v>83</v>
      </c>
      <c r="C161" s="3" t="s">
        <v>21</v>
      </c>
      <c r="D161" s="3" t="s">
        <v>22</v>
      </c>
      <c r="E161" s="3" t="s">
        <v>23</v>
      </c>
      <c r="F161" s="3" t="s">
        <v>41</v>
      </c>
      <c r="G161" s="3" t="s">
        <v>99</v>
      </c>
      <c r="H161" s="3" t="s">
        <v>26</v>
      </c>
      <c r="I161" s="3" t="s">
        <v>27</v>
      </c>
      <c r="J161" s="4">
        <v>46142.0</v>
      </c>
      <c r="K161" s="7"/>
      <c r="L161" s="7"/>
      <c r="M161" s="7"/>
      <c r="N161" s="7"/>
      <c r="O161" s="3" t="s">
        <v>55</v>
      </c>
      <c r="P161" s="4">
        <v>46139.0</v>
      </c>
      <c r="R161" s="3" t="s">
        <v>29</v>
      </c>
    </row>
    <row r="162">
      <c r="A162" s="3" t="s">
        <v>312</v>
      </c>
      <c r="B162" s="3" t="s">
        <v>161</v>
      </c>
      <c r="C162" s="3" t="s">
        <v>88</v>
      </c>
      <c r="D162" s="3" t="s">
        <v>89</v>
      </c>
      <c r="E162" s="3" t="s">
        <v>40</v>
      </c>
      <c r="F162" s="3" t="s">
        <v>33</v>
      </c>
      <c r="G162" s="3" t="s">
        <v>34</v>
      </c>
      <c r="H162" s="3" t="s">
        <v>26</v>
      </c>
      <c r="I162" s="3" t="s">
        <v>36</v>
      </c>
      <c r="J162" s="4">
        <v>46101.0</v>
      </c>
      <c r="K162" s="7"/>
      <c r="L162" s="7"/>
      <c r="M162" s="7"/>
      <c r="N162" s="7"/>
      <c r="O162" s="3" t="s">
        <v>55</v>
      </c>
      <c r="P162" s="4">
        <v>46098.0</v>
      </c>
      <c r="R162" s="3" t="s">
        <v>29</v>
      </c>
    </row>
    <row r="163">
      <c r="A163" s="3" t="s">
        <v>313</v>
      </c>
      <c r="B163" s="3" t="s">
        <v>83</v>
      </c>
      <c r="C163" s="3" t="s">
        <v>67</v>
      </c>
      <c r="D163" s="3" t="s">
        <v>67</v>
      </c>
      <c r="E163" s="3" t="s">
        <v>47</v>
      </c>
      <c r="F163" s="3" t="s">
        <v>48</v>
      </c>
      <c r="G163" s="3" t="s">
        <v>42</v>
      </c>
      <c r="H163" s="3" t="s">
        <v>54</v>
      </c>
      <c r="I163" s="3" t="s">
        <v>54</v>
      </c>
      <c r="J163" s="4">
        <v>46053.0</v>
      </c>
      <c r="K163" s="4">
        <v>46059.0</v>
      </c>
      <c r="L163" s="4">
        <v>46066.0</v>
      </c>
      <c r="M163" s="4">
        <v>46076.0</v>
      </c>
      <c r="N163" s="7"/>
      <c r="O163" s="3" t="s">
        <v>76</v>
      </c>
      <c r="P163" s="4">
        <v>46050.0</v>
      </c>
      <c r="R163" s="3" t="s">
        <v>29</v>
      </c>
    </row>
    <row r="164">
      <c r="A164" s="3" t="s">
        <v>314</v>
      </c>
      <c r="B164" s="3" t="s">
        <v>97</v>
      </c>
      <c r="C164" s="3" t="s">
        <v>93</v>
      </c>
      <c r="D164" s="3" t="s">
        <v>89</v>
      </c>
      <c r="E164" s="3" t="s">
        <v>47</v>
      </c>
      <c r="F164" s="3" t="s">
        <v>41</v>
      </c>
      <c r="G164" s="3" t="s">
        <v>129</v>
      </c>
      <c r="H164" s="3" t="s">
        <v>26</v>
      </c>
      <c r="I164" s="3" t="s">
        <v>27</v>
      </c>
      <c r="J164" s="4">
        <v>46072.0</v>
      </c>
      <c r="K164" s="4">
        <v>46078.0</v>
      </c>
      <c r="L164" s="4">
        <v>46086.0</v>
      </c>
      <c r="M164" s="4">
        <v>46093.0</v>
      </c>
      <c r="N164" s="7"/>
      <c r="O164" s="3" t="s">
        <v>76</v>
      </c>
      <c r="P164" s="4">
        <v>46071.0</v>
      </c>
      <c r="R164" s="3" t="s">
        <v>29</v>
      </c>
    </row>
    <row r="165">
      <c r="A165" s="3" t="s">
        <v>315</v>
      </c>
      <c r="B165" s="3" t="s">
        <v>171</v>
      </c>
      <c r="C165" s="3" t="s">
        <v>32</v>
      </c>
      <c r="D165" s="3" t="s">
        <v>22</v>
      </c>
      <c r="E165" s="3" t="s">
        <v>40</v>
      </c>
      <c r="F165" s="3" t="s">
        <v>48</v>
      </c>
      <c r="G165" s="3" t="s">
        <v>173</v>
      </c>
      <c r="H165" s="3" t="s">
        <v>43</v>
      </c>
      <c r="I165" s="3" t="s">
        <v>27</v>
      </c>
      <c r="J165" s="4">
        <v>46082.0</v>
      </c>
      <c r="K165" s="4">
        <v>46086.0</v>
      </c>
      <c r="L165" s="4">
        <v>46097.0</v>
      </c>
      <c r="M165" s="7"/>
      <c r="N165" s="7"/>
      <c r="O165" s="3" t="s">
        <v>44</v>
      </c>
      <c r="P165" s="4">
        <v>46081.0</v>
      </c>
      <c r="R165" s="3" t="s">
        <v>45</v>
      </c>
    </row>
    <row r="166">
      <c r="A166" s="3" t="s">
        <v>316</v>
      </c>
      <c r="B166" s="3" t="s">
        <v>207</v>
      </c>
      <c r="C166" s="3" t="s">
        <v>32</v>
      </c>
      <c r="D166" s="3" t="s">
        <v>22</v>
      </c>
      <c r="E166" s="3" t="s">
        <v>47</v>
      </c>
      <c r="F166" s="3" t="s">
        <v>41</v>
      </c>
      <c r="G166" s="3" t="s">
        <v>181</v>
      </c>
      <c r="H166" s="3" t="s">
        <v>43</v>
      </c>
      <c r="I166" s="3" t="s">
        <v>36</v>
      </c>
      <c r="J166" s="4">
        <v>46128.0</v>
      </c>
      <c r="K166" s="7"/>
      <c r="L166" s="7"/>
      <c r="M166" s="7"/>
      <c r="N166" s="7"/>
      <c r="O166" s="3" t="s">
        <v>104</v>
      </c>
      <c r="P166" s="4">
        <v>46124.0</v>
      </c>
      <c r="R166" s="3" t="s">
        <v>29</v>
      </c>
    </row>
    <row r="167">
      <c r="A167" s="3" t="s">
        <v>317</v>
      </c>
      <c r="B167" s="3" t="s">
        <v>126</v>
      </c>
      <c r="C167" s="3" t="s">
        <v>51</v>
      </c>
      <c r="D167" s="3" t="s">
        <v>22</v>
      </c>
      <c r="E167" s="3" t="s">
        <v>52</v>
      </c>
      <c r="F167" s="3" t="s">
        <v>33</v>
      </c>
      <c r="G167" s="3" t="s">
        <v>129</v>
      </c>
      <c r="H167" s="3" t="s">
        <v>60</v>
      </c>
      <c r="I167" s="3" t="s">
        <v>36</v>
      </c>
      <c r="J167" s="4">
        <v>46054.0</v>
      </c>
      <c r="K167" s="4">
        <v>46057.0</v>
      </c>
      <c r="L167" s="4">
        <v>46071.0</v>
      </c>
      <c r="M167" s="7"/>
      <c r="N167" s="7"/>
      <c r="O167" s="3" t="s">
        <v>44</v>
      </c>
      <c r="P167" s="4">
        <v>46049.0</v>
      </c>
      <c r="R167" s="3" t="s">
        <v>29</v>
      </c>
    </row>
    <row r="168">
      <c r="A168" s="3" t="s">
        <v>318</v>
      </c>
      <c r="B168" s="3" t="s">
        <v>118</v>
      </c>
      <c r="C168" s="3" t="s">
        <v>32</v>
      </c>
      <c r="D168" s="3" t="s">
        <v>22</v>
      </c>
      <c r="E168" s="3" t="s">
        <v>23</v>
      </c>
      <c r="F168" s="3" t="s">
        <v>48</v>
      </c>
      <c r="G168" s="3" t="s">
        <v>90</v>
      </c>
      <c r="H168" s="3" t="s">
        <v>35</v>
      </c>
      <c r="I168" s="3" t="s">
        <v>36</v>
      </c>
      <c r="J168" s="4">
        <v>46076.0</v>
      </c>
      <c r="K168" s="7"/>
      <c r="L168" s="7"/>
      <c r="M168" s="7"/>
      <c r="N168" s="7"/>
      <c r="O168" s="3" t="s">
        <v>55</v>
      </c>
      <c r="P168" s="4">
        <v>46075.0</v>
      </c>
      <c r="R168" s="3" t="s">
        <v>45</v>
      </c>
    </row>
    <row r="169">
      <c r="A169" s="3" t="s">
        <v>319</v>
      </c>
      <c r="B169" s="3" t="s">
        <v>126</v>
      </c>
      <c r="C169" s="3" t="s">
        <v>115</v>
      </c>
      <c r="D169" s="3" t="s">
        <v>115</v>
      </c>
      <c r="E169" s="3" t="s">
        <v>40</v>
      </c>
      <c r="F169" s="3" t="s">
        <v>48</v>
      </c>
      <c r="G169" s="3" t="s">
        <v>75</v>
      </c>
      <c r="H169" s="3" t="s">
        <v>43</v>
      </c>
      <c r="I169" s="3" t="s">
        <v>36</v>
      </c>
      <c r="J169" s="4">
        <v>46092.0</v>
      </c>
      <c r="K169" s="4">
        <v>46095.0</v>
      </c>
      <c r="L169" s="4">
        <v>46105.0</v>
      </c>
      <c r="M169" s="4">
        <v>46109.0</v>
      </c>
      <c r="N169" s="7"/>
      <c r="O169" s="3" t="s">
        <v>104</v>
      </c>
      <c r="P169" s="4">
        <v>46087.0</v>
      </c>
      <c r="R169" s="3" t="s">
        <v>29</v>
      </c>
    </row>
    <row r="170">
      <c r="A170" s="3" t="s">
        <v>320</v>
      </c>
      <c r="B170" s="3" t="s">
        <v>145</v>
      </c>
      <c r="C170" s="3" t="s">
        <v>93</v>
      </c>
      <c r="D170" s="3" t="s">
        <v>89</v>
      </c>
      <c r="E170" s="3" t="s">
        <v>47</v>
      </c>
      <c r="F170" s="3" t="s">
        <v>33</v>
      </c>
      <c r="G170" s="3" t="s">
        <v>121</v>
      </c>
      <c r="H170" s="3" t="s">
        <v>35</v>
      </c>
      <c r="I170" s="3" t="s">
        <v>27</v>
      </c>
      <c r="J170" s="4">
        <v>46070.0</v>
      </c>
      <c r="K170" s="4">
        <v>46073.0</v>
      </c>
      <c r="L170" s="4">
        <v>46079.0</v>
      </c>
      <c r="M170" s="7"/>
      <c r="N170" s="7"/>
      <c r="O170" s="3" t="s">
        <v>44</v>
      </c>
      <c r="P170" s="4">
        <v>46065.0</v>
      </c>
      <c r="R170" s="3" t="s">
        <v>29</v>
      </c>
    </row>
    <row r="171">
      <c r="A171" s="3" t="s">
        <v>321</v>
      </c>
      <c r="B171" s="3" t="s">
        <v>188</v>
      </c>
      <c r="C171" s="3" t="s">
        <v>115</v>
      </c>
      <c r="D171" s="3" t="s">
        <v>115</v>
      </c>
      <c r="E171" s="3" t="s">
        <v>47</v>
      </c>
      <c r="F171" s="3" t="s">
        <v>33</v>
      </c>
      <c r="G171" s="3" t="s">
        <v>90</v>
      </c>
      <c r="H171" s="3" t="s">
        <v>35</v>
      </c>
      <c r="I171" s="3" t="s">
        <v>27</v>
      </c>
      <c r="J171" s="4">
        <v>46154.0</v>
      </c>
      <c r="K171" s="4">
        <v>46160.0</v>
      </c>
      <c r="L171" s="4">
        <v>46169.0</v>
      </c>
      <c r="M171" s="4">
        <v>46175.0</v>
      </c>
      <c r="N171" s="4">
        <v>46193.0</v>
      </c>
      <c r="O171" s="3" t="s">
        <v>28</v>
      </c>
      <c r="P171" s="4">
        <v>46149.0</v>
      </c>
      <c r="Q171" s="3">
        <v>44.0</v>
      </c>
      <c r="R171" s="3" t="s">
        <v>29</v>
      </c>
    </row>
    <row r="172">
      <c r="A172" s="3" t="s">
        <v>322</v>
      </c>
      <c r="B172" s="3" t="s">
        <v>295</v>
      </c>
      <c r="C172" s="3" t="s">
        <v>58</v>
      </c>
      <c r="D172" s="3" t="s">
        <v>58</v>
      </c>
      <c r="E172" s="3" t="s">
        <v>23</v>
      </c>
      <c r="F172" s="3" t="s">
        <v>41</v>
      </c>
      <c r="G172" s="3" t="s">
        <v>75</v>
      </c>
      <c r="H172" s="3" t="s">
        <v>43</v>
      </c>
      <c r="I172" s="3" t="s">
        <v>27</v>
      </c>
      <c r="J172" s="4">
        <v>46055.0</v>
      </c>
      <c r="K172" s="4">
        <v>46057.0</v>
      </c>
      <c r="L172" s="7"/>
      <c r="M172" s="7"/>
      <c r="N172" s="7"/>
      <c r="O172" s="3" t="s">
        <v>37</v>
      </c>
      <c r="P172" s="4">
        <v>46050.0</v>
      </c>
      <c r="R172" s="3" t="s">
        <v>29</v>
      </c>
    </row>
    <row r="173">
      <c r="A173" s="3" t="s">
        <v>323</v>
      </c>
      <c r="B173" s="3" t="s">
        <v>80</v>
      </c>
      <c r="C173" s="3" t="s">
        <v>67</v>
      </c>
      <c r="D173" s="3" t="s">
        <v>67</v>
      </c>
      <c r="E173" s="3" t="s">
        <v>40</v>
      </c>
      <c r="F173" s="3" t="s">
        <v>24</v>
      </c>
      <c r="G173" s="3" t="s">
        <v>173</v>
      </c>
      <c r="H173" s="3" t="s">
        <v>43</v>
      </c>
      <c r="I173" s="3" t="s">
        <v>36</v>
      </c>
      <c r="J173" s="4">
        <v>46156.0</v>
      </c>
      <c r="K173" s="4">
        <v>46161.0</v>
      </c>
      <c r="L173" s="7"/>
      <c r="M173" s="7"/>
      <c r="N173" s="7"/>
      <c r="O173" s="3" t="s">
        <v>37</v>
      </c>
      <c r="P173" s="4">
        <v>46153.0</v>
      </c>
      <c r="R173" s="3" t="s">
        <v>29</v>
      </c>
    </row>
    <row r="174">
      <c r="A174" s="3" t="s">
        <v>324</v>
      </c>
      <c r="B174" s="3" t="s">
        <v>72</v>
      </c>
      <c r="C174" s="3" t="s">
        <v>115</v>
      </c>
      <c r="D174" s="3" t="s">
        <v>115</v>
      </c>
      <c r="E174" s="3" t="s">
        <v>47</v>
      </c>
      <c r="F174" s="3" t="s">
        <v>33</v>
      </c>
      <c r="G174" s="3" t="s">
        <v>173</v>
      </c>
      <c r="H174" s="3" t="s">
        <v>26</v>
      </c>
      <c r="I174" s="3" t="s">
        <v>27</v>
      </c>
      <c r="J174" s="4">
        <v>46120.0</v>
      </c>
      <c r="K174" s="4">
        <v>46127.0</v>
      </c>
      <c r="L174" s="4">
        <v>46134.0</v>
      </c>
      <c r="M174" s="7"/>
      <c r="N174" s="7"/>
      <c r="O174" s="3" t="s">
        <v>104</v>
      </c>
      <c r="P174" s="4">
        <v>46118.0</v>
      </c>
      <c r="R174" s="3" t="s">
        <v>29</v>
      </c>
    </row>
    <row r="175">
      <c r="A175" s="3" t="s">
        <v>325</v>
      </c>
      <c r="B175" s="3" t="s">
        <v>295</v>
      </c>
      <c r="C175" s="3" t="s">
        <v>21</v>
      </c>
      <c r="D175" s="3" t="s">
        <v>22</v>
      </c>
      <c r="E175" s="3" t="s">
        <v>40</v>
      </c>
      <c r="F175" s="3" t="s">
        <v>33</v>
      </c>
      <c r="G175" s="3" t="s">
        <v>99</v>
      </c>
      <c r="H175" s="3" t="s">
        <v>35</v>
      </c>
      <c r="I175" s="3" t="s">
        <v>36</v>
      </c>
      <c r="J175" s="4">
        <v>46103.0</v>
      </c>
      <c r="K175" s="4">
        <v>46108.0</v>
      </c>
      <c r="L175" s="4">
        <v>46118.0</v>
      </c>
      <c r="M175" s="7"/>
      <c r="N175" s="7"/>
      <c r="O175" s="3" t="s">
        <v>55</v>
      </c>
      <c r="P175" s="4">
        <v>46099.0</v>
      </c>
      <c r="R175" s="3" t="s">
        <v>29</v>
      </c>
    </row>
    <row r="176">
      <c r="A176" s="3" t="s">
        <v>326</v>
      </c>
      <c r="B176" s="3" t="s">
        <v>72</v>
      </c>
      <c r="C176" s="3" t="s">
        <v>93</v>
      </c>
      <c r="D176" s="3" t="s">
        <v>89</v>
      </c>
      <c r="E176" s="3" t="s">
        <v>52</v>
      </c>
      <c r="F176" s="3" t="s">
        <v>24</v>
      </c>
      <c r="G176" s="3" t="s">
        <v>42</v>
      </c>
      <c r="H176" s="3" t="s">
        <v>60</v>
      </c>
      <c r="I176" s="3" t="s">
        <v>27</v>
      </c>
      <c r="J176" s="4">
        <v>46111.0</v>
      </c>
      <c r="K176" s="4">
        <v>46114.0</v>
      </c>
      <c r="L176" s="4">
        <v>46123.0</v>
      </c>
      <c r="M176" s="4">
        <v>46127.0</v>
      </c>
      <c r="N176" s="4">
        <v>46143.0</v>
      </c>
      <c r="O176" s="3" t="s">
        <v>28</v>
      </c>
      <c r="P176" s="4">
        <v>46109.0</v>
      </c>
      <c r="Q176" s="3">
        <v>34.0</v>
      </c>
      <c r="R176" s="3" t="s">
        <v>29</v>
      </c>
    </row>
    <row r="177">
      <c r="A177" s="3" t="s">
        <v>327</v>
      </c>
      <c r="B177" s="3" t="s">
        <v>165</v>
      </c>
      <c r="C177" s="3" t="s">
        <v>58</v>
      </c>
      <c r="D177" s="3" t="s">
        <v>58</v>
      </c>
      <c r="E177" s="3" t="s">
        <v>52</v>
      </c>
      <c r="F177" s="3" t="s">
        <v>33</v>
      </c>
      <c r="G177" s="3" t="s">
        <v>84</v>
      </c>
      <c r="H177" s="3" t="s">
        <v>43</v>
      </c>
      <c r="I177" s="3" t="s">
        <v>27</v>
      </c>
      <c r="J177" s="4">
        <v>46151.0</v>
      </c>
      <c r="K177" s="4">
        <v>46153.0</v>
      </c>
      <c r="L177" s="4">
        <v>46166.0</v>
      </c>
      <c r="M177" s="4">
        <v>46176.0</v>
      </c>
      <c r="N177" s="7"/>
      <c r="O177" s="3" t="s">
        <v>76</v>
      </c>
      <c r="P177" s="4">
        <v>46146.0</v>
      </c>
      <c r="R177" s="3" t="s">
        <v>29</v>
      </c>
    </row>
    <row r="178">
      <c r="A178" s="3" t="s">
        <v>328</v>
      </c>
      <c r="B178" s="3" t="s">
        <v>101</v>
      </c>
      <c r="C178" s="3" t="s">
        <v>115</v>
      </c>
      <c r="D178" s="3" t="s">
        <v>115</v>
      </c>
      <c r="E178" s="3" t="s">
        <v>40</v>
      </c>
      <c r="F178" s="3" t="s">
        <v>24</v>
      </c>
      <c r="G178" s="3" t="s">
        <v>25</v>
      </c>
      <c r="H178" s="3" t="s">
        <v>54</v>
      </c>
      <c r="I178" s="3" t="s">
        <v>54</v>
      </c>
      <c r="J178" s="4">
        <v>46026.0</v>
      </c>
      <c r="K178" s="4">
        <v>46028.0</v>
      </c>
      <c r="L178" s="4">
        <v>46038.0</v>
      </c>
      <c r="M178" s="7"/>
      <c r="N178" s="7"/>
      <c r="O178" s="3" t="s">
        <v>44</v>
      </c>
      <c r="P178" s="4">
        <v>46026.0</v>
      </c>
      <c r="R178" s="3" t="s">
        <v>29</v>
      </c>
    </row>
    <row r="179">
      <c r="A179" s="3" t="s">
        <v>329</v>
      </c>
      <c r="B179" s="3" t="s">
        <v>169</v>
      </c>
      <c r="C179" s="3" t="s">
        <v>67</v>
      </c>
      <c r="D179" s="3" t="s">
        <v>67</v>
      </c>
      <c r="E179" s="3" t="s">
        <v>40</v>
      </c>
      <c r="F179" s="3" t="s">
        <v>33</v>
      </c>
      <c r="G179" s="3" t="s">
        <v>63</v>
      </c>
      <c r="H179" s="3" t="s">
        <v>26</v>
      </c>
      <c r="I179" s="3" t="s">
        <v>36</v>
      </c>
      <c r="J179" s="4">
        <v>46032.0</v>
      </c>
      <c r="K179" s="4">
        <v>46039.0</v>
      </c>
      <c r="L179" s="7"/>
      <c r="M179" s="7"/>
      <c r="N179" s="7"/>
      <c r="O179" s="3" t="s">
        <v>104</v>
      </c>
      <c r="P179" s="4">
        <v>46029.0</v>
      </c>
      <c r="R179" s="3" t="s">
        <v>29</v>
      </c>
    </row>
    <row r="180">
      <c r="A180" s="3" t="s">
        <v>330</v>
      </c>
      <c r="B180" s="3" t="s">
        <v>225</v>
      </c>
      <c r="C180" s="3" t="s">
        <v>51</v>
      </c>
      <c r="D180" s="3" t="s">
        <v>22</v>
      </c>
      <c r="E180" s="3" t="s">
        <v>52</v>
      </c>
      <c r="F180" s="3" t="s">
        <v>24</v>
      </c>
      <c r="G180" s="3" t="s">
        <v>70</v>
      </c>
      <c r="H180" s="3" t="s">
        <v>54</v>
      </c>
      <c r="I180" s="3" t="s">
        <v>54</v>
      </c>
      <c r="J180" s="4">
        <v>46051.0</v>
      </c>
      <c r="K180" s="4">
        <v>46057.0</v>
      </c>
      <c r="L180" s="4">
        <v>46067.0</v>
      </c>
      <c r="M180" s="4">
        <v>46076.0</v>
      </c>
      <c r="N180" s="4">
        <v>46098.0</v>
      </c>
      <c r="O180" s="3" t="s">
        <v>28</v>
      </c>
      <c r="P180" s="4">
        <v>46046.0</v>
      </c>
      <c r="Q180" s="3">
        <v>52.0</v>
      </c>
      <c r="R180" s="3" t="s">
        <v>29</v>
      </c>
    </row>
    <row r="181">
      <c r="A181" s="3" t="s">
        <v>331</v>
      </c>
      <c r="B181" s="3" t="s">
        <v>175</v>
      </c>
      <c r="C181" s="3" t="s">
        <v>32</v>
      </c>
      <c r="D181" s="3" t="s">
        <v>22</v>
      </c>
      <c r="E181" s="3" t="s">
        <v>52</v>
      </c>
      <c r="F181" s="3" t="s">
        <v>24</v>
      </c>
      <c r="G181" s="3" t="s">
        <v>94</v>
      </c>
      <c r="H181" s="3" t="s">
        <v>54</v>
      </c>
      <c r="I181" s="3" t="s">
        <v>54</v>
      </c>
      <c r="J181" s="4">
        <v>46063.0</v>
      </c>
      <c r="K181" s="4">
        <v>46066.0</v>
      </c>
      <c r="L181" s="7"/>
      <c r="M181" s="7"/>
      <c r="N181" s="7"/>
      <c r="O181" s="3" t="s">
        <v>104</v>
      </c>
      <c r="P181" s="4">
        <v>46063.0</v>
      </c>
      <c r="R181" s="3" t="s">
        <v>45</v>
      </c>
    </row>
    <row r="182">
      <c r="A182" s="3" t="s">
        <v>332</v>
      </c>
      <c r="B182" s="3" t="s">
        <v>161</v>
      </c>
      <c r="C182" s="3" t="s">
        <v>115</v>
      </c>
      <c r="D182" s="3" t="s">
        <v>115</v>
      </c>
      <c r="E182" s="3" t="s">
        <v>40</v>
      </c>
      <c r="F182" s="3" t="s">
        <v>33</v>
      </c>
      <c r="G182" s="3" t="s">
        <v>81</v>
      </c>
      <c r="H182" s="3" t="s">
        <v>26</v>
      </c>
      <c r="I182" s="3" t="s">
        <v>27</v>
      </c>
      <c r="J182" s="4">
        <v>46072.0</v>
      </c>
      <c r="K182" s="4">
        <v>46079.0</v>
      </c>
      <c r="L182" s="4">
        <v>46085.0</v>
      </c>
      <c r="M182" s="4">
        <v>46089.0</v>
      </c>
      <c r="N182" s="4">
        <v>46097.0</v>
      </c>
      <c r="O182" s="3" t="s">
        <v>28</v>
      </c>
      <c r="P182" s="4">
        <v>46070.0</v>
      </c>
      <c r="Q182" s="3">
        <v>27.0</v>
      </c>
      <c r="R182" s="3" t="s">
        <v>29</v>
      </c>
    </row>
    <row r="183">
      <c r="A183" s="3" t="s">
        <v>333</v>
      </c>
      <c r="B183" s="3" t="s">
        <v>185</v>
      </c>
      <c r="C183" s="3" t="s">
        <v>88</v>
      </c>
      <c r="D183" s="3" t="s">
        <v>89</v>
      </c>
      <c r="E183" s="3" t="s">
        <v>23</v>
      </c>
      <c r="F183" s="3" t="s">
        <v>24</v>
      </c>
      <c r="G183" s="3" t="s">
        <v>94</v>
      </c>
      <c r="H183" s="3" t="s">
        <v>54</v>
      </c>
      <c r="I183" s="3" t="s">
        <v>54</v>
      </c>
      <c r="J183" s="4">
        <v>46090.0</v>
      </c>
      <c r="K183" s="4">
        <v>46095.0</v>
      </c>
      <c r="L183" s="4">
        <v>46105.0</v>
      </c>
      <c r="M183" s="4">
        <v>46111.0</v>
      </c>
      <c r="N183" s="4">
        <v>46124.0</v>
      </c>
      <c r="O183" s="3" t="s">
        <v>28</v>
      </c>
      <c r="P183" s="4">
        <v>46088.0</v>
      </c>
      <c r="Q183" s="3">
        <v>36.0</v>
      </c>
      <c r="R183" s="3" t="s">
        <v>29</v>
      </c>
    </row>
    <row r="184">
      <c r="A184" s="3" t="s">
        <v>334</v>
      </c>
      <c r="B184" s="3" t="s">
        <v>145</v>
      </c>
      <c r="C184" s="3" t="s">
        <v>21</v>
      </c>
      <c r="D184" s="3" t="s">
        <v>22</v>
      </c>
      <c r="E184" s="3" t="s">
        <v>47</v>
      </c>
      <c r="F184" s="3" t="s">
        <v>41</v>
      </c>
      <c r="G184" s="3" t="s">
        <v>42</v>
      </c>
      <c r="H184" s="3" t="s">
        <v>60</v>
      </c>
      <c r="I184" s="3" t="s">
        <v>27</v>
      </c>
      <c r="J184" s="4">
        <v>46141.0</v>
      </c>
      <c r="K184" s="4">
        <v>46144.0</v>
      </c>
      <c r="L184" s="4">
        <v>46154.0</v>
      </c>
      <c r="M184" s="4">
        <v>46158.0</v>
      </c>
      <c r="N184" s="4">
        <v>46182.0</v>
      </c>
      <c r="O184" s="3" t="s">
        <v>28</v>
      </c>
      <c r="P184" s="4">
        <v>46141.0</v>
      </c>
      <c r="Q184" s="3">
        <v>41.0</v>
      </c>
      <c r="R184" s="3" t="s">
        <v>29</v>
      </c>
    </row>
    <row r="185">
      <c r="A185" s="3" t="s">
        <v>335</v>
      </c>
      <c r="B185" s="3" t="s">
        <v>200</v>
      </c>
      <c r="C185" s="3" t="s">
        <v>21</v>
      </c>
      <c r="D185" s="3" t="s">
        <v>22</v>
      </c>
      <c r="E185" s="3" t="s">
        <v>47</v>
      </c>
      <c r="F185" s="3" t="s">
        <v>41</v>
      </c>
      <c r="G185" s="3" t="s">
        <v>63</v>
      </c>
      <c r="H185" s="3" t="s">
        <v>60</v>
      </c>
      <c r="I185" s="3" t="s">
        <v>36</v>
      </c>
      <c r="J185" s="4">
        <v>46090.0</v>
      </c>
      <c r="K185" s="4">
        <v>46096.0</v>
      </c>
      <c r="L185" s="7"/>
      <c r="M185" s="7"/>
      <c r="N185" s="7"/>
      <c r="O185" s="3" t="s">
        <v>55</v>
      </c>
      <c r="P185" s="4">
        <v>46090.0</v>
      </c>
      <c r="R185" s="3" t="s">
        <v>29</v>
      </c>
    </row>
    <row r="186">
      <c r="A186" s="3" t="s">
        <v>336</v>
      </c>
      <c r="B186" s="3" t="s">
        <v>39</v>
      </c>
      <c r="C186" s="3" t="s">
        <v>51</v>
      </c>
      <c r="D186" s="3" t="s">
        <v>22</v>
      </c>
      <c r="E186" s="3" t="s">
        <v>47</v>
      </c>
      <c r="F186" s="3" t="s">
        <v>48</v>
      </c>
      <c r="G186" s="3" t="s">
        <v>181</v>
      </c>
      <c r="H186" s="3" t="s">
        <v>43</v>
      </c>
      <c r="I186" s="3" t="s">
        <v>27</v>
      </c>
      <c r="J186" s="4">
        <v>46149.0</v>
      </c>
      <c r="K186" s="4">
        <v>46155.0</v>
      </c>
      <c r="L186" s="4">
        <v>46166.0</v>
      </c>
      <c r="M186" s="7"/>
      <c r="N186" s="7"/>
      <c r="O186" s="3" t="s">
        <v>44</v>
      </c>
      <c r="P186" s="4">
        <v>46147.0</v>
      </c>
      <c r="R186" s="3" t="s">
        <v>45</v>
      </c>
    </row>
    <row r="187">
      <c r="A187" s="3" t="s">
        <v>337</v>
      </c>
      <c r="B187" s="3" t="s">
        <v>175</v>
      </c>
      <c r="C187" s="3" t="s">
        <v>93</v>
      </c>
      <c r="D187" s="3" t="s">
        <v>89</v>
      </c>
      <c r="E187" s="3" t="s">
        <v>23</v>
      </c>
      <c r="F187" s="3" t="s">
        <v>33</v>
      </c>
      <c r="G187" s="3" t="s">
        <v>84</v>
      </c>
      <c r="H187" s="3" t="s">
        <v>35</v>
      </c>
      <c r="I187" s="3" t="s">
        <v>27</v>
      </c>
      <c r="J187" s="4">
        <v>46128.0</v>
      </c>
      <c r="K187" s="4">
        <v>46133.0</v>
      </c>
      <c r="L187" s="4">
        <v>46138.0</v>
      </c>
      <c r="M187" s="7"/>
      <c r="N187" s="7"/>
      <c r="O187" s="3" t="s">
        <v>44</v>
      </c>
      <c r="P187" s="4">
        <v>46128.0</v>
      </c>
      <c r="R187" s="3" t="s">
        <v>45</v>
      </c>
    </row>
    <row r="188">
      <c r="A188" s="3" t="s">
        <v>338</v>
      </c>
      <c r="B188" s="3" t="s">
        <v>31</v>
      </c>
      <c r="C188" s="3" t="s">
        <v>58</v>
      </c>
      <c r="D188" s="3" t="s">
        <v>58</v>
      </c>
      <c r="E188" s="3" t="s">
        <v>52</v>
      </c>
      <c r="F188" s="3" t="s">
        <v>48</v>
      </c>
      <c r="G188" s="3" t="s">
        <v>75</v>
      </c>
      <c r="H188" s="3" t="s">
        <v>26</v>
      </c>
      <c r="I188" s="3" t="s">
        <v>36</v>
      </c>
      <c r="J188" s="4">
        <v>46044.0</v>
      </c>
      <c r="K188" s="4">
        <v>46047.0</v>
      </c>
      <c r="L188" s="4">
        <v>46059.0</v>
      </c>
      <c r="M188" s="4">
        <v>46067.0</v>
      </c>
      <c r="N188" s="7"/>
      <c r="O188" s="3" t="s">
        <v>76</v>
      </c>
      <c r="P188" s="4">
        <v>46041.0</v>
      </c>
      <c r="R188" s="3" t="s">
        <v>29</v>
      </c>
    </row>
    <row r="189">
      <c r="A189" s="3" t="s">
        <v>339</v>
      </c>
      <c r="B189" s="3" t="s">
        <v>135</v>
      </c>
      <c r="C189" s="3" t="s">
        <v>115</v>
      </c>
      <c r="D189" s="3" t="s">
        <v>115</v>
      </c>
      <c r="E189" s="3" t="s">
        <v>40</v>
      </c>
      <c r="F189" s="3" t="s">
        <v>48</v>
      </c>
      <c r="G189" s="3" t="s">
        <v>34</v>
      </c>
      <c r="H189" s="3" t="s">
        <v>60</v>
      </c>
      <c r="I189" s="3" t="s">
        <v>27</v>
      </c>
      <c r="J189" s="4">
        <v>46108.0</v>
      </c>
      <c r="K189" s="4">
        <v>46110.0</v>
      </c>
      <c r="L189" s="7"/>
      <c r="M189" s="7"/>
      <c r="N189" s="7"/>
      <c r="O189" s="3" t="s">
        <v>37</v>
      </c>
      <c r="P189" s="4">
        <v>46107.0</v>
      </c>
      <c r="R189" s="3" t="s">
        <v>29</v>
      </c>
    </row>
    <row r="190">
      <c r="A190" s="3" t="s">
        <v>340</v>
      </c>
      <c r="B190" s="3" t="s">
        <v>183</v>
      </c>
      <c r="C190" s="3" t="s">
        <v>51</v>
      </c>
      <c r="D190" s="3" t="s">
        <v>22</v>
      </c>
      <c r="E190" s="3" t="s">
        <v>52</v>
      </c>
      <c r="F190" s="3" t="s">
        <v>48</v>
      </c>
      <c r="G190" s="3" t="s">
        <v>99</v>
      </c>
      <c r="H190" s="3" t="s">
        <v>54</v>
      </c>
      <c r="I190" s="3" t="s">
        <v>54</v>
      </c>
      <c r="J190" s="4">
        <v>46096.0</v>
      </c>
      <c r="K190" s="4">
        <v>46098.0</v>
      </c>
      <c r="L190" s="4">
        <v>46103.0</v>
      </c>
      <c r="M190" s="7"/>
      <c r="N190" s="7"/>
      <c r="O190" s="3" t="s">
        <v>44</v>
      </c>
      <c r="P190" s="4">
        <v>46093.0</v>
      </c>
      <c r="R190" s="3" t="s">
        <v>29</v>
      </c>
    </row>
    <row r="191">
      <c r="A191" s="3" t="s">
        <v>341</v>
      </c>
      <c r="B191" s="3" t="s">
        <v>165</v>
      </c>
      <c r="C191" s="3" t="s">
        <v>21</v>
      </c>
      <c r="D191" s="3" t="s">
        <v>22</v>
      </c>
      <c r="E191" s="3" t="s">
        <v>40</v>
      </c>
      <c r="F191" s="3" t="s">
        <v>48</v>
      </c>
      <c r="G191" s="3" t="s">
        <v>181</v>
      </c>
      <c r="H191" s="3" t="s">
        <v>54</v>
      </c>
      <c r="I191" s="3" t="s">
        <v>54</v>
      </c>
      <c r="J191" s="4">
        <v>46096.0</v>
      </c>
      <c r="K191" s="4">
        <v>46099.0</v>
      </c>
      <c r="L191" s="4">
        <v>46109.0</v>
      </c>
      <c r="M191" s="4">
        <v>46113.0</v>
      </c>
      <c r="N191" s="7"/>
      <c r="O191" s="3" t="s">
        <v>76</v>
      </c>
      <c r="P191" s="4">
        <v>46095.0</v>
      </c>
      <c r="R191" s="3" t="s">
        <v>29</v>
      </c>
    </row>
    <row r="192">
      <c r="A192" s="3" t="s">
        <v>342</v>
      </c>
      <c r="B192" s="3" t="s">
        <v>183</v>
      </c>
      <c r="C192" s="3" t="s">
        <v>88</v>
      </c>
      <c r="D192" s="3" t="s">
        <v>89</v>
      </c>
      <c r="E192" s="3" t="s">
        <v>40</v>
      </c>
      <c r="F192" s="3" t="s">
        <v>33</v>
      </c>
      <c r="G192" s="3" t="s">
        <v>181</v>
      </c>
      <c r="H192" s="3" t="s">
        <v>54</v>
      </c>
      <c r="I192" s="3" t="s">
        <v>54</v>
      </c>
      <c r="J192" s="4">
        <v>46068.0</v>
      </c>
      <c r="K192" s="4">
        <v>46072.0</v>
      </c>
      <c r="L192" s="4">
        <v>46081.0</v>
      </c>
      <c r="M192" s="4">
        <v>46089.0</v>
      </c>
      <c r="N192" s="4">
        <v>46104.0</v>
      </c>
      <c r="O192" s="3" t="s">
        <v>28</v>
      </c>
      <c r="P192" s="4">
        <v>46065.0</v>
      </c>
      <c r="Q192" s="3">
        <v>39.0</v>
      </c>
      <c r="R192" s="3" t="s">
        <v>29</v>
      </c>
    </row>
    <row r="193">
      <c r="A193" s="3" t="s">
        <v>343</v>
      </c>
      <c r="B193" s="3" t="s">
        <v>225</v>
      </c>
      <c r="C193" s="3" t="s">
        <v>58</v>
      </c>
      <c r="D193" s="3" t="s">
        <v>58</v>
      </c>
      <c r="E193" s="3" t="s">
        <v>52</v>
      </c>
      <c r="F193" s="3" t="s">
        <v>41</v>
      </c>
      <c r="G193" s="3" t="s">
        <v>129</v>
      </c>
      <c r="H193" s="3" t="s">
        <v>60</v>
      </c>
      <c r="I193" s="3" t="s">
        <v>36</v>
      </c>
      <c r="J193" s="4">
        <v>46118.0</v>
      </c>
      <c r="K193" s="4">
        <v>46124.0</v>
      </c>
      <c r="L193" s="4">
        <v>46130.0</v>
      </c>
      <c r="M193" s="7"/>
      <c r="N193" s="7"/>
      <c r="O193" s="3" t="s">
        <v>44</v>
      </c>
      <c r="P193" s="4">
        <v>46114.0</v>
      </c>
      <c r="R193" s="3" t="s">
        <v>29</v>
      </c>
    </row>
    <row r="194">
      <c r="A194" s="3" t="s">
        <v>344</v>
      </c>
      <c r="B194" s="3" t="s">
        <v>62</v>
      </c>
      <c r="C194" s="3" t="s">
        <v>51</v>
      </c>
      <c r="D194" s="3" t="s">
        <v>22</v>
      </c>
      <c r="E194" s="3" t="s">
        <v>52</v>
      </c>
      <c r="F194" s="3" t="s">
        <v>41</v>
      </c>
      <c r="G194" s="3" t="s">
        <v>59</v>
      </c>
      <c r="H194" s="3" t="s">
        <v>26</v>
      </c>
      <c r="I194" s="3" t="s">
        <v>36</v>
      </c>
      <c r="J194" s="4">
        <v>46076.0</v>
      </c>
      <c r="K194" s="4">
        <v>46080.0</v>
      </c>
      <c r="L194" s="7"/>
      <c r="M194" s="7"/>
      <c r="N194" s="7"/>
      <c r="O194" s="3" t="s">
        <v>37</v>
      </c>
      <c r="P194" s="4">
        <v>46075.0</v>
      </c>
      <c r="R194" s="3" t="s">
        <v>45</v>
      </c>
    </row>
    <row r="195">
      <c r="A195" s="3" t="s">
        <v>345</v>
      </c>
      <c r="B195" s="3" t="s">
        <v>165</v>
      </c>
      <c r="C195" s="3" t="s">
        <v>58</v>
      </c>
      <c r="D195" s="3" t="s">
        <v>58</v>
      </c>
      <c r="E195" s="3" t="s">
        <v>40</v>
      </c>
      <c r="F195" s="3" t="s">
        <v>48</v>
      </c>
      <c r="G195" s="3" t="s">
        <v>70</v>
      </c>
      <c r="H195" s="3" t="s">
        <v>60</v>
      </c>
      <c r="I195" s="3" t="s">
        <v>36</v>
      </c>
      <c r="J195" s="4">
        <v>46086.0</v>
      </c>
      <c r="K195" s="4">
        <v>46090.0</v>
      </c>
      <c r="L195" s="4">
        <v>46099.0</v>
      </c>
      <c r="M195" s="7"/>
      <c r="N195" s="7"/>
      <c r="O195" s="3" t="s">
        <v>55</v>
      </c>
      <c r="P195" s="4">
        <v>46081.0</v>
      </c>
      <c r="R195" s="3" t="s">
        <v>29</v>
      </c>
    </row>
    <row r="196">
      <c r="A196" s="3" t="s">
        <v>346</v>
      </c>
      <c r="B196" s="3" t="s">
        <v>114</v>
      </c>
      <c r="C196" s="3" t="s">
        <v>21</v>
      </c>
      <c r="D196" s="3" t="s">
        <v>22</v>
      </c>
      <c r="E196" s="3" t="s">
        <v>52</v>
      </c>
      <c r="F196" s="3" t="s">
        <v>24</v>
      </c>
      <c r="G196" s="3" t="s">
        <v>106</v>
      </c>
      <c r="H196" s="3" t="s">
        <v>26</v>
      </c>
      <c r="I196" s="3" t="s">
        <v>27</v>
      </c>
      <c r="J196" s="4">
        <v>46137.0</v>
      </c>
      <c r="K196" s="7"/>
      <c r="L196" s="7"/>
      <c r="M196" s="7"/>
      <c r="N196" s="7"/>
      <c r="O196" s="3" t="s">
        <v>104</v>
      </c>
      <c r="P196" s="4">
        <v>46135.0</v>
      </c>
      <c r="R196" s="3" t="s">
        <v>45</v>
      </c>
    </row>
    <row r="197">
      <c r="A197" s="3" t="s">
        <v>349</v>
      </c>
      <c r="B197" s="3" t="s">
        <v>188</v>
      </c>
      <c r="C197" s="3" t="s">
        <v>115</v>
      </c>
      <c r="D197" s="3" t="s">
        <v>115</v>
      </c>
      <c r="E197" s="3" t="s">
        <v>23</v>
      </c>
      <c r="F197" s="3" t="s">
        <v>24</v>
      </c>
      <c r="G197" s="3" t="s">
        <v>106</v>
      </c>
      <c r="H197" s="3" t="s">
        <v>35</v>
      </c>
      <c r="I197" s="3" t="s">
        <v>36</v>
      </c>
      <c r="J197" s="4">
        <v>46037.0</v>
      </c>
      <c r="K197" s="4">
        <v>46042.0</v>
      </c>
      <c r="L197" s="4">
        <v>46051.0</v>
      </c>
      <c r="M197" s="4">
        <v>46058.0</v>
      </c>
      <c r="N197" s="4">
        <v>46066.0</v>
      </c>
      <c r="O197" s="3" t="s">
        <v>28</v>
      </c>
      <c r="P197" s="4">
        <v>46032.0</v>
      </c>
      <c r="Q197" s="3">
        <v>34.0</v>
      </c>
      <c r="R197" s="3" t="s">
        <v>29</v>
      </c>
    </row>
    <row r="198">
      <c r="A198" s="3" t="s">
        <v>350</v>
      </c>
      <c r="B198" s="3" t="s">
        <v>92</v>
      </c>
      <c r="C198" s="3" t="s">
        <v>93</v>
      </c>
      <c r="D198" s="3" t="s">
        <v>89</v>
      </c>
      <c r="E198" s="3" t="s">
        <v>23</v>
      </c>
      <c r="F198" s="3" t="s">
        <v>48</v>
      </c>
      <c r="G198" s="3" t="s">
        <v>102</v>
      </c>
      <c r="H198" s="3" t="s">
        <v>35</v>
      </c>
      <c r="I198" s="3" t="s">
        <v>27</v>
      </c>
      <c r="J198" s="4">
        <v>46041.0</v>
      </c>
      <c r="K198" s="4">
        <v>46048.0</v>
      </c>
      <c r="L198" s="7"/>
      <c r="M198" s="7"/>
      <c r="N198" s="7"/>
      <c r="O198" s="3" t="s">
        <v>104</v>
      </c>
      <c r="P198" s="4">
        <v>46038.0</v>
      </c>
      <c r="R198" s="3" t="s">
        <v>29</v>
      </c>
    </row>
    <row r="199">
      <c r="A199" s="3" t="s">
        <v>351</v>
      </c>
      <c r="B199" s="3" t="s">
        <v>194</v>
      </c>
      <c r="C199" s="3" t="s">
        <v>32</v>
      </c>
      <c r="D199" s="3" t="s">
        <v>22</v>
      </c>
      <c r="E199" s="3" t="s">
        <v>23</v>
      </c>
      <c r="F199" s="3" t="s">
        <v>41</v>
      </c>
      <c r="G199" s="3" t="s">
        <v>106</v>
      </c>
      <c r="H199" s="3" t="s">
        <v>54</v>
      </c>
      <c r="I199" s="3" t="s">
        <v>54</v>
      </c>
      <c r="J199" s="4">
        <v>46036.0</v>
      </c>
      <c r="K199" s="4">
        <v>46043.0</v>
      </c>
      <c r="L199" s="4">
        <v>46054.0</v>
      </c>
      <c r="M199" s="7"/>
      <c r="N199" s="7"/>
      <c r="O199" s="3" t="s">
        <v>44</v>
      </c>
      <c r="P199" s="4">
        <v>46031.0</v>
      </c>
      <c r="R199" s="3" t="s">
        <v>29</v>
      </c>
    </row>
    <row r="200">
      <c r="A200" s="3" t="s">
        <v>352</v>
      </c>
      <c r="B200" s="3" t="s">
        <v>78</v>
      </c>
      <c r="C200" s="3" t="s">
        <v>93</v>
      </c>
      <c r="D200" s="3" t="s">
        <v>89</v>
      </c>
      <c r="E200" s="3" t="s">
        <v>47</v>
      </c>
      <c r="F200" s="3" t="s">
        <v>41</v>
      </c>
      <c r="G200" s="3" t="s">
        <v>99</v>
      </c>
      <c r="H200" s="3" t="s">
        <v>26</v>
      </c>
      <c r="I200" s="3" t="s">
        <v>36</v>
      </c>
      <c r="J200" s="4">
        <v>46136.0</v>
      </c>
      <c r="K200" s="4">
        <v>46141.0</v>
      </c>
      <c r="L200" s="4">
        <v>46154.0</v>
      </c>
      <c r="M200" s="4">
        <v>46160.0</v>
      </c>
      <c r="N200" s="7"/>
      <c r="O200" s="3" t="s">
        <v>76</v>
      </c>
      <c r="P200" s="4">
        <v>46135.0</v>
      </c>
      <c r="R200" s="3" t="s">
        <v>29</v>
      </c>
    </row>
    <row r="201">
      <c r="A201" s="3" t="s">
        <v>353</v>
      </c>
      <c r="B201" s="3" t="s">
        <v>97</v>
      </c>
      <c r="C201" s="3" t="s">
        <v>21</v>
      </c>
      <c r="D201" s="3" t="s">
        <v>22</v>
      </c>
      <c r="E201" s="3" t="s">
        <v>40</v>
      </c>
      <c r="F201" s="3" t="s">
        <v>24</v>
      </c>
      <c r="G201" s="3" t="s">
        <v>173</v>
      </c>
      <c r="H201" s="3" t="s">
        <v>35</v>
      </c>
      <c r="I201" s="3" t="s">
        <v>27</v>
      </c>
      <c r="J201" s="4">
        <v>46084.0</v>
      </c>
      <c r="K201" s="4">
        <v>46091.0</v>
      </c>
      <c r="L201" s="7"/>
      <c r="M201" s="7"/>
      <c r="N201" s="7"/>
      <c r="O201" s="3" t="s">
        <v>37</v>
      </c>
      <c r="P201" s="4">
        <v>46083.0</v>
      </c>
      <c r="R201" s="3" t="s">
        <v>29</v>
      </c>
    </row>
    <row r="202">
      <c r="A202" s="3" t="s">
        <v>354</v>
      </c>
      <c r="B202" s="3" t="s">
        <v>83</v>
      </c>
      <c r="C202" s="3" t="s">
        <v>51</v>
      </c>
      <c r="D202" s="3" t="s">
        <v>22</v>
      </c>
      <c r="E202" s="3" t="s">
        <v>23</v>
      </c>
      <c r="F202" s="3" t="s">
        <v>48</v>
      </c>
      <c r="G202" s="3" t="s">
        <v>106</v>
      </c>
      <c r="H202" s="3" t="s">
        <v>54</v>
      </c>
      <c r="I202" s="3" t="s">
        <v>54</v>
      </c>
      <c r="J202" s="4">
        <v>46083.0</v>
      </c>
      <c r="K202" s="4">
        <v>46087.0</v>
      </c>
      <c r="L202" s="7"/>
      <c r="M202" s="7"/>
      <c r="N202" s="7"/>
      <c r="O202" s="3" t="s">
        <v>37</v>
      </c>
      <c r="P202" s="4">
        <v>46078.0</v>
      </c>
      <c r="R202" s="3" t="s">
        <v>29</v>
      </c>
    </row>
    <row r="203">
      <c r="A203" s="3" t="s">
        <v>355</v>
      </c>
      <c r="B203" s="3" t="s">
        <v>183</v>
      </c>
      <c r="C203" s="3" t="s">
        <v>58</v>
      </c>
      <c r="D203" s="3" t="s">
        <v>58</v>
      </c>
      <c r="E203" s="3" t="s">
        <v>52</v>
      </c>
      <c r="F203" s="3" t="s">
        <v>41</v>
      </c>
      <c r="G203" s="3" t="s">
        <v>149</v>
      </c>
      <c r="H203" s="3" t="s">
        <v>26</v>
      </c>
      <c r="I203" s="3" t="s">
        <v>36</v>
      </c>
      <c r="J203" s="4">
        <v>46040.0</v>
      </c>
      <c r="K203" s="4">
        <v>46047.0</v>
      </c>
      <c r="L203" s="4">
        <v>46056.0</v>
      </c>
      <c r="M203" s="4">
        <v>46065.0</v>
      </c>
      <c r="N203" s="7"/>
      <c r="O203" s="3" t="s">
        <v>76</v>
      </c>
      <c r="P203" s="4">
        <v>46038.0</v>
      </c>
      <c r="R203" s="3" t="s">
        <v>29</v>
      </c>
    </row>
    <row r="204">
      <c r="A204" s="3" t="s">
        <v>356</v>
      </c>
      <c r="B204" s="3" t="s">
        <v>57</v>
      </c>
      <c r="C204" s="3" t="s">
        <v>88</v>
      </c>
      <c r="D204" s="3" t="s">
        <v>89</v>
      </c>
      <c r="E204" s="3" t="s">
        <v>47</v>
      </c>
      <c r="F204" s="3" t="s">
        <v>48</v>
      </c>
      <c r="G204" s="3" t="s">
        <v>75</v>
      </c>
      <c r="H204" s="3" t="s">
        <v>60</v>
      </c>
      <c r="I204" s="3" t="s">
        <v>27</v>
      </c>
      <c r="J204" s="4">
        <v>46098.0</v>
      </c>
      <c r="K204" s="4">
        <v>46104.0</v>
      </c>
      <c r="L204" s="7"/>
      <c r="M204" s="7"/>
      <c r="N204" s="7"/>
      <c r="O204" s="3" t="s">
        <v>37</v>
      </c>
      <c r="P204" s="4">
        <v>46093.0</v>
      </c>
      <c r="R204" s="3" t="s">
        <v>29</v>
      </c>
    </row>
    <row r="205">
      <c r="A205" s="3" t="s">
        <v>357</v>
      </c>
      <c r="B205" s="3" t="s">
        <v>78</v>
      </c>
      <c r="C205" s="3" t="s">
        <v>58</v>
      </c>
      <c r="D205" s="3" t="s">
        <v>58</v>
      </c>
      <c r="E205" s="3" t="s">
        <v>40</v>
      </c>
      <c r="F205" s="3" t="s">
        <v>48</v>
      </c>
      <c r="G205" s="3" t="s">
        <v>94</v>
      </c>
      <c r="H205" s="3" t="s">
        <v>54</v>
      </c>
      <c r="I205" s="3" t="s">
        <v>54</v>
      </c>
      <c r="J205" s="4">
        <v>46129.0</v>
      </c>
      <c r="K205" s="7"/>
      <c r="L205" s="7"/>
      <c r="M205" s="7"/>
      <c r="N205" s="7"/>
      <c r="O205" s="3" t="s">
        <v>55</v>
      </c>
      <c r="P205" s="4">
        <v>46127.0</v>
      </c>
      <c r="R205" s="3" t="s">
        <v>29</v>
      </c>
    </row>
    <row r="206">
      <c r="A206" s="3" t="s">
        <v>358</v>
      </c>
      <c r="B206" s="3" t="s">
        <v>259</v>
      </c>
      <c r="C206" s="3" t="s">
        <v>93</v>
      </c>
      <c r="D206" s="3" t="s">
        <v>89</v>
      </c>
      <c r="E206" s="3" t="s">
        <v>52</v>
      </c>
      <c r="F206" s="3" t="s">
        <v>33</v>
      </c>
      <c r="G206" s="3" t="s">
        <v>106</v>
      </c>
      <c r="H206" s="3" t="s">
        <v>43</v>
      </c>
      <c r="I206" s="3" t="s">
        <v>27</v>
      </c>
      <c r="J206" s="4">
        <v>46097.0</v>
      </c>
      <c r="K206" s="4">
        <v>46103.0</v>
      </c>
      <c r="L206" s="4">
        <v>46112.0</v>
      </c>
      <c r="M206" s="4">
        <v>46121.0</v>
      </c>
      <c r="N206" s="7"/>
      <c r="O206" s="3" t="s">
        <v>55</v>
      </c>
      <c r="P206" s="4">
        <v>46095.0</v>
      </c>
      <c r="R206" s="3" t="s">
        <v>29</v>
      </c>
    </row>
    <row r="207">
      <c r="A207" s="3" t="s">
        <v>359</v>
      </c>
      <c r="B207" s="3" t="s">
        <v>165</v>
      </c>
      <c r="C207" s="3" t="s">
        <v>21</v>
      </c>
      <c r="D207" s="3" t="s">
        <v>22</v>
      </c>
      <c r="E207" s="3" t="s">
        <v>40</v>
      </c>
      <c r="F207" s="3" t="s">
        <v>33</v>
      </c>
      <c r="G207" s="3" t="s">
        <v>84</v>
      </c>
      <c r="H207" s="3" t="s">
        <v>35</v>
      </c>
      <c r="I207" s="3" t="s">
        <v>27</v>
      </c>
      <c r="J207" s="4">
        <v>46049.0</v>
      </c>
      <c r="K207" s="7"/>
      <c r="L207" s="7"/>
      <c r="M207" s="7"/>
      <c r="N207" s="7"/>
      <c r="O207" s="3" t="s">
        <v>104</v>
      </c>
      <c r="P207" s="4">
        <v>46044.0</v>
      </c>
      <c r="R207" s="3" t="s">
        <v>29</v>
      </c>
    </row>
    <row r="208">
      <c r="A208" s="3" t="s">
        <v>360</v>
      </c>
      <c r="B208" s="3" t="s">
        <v>194</v>
      </c>
      <c r="C208" s="3" t="s">
        <v>21</v>
      </c>
      <c r="D208" s="3" t="s">
        <v>22</v>
      </c>
      <c r="E208" s="3" t="s">
        <v>52</v>
      </c>
      <c r="F208" s="3" t="s">
        <v>24</v>
      </c>
      <c r="G208" s="3" t="s">
        <v>25</v>
      </c>
      <c r="H208" s="3" t="s">
        <v>60</v>
      </c>
      <c r="I208" s="3" t="s">
        <v>27</v>
      </c>
      <c r="J208" s="4">
        <v>46029.0</v>
      </c>
      <c r="K208" s="4">
        <v>46033.0</v>
      </c>
      <c r="L208" s="4">
        <v>46042.0</v>
      </c>
      <c r="M208" s="4">
        <v>46045.0</v>
      </c>
      <c r="N208" s="7"/>
      <c r="O208" s="3" t="s">
        <v>76</v>
      </c>
      <c r="P208" s="4">
        <v>46024.0</v>
      </c>
      <c r="R208" s="3" t="s">
        <v>29</v>
      </c>
    </row>
    <row r="209">
      <c r="A209" s="3" t="s">
        <v>361</v>
      </c>
      <c r="B209" s="3" t="s">
        <v>87</v>
      </c>
      <c r="C209" s="3" t="s">
        <v>58</v>
      </c>
      <c r="D209" s="3" t="s">
        <v>58</v>
      </c>
      <c r="E209" s="3" t="s">
        <v>52</v>
      </c>
      <c r="F209" s="3" t="s">
        <v>33</v>
      </c>
      <c r="G209" s="3" t="s">
        <v>99</v>
      </c>
      <c r="H209" s="3" t="s">
        <v>43</v>
      </c>
      <c r="I209" s="3" t="s">
        <v>36</v>
      </c>
      <c r="J209" s="4">
        <v>46164.0</v>
      </c>
      <c r="K209" s="4">
        <v>46166.0</v>
      </c>
      <c r="L209" s="4">
        <v>46176.0</v>
      </c>
      <c r="M209" s="4">
        <v>46184.0</v>
      </c>
      <c r="N209" s="7"/>
      <c r="O209" s="3" t="s">
        <v>104</v>
      </c>
      <c r="P209" s="4">
        <v>46161.0</v>
      </c>
      <c r="R209" s="3" t="s">
        <v>29</v>
      </c>
    </row>
    <row r="210">
      <c r="A210" s="3" t="s">
        <v>362</v>
      </c>
      <c r="B210" s="3" t="s">
        <v>265</v>
      </c>
      <c r="C210" s="3" t="s">
        <v>51</v>
      </c>
      <c r="D210" s="3" t="s">
        <v>22</v>
      </c>
      <c r="E210" s="3" t="s">
        <v>52</v>
      </c>
      <c r="F210" s="3" t="s">
        <v>24</v>
      </c>
      <c r="G210" s="3" t="s">
        <v>94</v>
      </c>
      <c r="H210" s="3" t="s">
        <v>43</v>
      </c>
      <c r="I210" s="3" t="s">
        <v>27</v>
      </c>
      <c r="J210" s="4">
        <v>46053.0</v>
      </c>
      <c r="K210" s="4">
        <v>46057.0</v>
      </c>
      <c r="L210" s="4">
        <v>46067.0</v>
      </c>
      <c r="M210" s="4">
        <v>46075.0</v>
      </c>
      <c r="N210" s="7"/>
      <c r="O210" s="3" t="s">
        <v>104</v>
      </c>
      <c r="P210" s="4">
        <v>46052.0</v>
      </c>
      <c r="R210" s="3" t="s">
        <v>29</v>
      </c>
    </row>
    <row r="211">
      <c r="A211" s="3" t="s">
        <v>363</v>
      </c>
      <c r="B211" s="3" t="s">
        <v>169</v>
      </c>
      <c r="C211" s="3" t="s">
        <v>51</v>
      </c>
      <c r="D211" s="3" t="s">
        <v>22</v>
      </c>
      <c r="E211" s="3" t="s">
        <v>23</v>
      </c>
      <c r="F211" s="3" t="s">
        <v>48</v>
      </c>
      <c r="G211" s="3" t="s">
        <v>110</v>
      </c>
      <c r="H211" s="3" t="s">
        <v>35</v>
      </c>
      <c r="I211" s="3" t="s">
        <v>36</v>
      </c>
      <c r="J211" s="4">
        <v>46088.0</v>
      </c>
      <c r="K211" s="4">
        <v>46091.0</v>
      </c>
      <c r="L211" s="7"/>
      <c r="M211" s="7"/>
      <c r="N211" s="7"/>
      <c r="O211" s="3" t="s">
        <v>37</v>
      </c>
      <c r="P211" s="4">
        <v>46085.0</v>
      </c>
      <c r="R211" s="3" t="s">
        <v>29</v>
      </c>
    </row>
    <row r="212">
      <c r="A212" s="3" t="s">
        <v>364</v>
      </c>
      <c r="B212" s="3" t="s">
        <v>120</v>
      </c>
      <c r="C212" s="3" t="s">
        <v>32</v>
      </c>
      <c r="D212" s="3" t="s">
        <v>22</v>
      </c>
      <c r="E212" s="3" t="s">
        <v>23</v>
      </c>
      <c r="F212" s="3" t="s">
        <v>24</v>
      </c>
      <c r="G212" s="3" t="s">
        <v>102</v>
      </c>
      <c r="H212" s="3" t="s">
        <v>60</v>
      </c>
      <c r="I212" s="3" t="s">
        <v>36</v>
      </c>
      <c r="J212" s="4">
        <v>46061.0</v>
      </c>
      <c r="K212" s="4">
        <v>46063.0</v>
      </c>
      <c r="L212" s="4">
        <v>46071.0</v>
      </c>
      <c r="M212" s="7"/>
      <c r="N212" s="7"/>
      <c r="O212" s="3" t="s">
        <v>44</v>
      </c>
      <c r="P212" s="4">
        <v>46059.0</v>
      </c>
      <c r="R212" s="3" t="s">
        <v>45</v>
      </c>
    </row>
    <row r="213">
      <c r="A213" s="3" t="s">
        <v>365</v>
      </c>
      <c r="B213" s="3" t="s">
        <v>92</v>
      </c>
      <c r="C213" s="3" t="s">
        <v>88</v>
      </c>
      <c r="D213" s="3" t="s">
        <v>89</v>
      </c>
      <c r="E213" s="3" t="s">
        <v>23</v>
      </c>
      <c r="F213" s="3" t="s">
        <v>41</v>
      </c>
      <c r="G213" s="3" t="s">
        <v>121</v>
      </c>
      <c r="H213" s="3" t="s">
        <v>43</v>
      </c>
      <c r="I213" s="3" t="s">
        <v>27</v>
      </c>
      <c r="J213" s="4">
        <v>46078.0</v>
      </c>
      <c r="K213" s="7"/>
      <c r="L213" s="7"/>
      <c r="M213" s="7"/>
      <c r="N213" s="7"/>
      <c r="O213" s="3" t="s">
        <v>55</v>
      </c>
      <c r="P213" s="4">
        <v>46074.0</v>
      </c>
      <c r="R213" s="3" t="s">
        <v>29</v>
      </c>
    </row>
    <row r="214">
      <c r="A214" s="3" t="s">
        <v>366</v>
      </c>
      <c r="B214" s="3" t="s">
        <v>114</v>
      </c>
      <c r="C214" s="3" t="s">
        <v>58</v>
      </c>
      <c r="D214" s="3" t="s">
        <v>58</v>
      </c>
      <c r="E214" s="3" t="s">
        <v>23</v>
      </c>
      <c r="F214" s="3" t="s">
        <v>33</v>
      </c>
      <c r="G214" s="3" t="s">
        <v>102</v>
      </c>
      <c r="H214" s="3" t="s">
        <v>43</v>
      </c>
      <c r="I214" s="3" t="s">
        <v>27</v>
      </c>
      <c r="J214" s="4">
        <v>46119.0</v>
      </c>
      <c r="K214" s="4">
        <v>46126.0</v>
      </c>
      <c r="L214" s="7"/>
      <c r="M214" s="7"/>
      <c r="N214" s="7"/>
      <c r="O214" s="3" t="s">
        <v>37</v>
      </c>
      <c r="P214" s="4">
        <v>46117.0</v>
      </c>
      <c r="R214" s="3" t="s">
        <v>45</v>
      </c>
    </row>
    <row r="215">
      <c r="A215" s="3" t="s">
        <v>367</v>
      </c>
      <c r="B215" s="3" t="s">
        <v>57</v>
      </c>
      <c r="C215" s="3" t="s">
        <v>51</v>
      </c>
      <c r="D215" s="3" t="s">
        <v>22</v>
      </c>
      <c r="E215" s="3" t="s">
        <v>52</v>
      </c>
      <c r="F215" s="3" t="s">
        <v>24</v>
      </c>
      <c r="G215" s="3" t="s">
        <v>102</v>
      </c>
      <c r="H215" s="3" t="s">
        <v>60</v>
      </c>
      <c r="I215" s="3" t="s">
        <v>36</v>
      </c>
      <c r="J215" s="4">
        <v>46168.0</v>
      </c>
      <c r="K215" s="4">
        <v>46174.0</v>
      </c>
      <c r="L215" s="7"/>
      <c r="M215" s="7"/>
      <c r="N215" s="7"/>
      <c r="O215" s="3" t="s">
        <v>37</v>
      </c>
      <c r="P215" s="4">
        <v>46163.0</v>
      </c>
      <c r="R215" s="3" t="s">
        <v>29</v>
      </c>
    </row>
    <row r="216">
      <c r="A216" s="3" t="s">
        <v>368</v>
      </c>
      <c r="B216" s="3" t="s">
        <v>169</v>
      </c>
      <c r="C216" s="3" t="s">
        <v>88</v>
      </c>
      <c r="D216" s="3" t="s">
        <v>89</v>
      </c>
      <c r="E216" s="3" t="s">
        <v>47</v>
      </c>
      <c r="F216" s="3" t="s">
        <v>24</v>
      </c>
      <c r="G216" s="3" t="s">
        <v>121</v>
      </c>
      <c r="H216" s="3" t="s">
        <v>35</v>
      </c>
      <c r="I216" s="3" t="s">
        <v>36</v>
      </c>
      <c r="J216" s="4">
        <v>46053.0</v>
      </c>
      <c r="K216" s="4">
        <v>46060.0</v>
      </c>
      <c r="L216" s="4">
        <v>46072.0</v>
      </c>
      <c r="M216" s="7"/>
      <c r="N216" s="7"/>
      <c r="O216" s="3" t="s">
        <v>44</v>
      </c>
      <c r="P216" s="4">
        <v>46053.0</v>
      </c>
      <c r="R216" s="3" t="s">
        <v>29</v>
      </c>
    </row>
    <row r="217">
      <c r="A217" s="3" t="s">
        <v>369</v>
      </c>
      <c r="B217" s="3" t="s">
        <v>120</v>
      </c>
      <c r="C217" s="3" t="s">
        <v>93</v>
      </c>
      <c r="D217" s="3" t="s">
        <v>89</v>
      </c>
      <c r="E217" s="3" t="s">
        <v>52</v>
      </c>
      <c r="F217" s="3" t="s">
        <v>33</v>
      </c>
      <c r="G217" s="3" t="s">
        <v>129</v>
      </c>
      <c r="H217" s="3" t="s">
        <v>43</v>
      </c>
      <c r="I217" s="3" t="s">
        <v>36</v>
      </c>
      <c r="J217" s="4">
        <v>46026.0</v>
      </c>
      <c r="K217" s="4">
        <v>46031.0</v>
      </c>
      <c r="L217" s="4">
        <v>46042.0</v>
      </c>
      <c r="M217" s="7"/>
      <c r="N217" s="7"/>
      <c r="O217" s="3" t="s">
        <v>44</v>
      </c>
      <c r="P217" s="4">
        <v>46024.0</v>
      </c>
      <c r="R217" s="3" t="s">
        <v>45</v>
      </c>
    </row>
    <row r="218">
      <c r="A218" s="3" t="s">
        <v>370</v>
      </c>
      <c r="B218" s="3" t="s">
        <v>78</v>
      </c>
      <c r="C218" s="3" t="s">
        <v>32</v>
      </c>
      <c r="D218" s="3" t="s">
        <v>22</v>
      </c>
      <c r="E218" s="3" t="s">
        <v>47</v>
      </c>
      <c r="F218" s="3" t="s">
        <v>24</v>
      </c>
      <c r="G218" s="3" t="s">
        <v>70</v>
      </c>
      <c r="H218" s="3" t="s">
        <v>54</v>
      </c>
      <c r="I218" s="3" t="s">
        <v>54</v>
      </c>
      <c r="J218" s="4">
        <v>46053.0</v>
      </c>
      <c r="K218" s="7"/>
      <c r="L218" s="7"/>
      <c r="M218" s="7"/>
      <c r="N218" s="7"/>
      <c r="O218" s="3" t="s">
        <v>55</v>
      </c>
      <c r="P218" s="4">
        <v>46050.0</v>
      </c>
      <c r="R218" s="3" t="s">
        <v>29</v>
      </c>
    </row>
    <row r="219">
      <c r="A219" s="3" t="s">
        <v>371</v>
      </c>
      <c r="B219" s="3" t="s">
        <v>140</v>
      </c>
      <c r="C219" s="3" t="s">
        <v>115</v>
      </c>
      <c r="D219" s="3" t="s">
        <v>115</v>
      </c>
      <c r="E219" s="3" t="s">
        <v>40</v>
      </c>
      <c r="F219" s="3" t="s">
        <v>48</v>
      </c>
      <c r="G219" s="3" t="s">
        <v>129</v>
      </c>
      <c r="H219" s="3" t="s">
        <v>35</v>
      </c>
      <c r="I219" s="3" t="s">
        <v>36</v>
      </c>
      <c r="J219" s="4">
        <v>46105.0</v>
      </c>
      <c r="K219" s="4">
        <v>46111.0</v>
      </c>
      <c r="L219" s="4">
        <v>46120.0</v>
      </c>
      <c r="M219" s="4">
        <v>46124.0</v>
      </c>
      <c r="N219" s="4">
        <v>46132.0</v>
      </c>
      <c r="O219" s="3" t="s">
        <v>28</v>
      </c>
      <c r="P219" s="4">
        <v>46104.0</v>
      </c>
      <c r="Q219" s="3">
        <v>28.0</v>
      </c>
      <c r="R219" s="3" t="s">
        <v>29</v>
      </c>
    </row>
    <row r="220">
      <c r="A220" s="3" t="s">
        <v>374</v>
      </c>
      <c r="B220" s="3" t="s">
        <v>31</v>
      </c>
      <c r="C220" s="3" t="s">
        <v>88</v>
      </c>
      <c r="D220" s="3" t="s">
        <v>89</v>
      </c>
      <c r="E220" s="3" t="s">
        <v>40</v>
      </c>
      <c r="F220" s="3" t="s">
        <v>33</v>
      </c>
      <c r="G220" s="3" t="s">
        <v>90</v>
      </c>
      <c r="H220" s="3" t="s">
        <v>35</v>
      </c>
      <c r="I220" s="3" t="s">
        <v>36</v>
      </c>
      <c r="J220" s="4">
        <v>46043.0</v>
      </c>
      <c r="K220" s="4">
        <v>46049.0</v>
      </c>
      <c r="L220" s="4">
        <v>46056.0</v>
      </c>
      <c r="M220" s="4">
        <v>46066.0</v>
      </c>
      <c r="N220" s="7"/>
      <c r="O220" s="3" t="s">
        <v>76</v>
      </c>
      <c r="P220" s="4">
        <v>46038.0</v>
      </c>
      <c r="R220" s="3" t="s">
        <v>29</v>
      </c>
    </row>
    <row r="221">
      <c r="A221" s="3" t="s">
        <v>375</v>
      </c>
      <c r="B221" s="3" t="s">
        <v>159</v>
      </c>
      <c r="C221" s="3" t="s">
        <v>58</v>
      </c>
      <c r="D221" s="3" t="s">
        <v>58</v>
      </c>
      <c r="E221" s="3" t="s">
        <v>52</v>
      </c>
      <c r="F221" s="3" t="s">
        <v>24</v>
      </c>
      <c r="G221" s="3" t="s">
        <v>106</v>
      </c>
      <c r="H221" s="3" t="s">
        <v>54</v>
      </c>
      <c r="I221" s="3" t="s">
        <v>54</v>
      </c>
      <c r="J221" s="4">
        <v>46092.0</v>
      </c>
      <c r="K221" s="4">
        <v>46098.0</v>
      </c>
      <c r="L221" s="4">
        <v>46110.0</v>
      </c>
      <c r="M221" s="7"/>
      <c r="N221" s="7"/>
      <c r="O221" s="3" t="s">
        <v>104</v>
      </c>
      <c r="P221" s="4">
        <v>46087.0</v>
      </c>
      <c r="R221" s="3" t="s">
        <v>45</v>
      </c>
    </row>
    <row r="222">
      <c r="A222" s="3" t="s">
        <v>376</v>
      </c>
      <c r="B222" s="3" t="s">
        <v>20</v>
      </c>
      <c r="C222" s="3" t="s">
        <v>93</v>
      </c>
      <c r="D222" s="3" t="s">
        <v>89</v>
      </c>
      <c r="E222" s="3" t="s">
        <v>52</v>
      </c>
      <c r="F222" s="3" t="s">
        <v>48</v>
      </c>
      <c r="G222" s="3" t="s">
        <v>34</v>
      </c>
      <c r="H222" s="3" t="s">
        <v>54</v>
      </c>
      <c r="I222" s="3" t="s">
        <v>54</v>
      </c>
      <c r="J222" s="4">
        <v>46122.0</v>
      </c>
      <c r="K222" s="4">
        <v>46129.0</v>
      </c>
      <c r="L222" s="7"/>
      <c r="M222" s="7"/>
      <c r="N222" s="7"/>
      <c r="O222" s="3" t="s">
        <v>37</v>
      </c>
      <c r="P222" s="4">
        <v>46117.0</v>
      </c>
      <c r="R222" s="3" t="s">
        <v>29</v>
      </c>
    </row>
    <row r="223">
      <c r="A223" s="3" t="s">
        <v>377</v>
      </c>
      <c r="B223" s="3" t="s">
        <v>159</v>
      </c>
      <c r="C223" s="3" t="s">
        <v>51</v>
      </c>
      <c r="D223" s="3" t="s">
        <v>22</v>
      </c>
      <c r="E223" s="3" t="s">
        <v>47</v>
      </c>
      <c r="F223" s="3" t="s">
        <v>48</v>
      </c>
      <c r="G223" s="3" t="s">
        <v>42</v>
      </c>
      <c r="H223" s="3" t="s">
        <v>43</v>
      </c>
      <c r="I223" s="3" t="s">
        <v>36</v>
      </c>
      <c r="J223" s="4">
        <v>46147.0</v>
      </c>
      <c r="K223" s="4">
        <v>46150.0</v>
      </c>
      <c r="L223" s="7"/>
      <c r="M223" s="7"/>
      <c r="N223" s="7"/>
      <c r="O223" s="3" t="s">
        <v>37</v>
      </c>
      <c r="P223" s="4">
        <v>46147.0</v>
      </c>
      <c r="R223" s="3" t="s">
        <v>45</v>
      </c>
    </row>
    <row r="224">
      <c r="A224" s="3" t="s">
        <v>378</v>
      </c>
      <c r="B224" s="3" t="s">
        <v>92</v>
      </c>
      <c r="C224" s="3" t="s">
        <v>93</v>
      </c>
      <c r="D224" s="3" t="s">
        <v>89</v>
      </c>
      <c r="E224" s="3" t="s">
        <v>47</v>
      </c>
      <c r="F224" s="3" t="s">
        <v>41</v>
      </c>
      <c r="G224" s="3" t="s">
        <v>75</v>
      </c>
      <c r="H224" s="3" t="s">
        <v>60</v>
      </c>
      <c r="I224" s="3" t="s">
        <v>27</v>
      </c>
      <c r="J224" s="4">
        <v>46140.0</v>
      </c>
      <c r="K224" s="4">
        <v>46147.0</v>
      </c>
      <c r="L224" s="7"/>
      <c r="M224" s="7"/>
      <c r="N224" s="7"/>
      <c r="O224" s="3" t="s">
        <v>37</v>
      </c>
      <c r="P224" s="4">
        <v>46135.0</v>
      </c>
      <c r="R224" s="3" t="s">
        <v>29</v>
      </c>
    </row>
    <row r="225">
      <c r="A225" s="3" t="s">
        <v>379</v>
      </c>
      <c r="B225" s="3" t="s">
        <v>262</v>
      </c>
      <c r="C225" s="3" t="s">
        <v>51</v>
      </c>
      <c r="D225" s="3" t="s">
        <v>22</v>
      </c>
      <c r="E225" s="3" t="s">
        <v>47</v>
      </c>
      <c r="F225" s="3" t="s">
        <v>41</v>
      </c>
      <c r="G225" s="3" t="s">
        <v>59</v>
      </c>
      <c r="H225" s="3" t="s">
        <v>54</v>
      </c>
      <c r="I225" s="3" t="s">
        <v>54</v>
      </c>
      <c r="J225" s="4">
        <v>46173.0</v>
      </c>
      <c r="K225" s="4">
        <v>46177.0</v>
      </c>
      <c r="L225" s="4">
        <v>46185.0</v>
      </c>
      <c r="M225" s="4">
        <v>46194.0</v>
      </c>
      <c r="N225" s="7"/>
      <c r="O225" s="3" t="s">
        <v>55</v>
      </c>
      <c r="P225" s="4">
        <v>46169.0</v>
      </c>
      <c r="R225" s="3" t="s">
        <v>45</v>
      </c>
    </row>
    <row r="226">
      <c r="A226" s="3" t="s">
        <v>380</v>
      </c>
      <c r="B226" s="3" t="s">
        <v>295</v>
      </c>
      <c r="C226" s="3" t="s">
        <v>115</v>
      </c>
      <c r="D226" s="3" t="s">
        <v>115</v>
      </c>
      <c r="E226" s="3" t="s">
        <v>23</v>
      </c>
      <c r="F226" s="3" t="s">
        <v>48</v>
      </c>
      <c r="G226" s="3" t="s">
        <v>81</v>
      </c>
      <c r="H226" s="3" t="s">
        <v>26</v>
      </c>
      <c r="I226" s="3" t="s">
        <v>36</v>
      </c>
      <c r="J226" s="4">
        <v>46074.0</v>
      </c>
      <c r="K226" s="4">
        <v>46077.0</v>
      </c>
      <c r="L226" s="4">
        <v>46084.0</v>
      </c>
      <c r="M226" s="7"/>
      <c r="N226" s="7"/>
      <c r="O226" s="3" t="s">
        <v>44</v>
      </c>
      <c r="P226" s="4">
        <v>46073.0</v>
      </c>
      <c r="R226" s="3" t="s">
        <v>29</v>
      </c>
    </row>
    <row r="227">
      <c r="A227" s="3" t="s">
        <v>381</v>
      </c>
      <c r="B227" s="3" t="s">
        <v>133</v>
      </c>
      <c r="C227" s="3" t="s">
        <v>115</v>
      </c>
      <c r="D227" s="3" t="s">
        <v>115</v>
      </c>
      <c r="E227" s="3" t="s">
        <v>47</v>
      </c>
      <c r="F227" s="3" t="s">
        <v>24</v>
      </c>
      <c r="G227" s="3" t="s">
        <v>181</v>
      </c>
      <c r="H227" s="3" t="s">
        <v>60</v>
      </c>
      <c r="I227" s="3" t="s">
        <v>27</v>
      </c>
      <c r="J227" s="4">
        <v>46158.0</v>
      </c>
      <c r="K227" s="4">
        <v>46162.0</v>
      </c>
      <c r="L227" s="4">
        <v>46176.0</v>
      </c>
      <c r="M227" s="7"/>
      <c r="N227" s="7"/>
      <c r="O227" s="3" t="s">
        <v>44</v>
      </c>
      <c r="P227" s="4">
        <v>46153.0</v>
      </c>
      <c r="R227" s="3" t="s">
        <v>29</v>
      </c>
    </row>
    <row r="228">
      <c r="A228" s="3" t="s">
        <v>382</v>
      </c>
      <c r="B228" s="3" t="s">
        <v>123</v>
      </c>
      <c r="C228" s="3" t="s">
        <v>21</v>
      </c>
      <c r="D228" s="3" t="s">
        <v>22</v>
      </c>
      <c r="E228" s="3" t="s">
        <v>40</v>
      </c>
      <c r="F228" s="3" t="s">
        <v>41</v>
      </c>
      <c r="G228" s="3" t="s">
        <v>42</v>
      </c>
      <c r="H228" s="3" t="s">
        <v>43</v>
      </c>
      <c r="I228" s="3" t="s">
        <v>27</v>
      </c>
      <c r="J228" s="4">
        <v>46112.0</v>
      </c>
      <c r="K228" s="4">
        <v>46118.0</v>
      </c>
      <c r="L228" s="4">
        <v>46125.0</v>
      </c>
      <c r="M228" s="4">
        <v>46134.0</v>
      </c>
      <c r="N228" s="7"/>
      <c r="O228" s="3" t="s">
        <v>76</v>
      </c>
      <c r="P228" s="4">
        <v>46110.0</v>
      </c>
      <c r="R228" s="3" t="s">
        <v>29</v>
      </c>
    </row>
    <row r="229">
      <c r="A229" s="3" t="s">
        <v>383</v>
      </c>
      <c r="B229" s="3" t="s">
        <v>62</v>
      </c>
      <c r="C229" s="3" t="s">
        <v>32</v>
      </c>
      <c r="D229" s="3" t="s">
        <v>22</v>
      </c>
      <c r="E229" s="3" t="s">
        <v>40</v>
      </c>
      <c r="F229" s="3" t="s">
        <v>41</v>
      </c>
      <c r="G229" s="3" t="s">
        <v>99</v>
      </c>
      <c r="H229" s="3" t="s">
        <v>35</v>
      </c>
      <c r="I229" s="3" t="s">
        <v>36</v>
      </c>
      <c r="J229" s="4">
        <v>46148.0</v>
      </c>
      <c r="K229" s="7"/>
      <c r="L229" s="7"/>
      <c r="M229" s="7"/>
      <c r="N229" s="7"/>
      <c r="O229" s="3" t="s">
        <v>55</v>
      </c>
      <c r="P229" s="4">
        <v>46145.0</v>
      </c>
      <c r="R229" s="3" t="s">
        <v>45</v>
      </c>
    </row>
    <row r="230">
      <c r="A230" s="3" t="s">
        <v>384</v>
      </c>
      <c r="B230" s="3" t="s">
        <v>212</v>
      </c>
      <c r="C230" s="3" t="s">
        <v>51</v>
      </c>
      <c r="D230" s="3" t="s">
        <v>22</v>
      </c>
      <c r="E230" s="3" t="s">
        <v>52</v>
      </c>
      <c r="F230" s="3" t="s">
        <v>41</v>
      </c>
      <c r="G230" s="3" t="s">
        <v>34</v>
      </c>
      <c r="H230" s="3" t="s">
        <v>43</v>
      </c>
      <c r="I230" s="3" t="s">
        <v>27</v>
      </c>
      <c r="J230" s="4">
        <v>46132.0</v>
      </c>
      <c r="K230" s="7"/>
      <c r="L230" s="7"/>
      <c r="M230" s="7"/>
      <c r="N230" s="7"/>
      <c r="O230" s="3" t="s">
        <v>104</v>
      </c>
      <c r="P230" s="4">
        <v>46127.0</v>
      </c>
      <c r="R230" s="3" t="s">
        <v>29</v>
      </c>
    </row>
    <row r="231">
      <c r="A231" s="3" t="s">
        <v>385</v>
      </c>
      <c r="B231" s="3" t="s">
        <v>183</v>
      </c>
      <c r="C231" s="3" t="s">
        <v>67</v>
      </c>
      <c r="D231" s="3" t="s">
        <v>67</v>
      </c>
      <c r="E231" s="3" t="s">
        <v>47</v>
      </c>
      <c r="F231" s="3" t="s">
        <v>33</v>
      </c>
      <c r="G231" s="3" t="s">
        <v>75</v>
      </c>
      <c r="H231" s="3" t="s">
        <v>60</v>
      </c>
      <c r="I231" s="3" t="s">
        <v>36</v>
      </c>
      <c r="J231" s="4">
        <v>46095.0</v>
      </c>
      <c r="K231" s="4">
        <v>46100.0</v>
      </c>
      <c r="L231" s="4">
        <v>46109.0</v>
      </c>
      <c r="M231" s="7"/>
      <c r="N231" s="7"/>
      <c r="O231" s="3" t="s">
        <v>44</v>
      </c>
      <c r="P231" s="4">
        <v>46095.0</v>
      </c>
      <c r="R231" s="3" t="s">
        <v>29</v>
      </c>
    </row>
    <row r="232">
      <c r="A232" s="3" t="s">
        <v>386</v>
      </c>
      <c r="B232" s="3" t="s">
        <v>180</v>
      </c>
      <c r="C232" s="3" t="s">
        <v>93</v>
      </c>
      <c r="D232" s="3" t="s">
        <v>89</v>
      </c>
      <c r="E232" s="3" t="s">
        <v>52</v>
      </c>
      <c r="F232" s="3" t="s">
        <v>24</v>
      </c>
      <c r="G232" s="3" t="s">
        <v>181</v>
      </c>
      <c r="H232" s="3" t="s">
        <v>43</v>
      </c>
      <c r="I232" s="3" t="s">
        <v>36</v>
      </c>
      <c r="J232" s="4">
        <v>46068.0</v>
      </c>
      <c r="K232" s="4">
        <v>46072.0</v>
      </c>
      <c r="L232" s="4">
        <v>46084.0</v>
      </c>
      <c r="M232" s="4">
        <v>46088.0</v>
      </c>
      <c r="N232" s="7"/>
      <c r="O232" s="3" t="s">
        <v>76</v>
      </c>
      <c r="P232" s="4">
        <v>46068.0</v>
      </c>
      <c r="R232" s="3" t="s">
        <v>45</v>
      </c>
    </row>
    <row r="233">
      <c r="A233" s="3" t="s">
        <v>387</v>
      </c>
      <c r="B233" s="3" t="s">
        <v>83</v>
      </c>
      <c r="C233" s="3" t="s">
        <v>51</v>
      </c>
      <c r="D233" s="3" t="s">
        <v>22</v>
      </c>
      <c r="E233" s="3" t="s">
        <v>52</v>
      </c>
      <c r="F233" s="3" t="s">
        <v>24</v>
      </c>
      <c r="G233" s="3" t="s">
        <v>121</v>
      </c>
      <c r="H233" s="3" t="s">
        <v>43</v>
      </c>
      <c r="I233" s="3" t="s">
        <v>27</v>
      </c>
      <c r="J233" s="4">
        <v>46107.0</v>
      </c>
      <c r="K233" s="4">
        <v>46112.0</v>
      </c>
      <c r="L233" s="7"/>
      <c r="M233" s="7"/>
      <c r="N233" s="7"/>
      <c r="O233" s="3" t="s">
        <v>37</v>
      </c>
      <c r="P233" s="4">
        <v>46105.0</v>
      </c>
      <c r="R233" s="3" t="s">
        <v>29</v>
      </c>
    </row>
    <row r="234">
      <c r="A234" s="3" t="s">
        <v>388</v>
      </c>
      <c r="B234" s="3" t="s">
        <v>78</v>
      </c>
      <c r="C234" s="3" t="s">
        <v>67</v>
      </c>
      <c r="D234" s="3" t="s">
        <v>67</v>
      </c>
      <c r="E234" s="3" t="s">
        <v>23</v>
      </c>
      <c r="F234" s="3" t="s">
        <v>48</v>
      </c>
      <c r="G234" s="3" t="s">
        <v>25</v>
      </c>
      <c r="H234" s="3" t="s">
        <v>54</v>
      </c>
      <c r="I234" s="3" t="s">
        <v>54</v>
      </c>
      <c r="J234" s="4">
        <v>46145.0</v>
      </c>
      <c r="K234" s="4">
        <v>46150.0</v>
      </c>
      <c r="L234" s="4">
        <v>46160.0</v>
      </c>
      <c r="M234" s="4">
        <v>46166.0</v>
      </c>
      <c r="N234" s="4">
        <v>46181.0</v>
      </c>
      <c r="O234" s="3" t="s">
        <v>28</v>
      </c>
      <c r="P234" s="4">
        <v>46140.0</v>
      </c>
      <c r="Q234" s="3">
        <v>41.0</v>
      </c>
      <c r="R234" s="3" t="s">
        <v>29</v>
      </c>
    </row>
    <row r="235">
      <c r="A235" s="3" t="s">
        <v>389</v>
      </c>
      <c r="B235" s="3" t="s">
        <v>270</v>
      </c>
      <c r="C235" s="3" t="s">
        <v>58</v>
      </c>
      <c r="D235" s="3" t="s">
        <v>58</v>
      </c>
      <c r="E235" s="3" t="s">
        <v>52</v>
      </c>
      <c r="F235" s="3" t="s">
        <v>48</v>
      </c>
      <c r="G235" s="3" t="s">
        <v>70</v>
      </c>
      <c r="H235" s="3" t="s">
        <v>35</v>
      </c>
      <c r="I235" s="3" t="s">
        <v>36</v>
      </c>
      <c r="J235" s="4">
        <v>46030.0</v>
      </c>
      <c r="K235" s="4">
        <v>46036.0</v>
      </c>
      <c r="L235" s="4">
        <v>46050.0</v>
      </c>
      <c r="M235" s="4">
        <v>46058.0</v>
      </c>
      <c r="N235" s="4">
        <v>46086.0</v>
      </c>
      <c r="O235" s="3" t="s">
        <v>28</v>
      </c>
      <c r="P235" s="4">
        <v>46026.0</v>
      </c>
      <c r="Q235" s="3">
        <v>60.0</v>
      </c>
      <c r="R235" s="3" t="s">
        <v>29</v>
      </c>
    </row>
    <row r="236">
      <c r="A236" s="3" t="s">
        <v>390</v>
      </c>
      <c r="B236" s="3" t="s">
        <v>259</v>
      </c>
      <c r="C236" s="3" t="s">
        <v>67</v>
      </c>
      <c r="D236" s="3" t="s">
        <v>67</v>
      </c>
      <c r="E236" s="3" t="s">
        <v>47</v>
      </c>
      <c r="F236" s="3" t="s">
        <v>48</v>
      </c>
      <c r="G236" s="3" t="s">
        <v>90</v>
      </c>
      <c r="H236" s="3" t="s">
        <v>60</v>
      </c>
      <c r="I236" s="3" t="s">
        <v>27</v>
      </c>
      <c r="J236" s="4">
        <v>46080.0</v>
      </c>
      <c r="K236" s="4">
        <v>46086.0</v>
      </c>
      <c r="L236" s="7"/>
      <c r="M236" s="7"/>
      <c r="N236" s="7"/>
      <c r="O236" s="3" t="s">
        <v>37</v>
      </c>
      <c r="P236" s="4">
        <v>46078.0</v>
      </c>
      <c r="R236" s="3" t="s">
        <v>29</v>
      </c>
    </row>
    <row r="237">
      <c r="A237" s="3" t="s">
        <v>391</v>
      </c>
      <c r="B237" s="3" t="s">
        <v>72</v>
      </c>
      <c r="C237" s="3" t="s">
        <v>115</v>
      </c>
      <c r="D237" s="3" t="s">
        <v>115</v>
      </c>
      <c r="E237" s="3" t="s">
        <v>52</v>
      </c>
      <c r="F237" s="3" t="s">
        <v>33</v>
      </c>
      <c r="G237" s="3" t="s">
        <v>121</v>
      </c>
      <c r="H237" s="3" t="s">
        <v>26</v>
      </c>
      <c r="I237" s="3" t="s">
        <v>27</v>
      </c>
      <c r="J237" s="4">
        <v>46075.0</v>
      </c>
      <c r="K237" s="7"/>
      <c r="L237" s="7"/>
      <c r="M237" s="7"/>
      <c r="N237" s="7"/>
      <c r="O237" s="3" t="s">
        <v>104</v>
      </c>
      <c r="P237" s="4">
        <v>46072.0</v>
      </c>
      <c r="R237" s="3" t="s">
        <v>29</v>
      </c>
    </row>
    <row r="238">
      <c r="A238" s="3" t="s">
        <v>392</v>
      </c>
      <c r="B238" s="3" t="s">
        <v>135</v>
      </c>
      <c r="C238" s="3" t="s">
        <v>115</v>
      </c>
      <c r="D238" s="3" t="s">
        <v>115</v>
      </c>
      <c r="E238" s="3" t="s">
        <v>23</v>
      </c>
      <c r="F238" s="3" t="s">
        <v>48</v>
      </c>
      <c r="G238" s="3" t="s">
        <v>63</v>
      </c>
      <c r="H238" s="3" t="s">
        <v>54</v>
      </c>
      <c r="I238" s="3" t="s">
        <v>54</v>
      </c>
      <c r="J238" s="4">
        <v>46048.0</v>
      </c>
      <c r="K238" s="4">
        <v>46053.0</v>
      </c>
      <c r="L238" s="4">
        <v>46063.0</v>
      </c>
      <c r="M238" s="7"/>
      <c r="N238" s="7"/>
      <c r="O238" s="3" t="s">
        <v>44</v>
      </c>
      <c r="P238" s="4">
        <v>46046.0</v>
      </c>
      <c r="R238" s="3" t="s">
        <v>29</v>
      </c>
    </row>
    <row r="239">
      <c r="A239" s="3" t="s">
        <v>393</v>
      </c>
      <c r="B239" s="3" t="s">
        <v>87</v>
      </c>
      <c r="C239" s="3" t="s">
        <v>88</v>
      </c>
      <c r="D239" s="3" t="s">
        <v>89</v>
      </c>
      <c r="E239" s="3" t="s">
        <v>40</v>
      </c>
      <c r="F239" s="3" t="s">
        <v>48</v>
      </c>
      <c r="G239" s="3" t="s">
        <v>129</v>
      </c>
      <c r="H239" s="3" t="s">
        <v>60</v>
      </c>
      <c r="I239" s="3" t="s">
        <v>27</v>
      </c>
      <c r="J239" s="4">
        <v>46044.0</v>
      </c>
      <c r="K239" s="4">
        <v>46048.0</v>
      </c>
      <c r="L239" s="4">
        <v>46062.0</v>
      </c>
      <c r="M239" s="4">
        <v>46067.0</v>
      </c>
      <c r="N239" s="4">
        <v>46085.0</v>
      </c>
      <c r="O239" s="3" t="s">
        <v>28</v>
      </c>
      <c r="P239" s="4">
        <v>46041.0</v>
      </c>
      <c r="Q239" s="3">
        <v>44.0</v>
      </c>
      <c r="R239" s="3" t="s">
        <v>29</v>
      </c>
    </row>
    <row r="240">
      <c r="A240" s="3" t="s">
        <v>394</v>
      </c>
      <c r="B240" s="3" t="s">
        <v>212</v>
      </c>
      <c r="C240" s="3" t="s">
        <v>93</v>
      </c>
      <c r="D240" s="3" t="s">
        <v>89</v>
      </c>
      <c r="E240" s="3" t="s">
        <v>40</v>
      </c>
      <c r="F240" s="3" t="s">
        <v>48</v>
      </c>
      <c r="G240" s="3" t="s">
        <v>181</v>
      </c>
      <c r="H240" s="3" t="s">
        <v>26</v>
      </c>
      <c r="I240" s="3" t="s">
        <v>27</v>
      </c>
      <c r="J240" s="4">
        <v>46079.0</v>
      </c>
      <c r="K240" s="4">
        <v>46083.0</v>
      </c>
      <c r="L240" s="4">
        <v>46091.0</v>
      </c>
      <c r="M240" s="4">
        <v>46098.0</v>
      </c>
      <c r="N240" s="4">
        <v>46127.0</v>
      </c>
      <c r="O240" s="3" t="s">
        <v>28</v>
      </c>
      <c r="P240" s="4">
        <v>46075.0</v>
      </c>
      <c r="Q240" s="3">
        <v>52.0</v>
      </c>
      <c r="R240" s="3" t="s">
        <v>29</v>
      </c>
    </row>
    <row r="241">
      <c r="A241" s="3" t="s">
        <v>395</v>
      </c>
      <c r="B241" s="3" t="s">
        <v>169</v>
      </c>
      <c r="C241" s="3" t="s">
        <v>32</v>
      </c>
      <c r="D241" s="3" t="s">
        <v>22</v>
      </c>
      <c r="E241" s="3" t="s">
        <v>40</v>
      </c>
      <c r="F241" s="3" t="s">
        <v>48</v>
      </c>
      <c r="G241" s="3" t="s">
        <v>90</v>
      </c>
      <c r="H241" s="3" t="s">
        <v>54</v>
      </c>
      <c r="I241" s="3" t="s">
        <v>54</v>
      </c>
      <c r="J241" s="4">
        <v>46116.0</v>
      </c>
      <c r="K241" s="4">
        <v>46120.0</v>
      </c>
      <c r="L241" s="4">
        <v>46132.0</v>
      </c>
      <c r="M241" s="4">
        <v>46135.0</v>
      </c>
      <c r="N241" s="4">
        <v>46160.0</v>
      </c>
      <c r="O241" s="3" t="s">
        <v>28</v>
      </c>
      <c r="P241" s="4">
        <v>46115.0</v>
      </c>
      <c r="Q241" s="3">
        <v>45.0</v>
      </c>
      <c r="R241" s="3" t="s">
        <v>29</v>
      </c>
    </row>
    <row r="242">
      <c r="A242" s="3" t="s">
        <v>396</v>
      </c>
      <c r="B242" s="3" t="s">
        <v>177</v>
      </c>
      <c r="C242" s="3" t="s">
        <v>32</v>
      </c>
      <c r="D242" s="3" t="s">
        <v>22</v>
      </c>
      <c r="E242" s="3" t="s">
        <v>52</v>
      </c>
      <c r="F242" s="3" t="s">
        <v>24</v>
      </c>
      <c r="G242" s="3" t="s">
        <v>34</v>
      </c>
      <c r="H242" s="3" t="s">
        <v>54</v>
      </c>
      <c r="I242" s="3" t="s">
        <v>54</v>
      </c>
      <c r="J242" s="4">
        <v>46157.0</v>
      </c>
      <c r="K242" s="4">
        <v>46164.0</v>
      </c>
      <c r="L242" s="4">
        <v>46170.0</v>
      </c>
      <c r="M242" s="4">
        <v>46176.0</v>
      </c>
      <c r="N242" s="4">
        <v>46188.0</v>
      </c>
      <c r="O242" s="3" t="s">
        <v>28</v>
      </c>
      <c r="P242" s="4">
        <v>46155.0</v>
      </c>
      <c r="Q242" s="3">
        <v>33.0</v>
      </c>
      <c r="R242" s="3" t="s">
        <v>29</v>
      </c>
    </row>
    <row r="243">
      <c r="A243" s="3" t="s">
        <v>397</v>
      </c>
      <c r="B243" s="3" t="s">
        <v>171</v>
      </c>
      <c r="C243" s="3" t="s">
        <v>58</v>
      </c>
      <c r="D243" s="3" t="s">
        <v>58</v>
      </c>
      <c r="E243" s="3" t="s">
        <v>23</v>
      </c>
      <c r="F243" s="3" t="s">
        <v>41</v>
      </c>
      <c r="G243" s="3" t="s">
        <v>25</v>
      </c>
      <c r="H243" s="3" t="s">
        <v>43</v>
      </c>
      <c r="I243" s="3" t="s">
        <v>27</v>
      </c>
      <c r="J243" s="4">
        <v>46024.0</v>
      </c>
      <c r="K243" s="4">
        <v>46031.0</v>
      </c>
      <c r="L243" s="4">
        <v>46044.0</v>
      </c>
      <c r="M243" s="4">
        <v>46051.0</v>
      </c>
      <c r="N243" s="7"/>
      <c r="O243" s="3" t="s">
        <v>104</v>
      </c>
      <c r="P243" s="4">
        <v>46024.0</v>
      </c>
      <c r="R243" s="3" t="s">
        <v>45</v>
      </c>
    </row>
    <row r="244">
      <c r="A244" s="3" t="s">
        <v>398</v>
      </c>
      <c r="B244" s="3" t="s">
        <v>169</v>
      </c>
      <c r="C244" s="3" t="s">
        <v>32</v>
      </c>
      <c r="D244" s="3" t="s">
        <v>22</v>
      </c>
      <c r="E244" s="3" t="s">
        <v>52</v>
      </c>
      <c r="F244" s="3" t="s">
        <v>41</v>
      </c>
      <c r="G244" s="3" t="s">
        <v>34</v>
      </c>
      <c r="H244" s="3" t="s">
        <v>54</v>
      </c>
      <c r="I244" s="3" t="s">
        <v>54</v>
      </c>
      <c r="J244" s="4">
        <v>46137.0</v>
      </c>
      <c r="K244" s="4">
        <v>46141.0</v>
      </c>
      <c r="L244" s="7"/>
      <c r="M244" s="7"/>
      <c r="N244" s="7"/>
      <c r="O244" s="3" t="s">
        <v>37</v>
      </c>
      <c r="P244" s="4">
        <v>46132.0</v>
      </c>
      <c r="R244" s="3" t="s">
        <v>29</v>
      </c>
    </row>
    <row r="245">
      <c r="A245" s="3" t="s">
        <v>399</v>
      </c>
      <c r="B245" s="3" t="s">
        <v>72</v>
      </c>
      <c r="C245" s="3" t="s">
        <v>67</v>
      </c>
      <c r="D245" s="3" t="s">
        <v>67</v>
      </c>
      <c r="E245" s="3" t="s">
        <v>23</v>
      </c>
      <c r="F245" s="3" t="s">
        <v>33</v>
      </c>
      <c r="G245" s="3" t="s">
        <v>81</v>
      </c>
      <c r="H245" s="3" t="s">
        <v>54</v>
      </c>
      <c r="I245" s="3" t="s">
        <v>54</v>
      </c>
      <c r="J245" s="4">
        <v>46142.0</v>
      </c>
      <c r="K245" s="4">
        <v>46146.0</v>
      </c>
      <c r="L245" s="4">
        <v>46152.0</v>
      </c>
      <c r="M245" s="4">
        <v>46160.0</v>
      </c>
      <c r="N245" s="7"/>
      <c r="O245" s="3" t="s">
        <v>104</v>
      </c>
      <c r="P245" s="4">
        <v>46140.0</v>
      </c>
      <c r="R245" s="3" t="s">
        <v>29</v>
      </c>
    </row>
    <row r="246">
      <c r="A246" s="3" t="s">
        <v>400</v>
      </c>
      <c r="B246" s="3" t="s">
        <v>118</v>
      </c>
      <c r="C246" s="3" t="s">
        <v>93</v>
      </c>
      <c r="D246" s="3" t="s">
        <v>89</v>
      </c>
      <c r="E246" s="3" t="s">
        <v>40</v>
      </c>
      <c r="F246" s="3" t="s">
        <v>48</v>
      </c>
      <c r="G246" s="3" t="s">
        <v>99</v>
      </c>
      <c r="H246" s="3" t="s">
        <v>60</v>
      </c>
      <c r="I246" s="3" t="s">
        <v>27</v>
      </c>
      <c r="J246" s="4">
        <v>46106.0</v>
      </c>
      <c r="K246" s="4">
        <v>46111.0</v>
      </c>
      <c r="L246" s="7"/>
      <c r="M246" s="7"/>
      <c r="N246" s="7"/>
      <c r="O246" s="3" t="s">
        <v>55</v>
      </c>
      <c r="P246" s="4">
        <v>46101.0</v>
      </c>
      <c r="R246" s="3" t="s">
        <v>45</v>
      </c>
    </row>
    <row r="247">
      <c r="A247" s="3" t="s">
        <v>401</v>
      </c>
      <c r="B247" s="3" t="s">
        <v>194</v>
      </c>
      <c r="C247" s="3" t="s">
        <v>115</v>
      </c>
      <c r="D247" s="3" t="s">
        <v>115</v>
      </c>
      <c r="E247" s="3" t="s">
        <v>40</v>
      </c>
      <c r="F247" s="3" t="s">
        <v>41</v>
      </c>
      <c r="G247" s="3" t="s">
        <v>84</v>
      </c>
      <c r="H247" s="3" t="s">
        <v>35</v>
      </c>
      <c r="I247" s="3" t="s">
        <v>36</v>
      </c>
      <c r="J247" s="4">
        <v>46102.0</v>
      </c>
      <c r="K247" s="7"/>
      <c r="L247" s="7"/>
      <c r="M247" s="7"/>
      <c r="N247" s="7"/>
      <c r="O247" s="3" t="s">
        <v>55</v>
      </c>
      <c r="P247" s="4">
        <v>46100.0</v>
      </c>
      <c r="R247" s="3" t="s">
        <v>29</v>
      </c>
    </row>
    <row r="248">
      <c r="A248" s="3" t="s">
        <v>402</v>
      </c>
      <c r="B248" s="3" t="s">
        <v>74</v>
      </c>
      <c r="C248" s="3" t="s">
        <v>51</v>
      </c>
      <c r="D248" s="3" t="s">
        <v>22</v>
      </c>
      <c r="E248" s="3" t="s">
        <v>52</v>
      </c>
      <c r="F248" s="3" t="s">
        <v>24</v>
      </c>
      <c r="G248" s="3" t="s">
        <v>99</v>
      </c>
      <c r="H248" s="3" t="s">
        <v>54</v>
      </c>
      <c r="I248" s="3" t="s">
        <v>54</v>
      </c>
      <c r="J248" s="4">
        <v>46152.0</v>
      </c>
      <c r="K248" s="4">
        <v>46158.0</v>
      </c>
      <c r="L248" s="4">
        <v>46166.0</v>
      </c>
      <c r="M248" s="4">
        <v>46176.0</v>
      </c>
      <c r="N248" s="4">
        <v>46198.0</v>
      </c>
      <c r="O248" s="3" t="s">
        <v>28</v>
      </c>
      <c r="P248" s="4">
        <v>46152.0</v>
      </c>
      <c r="Q248" s="3">
        <v>46.0</v>
      </c>
      <c r="R248" s="3" t="s">
        <v>29</v>
      </c>
    </row>
    <row r="249">
      <c r="A249" s="3" t="s">
        <v>403</v>
      </c>
      <c r="B249" s="3" t="s">
        <v>404</v>
      </c>
      <c r="C249" s="3" t="s">
        <v>115</v>
      </c>
      <c r="D249" s="3" t="s">
        <v>115</v>
      </c>
      <c r="E249" s="3" t="s">
        <v>40</v>
      </c>
      <c r="F249" s="3" t="s">
        <v>48</v>
      </c>
      <c r="G249" s="3" t="s">
        <v>42</v>
      </c>
      <c r="H249" s="3" t="s">
        <v>26</v>
      </c>
      <c r="I249" s="3" t="s">
        <v>27</v>
      </c>
      <c r="J249" s="4">
        <v>46104.0</v>
      </c>
      <c r="K249" s="4">
        <v>46108.0</v>
      </c>
      <c r="L249" s="4">
        <v>46115.0</v>
      </c>
      <c r="M249" s="4">
        <v>46119.0</v>
      </c>
      <c r="N249" s="7"/>
      <c r="O249" s="3" t="s">
        <v>76</v>
      </c>
      <c r="P249" s="4">
        <v>46100.0</v>
      </c>
      <c r="R249" s="3" t="s">
        <v>45</v>
      </c>
    </row>
    <row r="250">
      <c r="A250" s="3" t="s">
        <v>405</v>
      </c>
      <c r="B250" s="3" t="s">
        <v>83</v>
      </c>
      <c r="C250" s="3" t="s">
        <v>115</v>
      </c>
      <c r="D250" s="3" t="s">
        <v>115</v>
      </c>
      <c r="E250" s="3" t="s">
        <v>40</v>
      </c>
      <c r="F250" s="3" t="s">
        <v>24</v>
      </c>
      <c r="G250" s="3" t="s">
        <v>42</v>
      </c>
      <c r="H250" s="3" t="s">
        <v>26</v>
      </c>
      <c r="I250" s="3" t="s">
        <v>27</v>
      </c>
      <c r="J250" s="4">
        <v>46167.0</v>
      </c>
      <c r="K250" s="4">
        <v>46174.0</v>
      </c>
      <c r="L250" s="7"/>
      <c r="M250" s="7"/>
      <c r="N250" s="7"/>
      <c r="O250" s="3" t="s">
        <v>37</v>
      </c>
      <c r="P250" s="4">
        <v>46165.0</v>
      </c>
      <c r="R250" s="3" t="s">
        <v>29</v>
      </c>
    </row>
    <row r="251">
      <c r="A251" s="3" t="s">
        <v>406</v>
      </c>
      <c r="B251" s="3" t="s">
        <v>212</v>
      </c>
      <c r="C251" s="3" t="s">
        <v>115</v>
      </c>
      <c r="D251" s="3" t="s">
        <v>115</v>
      </c>
      <c r="E251" s="3" t="s">
        <v>52</v>
      </c>
      <c r="F251" s="3" t="s">
        <v>33</v>
      </c>
      <c r="G251" s="3" t="s">
        <v>121</v>
      </c>
      <c r="H251" s="3" t="s">
        <v>26</v>
      </c>
      <c r="I251" s="3" t="s">
        <v>36</v>
      </c>
      <c r="J251" s="4">
        <v>46156.0</v>
      </c>
      <c r="K251" s="4">
        <v>46161.0</v>
      </c>
      <c r="L251" s="4">
        <v>46168.0</v>
      </c>
      <c r="M251" s="4">
        <v>46174.0</v>
      </c>
      <c r="N251" s="4">
        <v>46191.0</v>
      </c>
      <c r="O251" s="3" t="s">
        <v>28</v>
      </c>
      <c r="P251" s="4">
        <v>46151.0</v>
      </c>
      <c r="Q251" s="3">
        <v>40.0</v>
      </c>
      <c r="R251" s="3" t="s">
        <v>29</v>
      </c>
    </row>
    <row r="252">
      <c r="A252" s="3" t="s">
        <v>407</v>
      </c>
      <c r="B252" s="3" t="s">
        <v>180</v>
      </c>
      <c r="C252" s="3" t="s">
        <v>58</v>
      </c>
      <c r="D252" s="3" t="s">
        <v>58</v>
      </c>
      <c r="E252" s="3" t="s">
        <v>47</v>
      </c>
      <c r="F252" s="3" t="s">
        <v>48</v>
      </c>
      <c r="G252" s="3" t="s">
        <v>63</v>
      </c>
      <c r="H252" s="3" t="s">
        <v>60</v>
      </c>
      <c r="I252" s="3" t="s">
        <v>36</v>
      </c>
      <c r="J252" s="4">
        <v>46036.0</v>
      </c>
      <c r="K252" s="4">
        <v>46042.0</v>
      </c>
      <c r="L252" s="4">
        <v>46052.0</v>
      </c>
      <c r="M252" s="7"/>
      <c r="N252" s="7"/>
      <c r="O252" s="3" t="s">
        <v>104</v>
      </c>
      <c r="P252" s="4">
        <v>46036.0</v>
      </c>
      <c r="R252" s="3" t="s">
        <v>45</v>
      </c>
    </row>
    <row r="253">
      <c r="A253" s="3" t="s">
        <v>408</v>
      </c>
      <c r="B253" s="3" t="s">
        <v>194</v>
      </c>
      <c r="C253" s="3" t="s">
        <v>93</v>
      </c>
      <c r="D253" s="3" t="s">
        <v>89</v>
      </c>
      <c r="E253" s="3" t="s">
        <v>23</v>
      </c>
      <c r="F253" s="3" t="s">
        <v>48</v>
      </c>
      <c r="G253" s="3" t="s">
        <v>63</v>
      </c>
      <c r="H253" s="3" t="s">
        <v>35</v>
      </c>
      <c r="I253" s="3" t="s">
        <v>27</v>
      </c>
      <c r="J253" s="4">
        <v>46115.0</v>
      </c>
      <c r="K253" s="7"/>
      <c r="L253" s="7"/>
      <c r="M253" s="7"/>
      <c r="N253" s="7"/>
      <c r="O253" s="3" t="s">
        <v>104</v>
      </c>
      <c r="P253" s="4">
        <v>46110.0</v>
      </c>
      <c r="R253" s="3" t="s">
        <v>29</v>
      </c>
    </row>
    <row r="254">
      <c r="A254" s="3" t="s">
        <v>409</v>
      </c>
      <c r="B254" s="3" t="s">
        <v>80</v>
      </c>
      <c r="C254" s="3" t="s">
        <v>93</v>
      </c>
      <c r="D254" s="3" t="s">
        <v>89</v>
      </c>
      <c r="E254" s="3" t="s">
        <v>40</v>
      </c>
      <c r="F254" s="3" t="s">
        <v>48</v>
      </c>
      <c r="G254" s="3" t="s">
        <v>59</v>
      </c>
      <c r="H254" s="3" t="s">
        <v>35</v>
      </c>
      <c r="I254" s="3" t="s">
        <v>36</v>
      </c>
      <c r="J254" s="4">
        <v>46076.0</v>
      </c>
      <c r="K254" s="7"/>
      <c r="L254" s="7"/>
      <c r="M254" s="7"/>
      <c r="N254" s="7"/>
      <c r="O254" s="3" t="s">
        <v>55</v>
      </c>
      <c r="P254" s="4">
        <v>46074.0</v>
      </c>
      <c r="R254" s="3" t="s">
        <v>29</v>
      </c>
    </row>
    <row r="255">
      <c r="A255" s="3" t="s">
        <v>410</v>
      </c>
      <c r="B255" s="3" t="s">
        <v>163</v>
      </c>
      <c r="C255" s="3" t="s">
        <v>21</v>
      </c>
      <c r="D255" s="3" t="s">
        <v>22</v>
      </c>
      <c r="E255" s="3" t="s">
        <v>52</v>
      </c>
      <c r="F255" s="3" t="s">
        <v>48</v>
      </c>
      <c r="G255" s="3" t="s">
        <v>121</v>
      </c>
      <c r="H255" s="3" t="s">
        <v>26</v>
      </c>
      <c r="I255" s="3" t="s">
        <v>27</v>
      </c>
      <c r="J255" s="4">
        <v>46035.0</v>
      </c>
      <c r="K255" s="4">
        <v>46041.0</v>
      </c>
      <c r="L255" s="3" t="s">
        <v>411</v>
      </c>
      <c r="M255" s="7"/>
      <c r="N255" s="7"/>
      <c r="O255" s="3" t="s">
        <v>44</v>
      </c>
      <c r="P255" s="4">
        <v>46032.0</v>
      </c>
      <c r="R255" s="3" t="s">
        <v>29</v>
      </c>
    </row>
    <row r="256">
      <c r="A256" s="3" t="s">
        <v>412</v>
      </c>
      <c r="B256" s="3" t="s">
        <v>145</v>
      </c>
      <c r="C256" s="3" t="s">
        <v>21</v>
      </c>
      <c r="D256" s="3" t="s">
        <v>22</v>
      </c>
      <c r="E256" s="3" t="s">
        <v>52</v>
      </c>
      <c r="F256" s="3" t="s">
        <v>33</v>
      </c>
      <c r="G256" s="3" t="s">
        <v>84</v>
      </c>
      <c r="H256" s="3" t="s">
        <v>54</v>
      </c>
      <c r="I256" s="3" t="s">
        <v>54</v>
      </c>
      <c r="J256" s="4">
        <v>46028.0</v>
      </c>
      <c r="K256" s="4">
        <v>46031.0</v>
      </c>
      <c r="L256" s="7"/>
      <c r="M256" s="7"/>
      <c r="N256" s="7"/>
      <c r="O256" s="3" t="s">
        <v>37</v>
      </c>
      <c r="P256" s="4">
        <v>46028.0</v>
      </c>
      <c r="R256" s="3" t="s">
        <v>29</v>
      </c>
    </row>
    <row r="257">
      <c r="A257" s="3" t="s">
        <v>413</v>
      </c>
      <c r="B257" s="3" t="s">
        <v>180</v>
      </c>
      <c r="C257" s="3" t="s">
        <v>58</v>
      </c>
      <c r="D257" s="3" t="s">
        <v>58</v>
      </c>
      <c r="E257" s="3" t="s">
        <v>52</v>
      </c>
      <c r="F257" s="3" t="s">
        <v>48</v>
      </c>
      <c r="G257" s="3" t="s">
        <v>90</v>
      </c>
      <c r="H257" s="3" t="s">
        <v>43</v>
      </c>
      <c r="I257" s="3" t="s">
        <v>27</v>
      </c>
      <c r="J257" s="4">
        <v>46168.0</v>
      </c>
      <c r="K257" s="7"/>
      <c r="L257" s="7"/>
      <c r="M257" s="7"/>
      <c r="N257" s="7"/>
      <c r="O257" s="3" t="s">
        <v>55</v>
      </c>
      <c r="P257" s="4">
        <v>46164.0</v>
      </c>
      <c r="R257" s="3" t="s">
        <v>45</v>
      </c>
    </row>
    <row r="258">
      <c r="A258" s="3" t="s">
        <v>414</v>
      </c>
      <c r="B258" s="3" t="s">
        <v>163</v>
      </c>
      <c r="C258" s="3" t="s">
        <v>93</v>
      </c>
      <c r="D258" s="3" t="s">
        <v>89</v>
      </c>
      <c r="E258" s="3" t="s">
        <v>40</v>
      </c>
      <c r="F258" s="3" t="s">
        <v>33</v>
      </c>
      <c r="G258" s="3" t="s">
        <v>70</v>
      </c>
      <c r="H258" s="3" t="s">
        <v>43</v>
      </c>
      <c r="I258" s="3" t="s">
        <v>36</v>
      </c>
      <c r="J258" s="4">
        <v>46067.0</v>
      </c>
      <c r="K258" s="4">
        <v>46072.0</v>
      </c>
      <c r="L258" s="4">
        <v>46078.0</v>
      </c>
      <c r="M258" s="4">
        <v>46082.0</v>
      </c>
      <c r="N258" s="7"/>
      <c r="O258" s="3" t="s">
        <v>76</v>
      </c>
      <c r="P258" s="4">
        <v>46066.0</v>
      </c>
      <c r="R258" s="3" t="s">
        <v>29</v>
      </c>
    </row>
    <row r="259">
      <c r="A259" s="3" t="s">
        <v>415</v>
      </c>
      <c r="B259" s="3" t="s">
        <v>72</v>
      </c>
      <c r="C259" s="3" t="s">
        <v>51</v>
      </c>
      <c r="D259" s="3" t="s">
        <v>22</v>
      </c>
      <c r="E259" s="3" t="s">
        <v>23</v>
      </c>
      <c r="F259" s="3" t="s">
        <v>41</v>
      </c>
      <c r="G259" s="3" t="s">
        <v>129</v>
      </c>
      <c r="H259" s="3" t="s">
        <v>60</v>
      </c>
      <c r="I259" s="3" t="s">
        <v>27</v>
      </c>
      <c r="J259" s="4">
        <v>46056.0</v>
      </c>
      <c r="K259" s="4">
        <v>46061.0</v>
      </c>
      <c r="L259" s="4">
        <v>46072.0</v>
      </c>
      <c r="M259" s="4">
        <v>46078.0</v>
      </c>
      <c r="N259" s="7"/>
      <c r="O259" s="3" t="s">
        <v>104</v>
      </c>
      <c r="P259" s="4">
        <v>46051.0</v>
      </c>
      <c r="R259" s="3" t="s">
        <v>29</v>
      </c>
    </row>
    <row r="260">
      <c r="A260" s="3" t="s">
        <v>416</v>
      </c>
      <c r="B260" s="3" t="s">
        <v>145</v>
      </c>
      <c r="C260" s="3" t="s">
        <v>115</v>
      </c>
      <c r="D260" s="3" t="s">
        <v>115</v>
      </c>
      <c r="E260" s="3" t="s">
        <v>52</v>
      </c>
      <c r="F260" s="3" t="s">
        <v>41</v>
      </c>
      <c r="G260" s="3" t="s">
        <v>102</v>
      </c>
      <c r="H260" s="3" t="s">
        <v>35</v>
      </c>
      <c r="I260" s="3" t="s">
        <v>36</v>
      </c>
      <c r="J260" s="4">
        <v>46133.0</v>
      </c>
      <c r="K260" s="4">
        <v>46137.0</v>
      </c>
      <c r="L260" s="4">
        <v>46151.0</v>
      </c>
      <c r="M260" s="7"/>
      <c r="N260" s="7"/>
      <c r="O260" s="3" t="s">
        <v>44</v>
      </c>
      <c r="P260" s="4">
        <v>46133.0</v>
      </c>
      <c r="R260" s="3" t="s">
        <v>29</v>
      </c>
    </row>
    <row r="261">
      <c r="A261" s="3" t="s">
        <v>417</v>
      </c>
      <c r="B261" s="3" t="s">
        <v>72</v>
      </c>
      <c r="C261" s="3" t="s">
        <v>32</v>
      </c>
      <c r="D261" s="3" t="s">
        <v>22</v>
      </c>
      <c r="E261" s="3" t="s">
        <v>23</v>
      </c>
      <c r="F261" s="3" t="s">
        <v>33</v>
      </c>
      <c r="G261" s="3" t="s">
        <v>81</v>
      </c>
      <c r="H261" s="3" t="s">
        <v>26</v>
      </c>
      <c r="I261" s="3" t="s">
        <v>27</v>
      </c>
      <c r="J261" s="4">
        <v>46034.0</v>
      </c>
      <c r="K261" s="4">
        <v>46041.0</v>
      </c>
      <c r="L261" s="4">
        <v>46048.0</v>
      </c>
      <c r="M261" s="4">
        <v>46056.0</v>
      </c>
      <c r="N261" s="7"/>
      <c r="O261" s="3" t="s">
        <v>76</v>
      </c>
      <c r="P261" s="4">
        <v>46030.0</v>
      </c>
      <c r="R261" s="3" t="s">
        <v>29</v>
      </c>
    </row>
    <row r="262">
      <c r="A262" s="3" t="s">
        <v>418</v>
      </c>
      <c r="B262" s="3" t="s">
        <v>83</v>
      </c>
      <c r="C262" s="3" t="s">
        <v>51</v>
      </c>
      <c r="D262" s="3" t="s">
        <v>22</v>
      </c>
      <c r="E262" s="3" t="s">
        <v>40</v>
      </c>
      <c r="F262" s="3" t="s">
        <v>33</v>
      </c>
      <c r="G262" s="3" t="s">
        <v>121</v>
      </c>
      <c r="H262" s="3" t="s">
        <v>43</v>
      </c>
      <c r="I262" s="3" t="s">
        <v>36</v>
      </c>
      <c r="J262" s="4">
        <v>46074.0</v>
      </c>
      <c r="K262" s="4">
        <v>46081.0</v>
      </c>
      <c r="L262" s="4">
        <v>46089.0</v>
      </c>
      <c r="M262" s="4">
        <v>46093.0</v>
      </c>
      <c r="N262" s="7"/>
      <c r="O262" s="3" t="s">
        <v>76</v>
      </c>
      <c r="P262" s="4">
        <v>46073.0</v>
      </c>
      <c r="R262" s="3" t="s">
        <v>29</v>
      </c>
    </row>
    <row r="263">
      <c r="A263" s="3" t="s">
        <v>419</v>
      </c>
      <c r="B263" s="3" t="s">
        <v>183</v>
      </c>
      <c r="C263" s="3" t="s">
        <v>21</v>
      </c>
      <c r="D263" s="3" t="s">
        <v>22</v>
      </c>
      <c r="E263" s="3" t="s">
        <v>47</v>
      </c>
      <c r="F263" s="3" t="s">
        <v>48</v>
      </c>
      <c r="G263" s="3" t="s">
        <v>110</v>
      </c>
      <c r="H263" s="3" t="s">
        <v>54</v>
      </c>
      <c r="I263" s="3" t="s">
        <v>54</v>
      </c>
      <c r="J263" s="4">
        <v>46161.0</v>
      </c>
      <c r="K263" s="7"/>
      <c r="L263" s="7"/>
      <c r="M263" s="7"/>
      <c r="N263" s="7"/>
      <c r="O263" s="3" t="s">
        <v>104</v>
      </c>
      <c r="P263" s="4">
        <v>46161.0</v>
      </c>
      <c r="R263" s="3" t="s">
        <v>29</v>
      </c>
    </row>
    <row r="264">
      <c r="A264" s="3" t="s">
        <v>420</v>
      </c>
      <c r="B264" s="3" t="s">
        <v>200</v>
      </c>
      <c r="C264" s="3" t="s">
        <v>93</v>
      </c>
      <c r="D264" s="3" t="s">
        <v>89</v>
      </c>
      <c r="E264" s="3" t="s">
        <v>47</v>
      </c>
      <c r="F264" s="3" t="s">
        <v>48</v>
      </c>
      <c r="G264" s="3" t="s">
        <v>25</v>
      </c>
      <c r="H264" s="3" t="s">
        <v>60</v>
      </c>
      <c r="I264" s="3" t="s">
        <v>27</v>
      </c>
      <c r="J264" s="4">
        <v>46155.0</v>
      </c>
      <c r="K264" s="4">
        <v>46160.0</v>
      </c>
      <c r="L264" s="4">
        <v>46166.0</v>
      </c>
      <c r="M264" s="4">
        <v>46172.0</v>
      </c>
      <c r="N264" s="7"/>
      <c r="O264" s="3" t="s">
        <v>76</v>
      </c>
      <c r="P264" s="4">
        <v>46150.0</v>
      </c>
      <c r="R264" s="3" t="s">
        <v>29</v>
      </c>
    </row>
    <row r="265">
      <c r="A265" s="3" t="s">
        <v>421</v>
      </c>
      <c r="B265" s="3" t="s">
        <v>101</v>
      </c>
      <c r="C265" s="3" t="s">
        <v>115</v>
      </c>
      <c r="D265" s="3" t="s">
        <v>115</v>
      </c>
      <c r="E265" s="3" t="s">
        <v>47</v>
      </c>
      <c r="F265" s="3" t="s">
        <v>24</v>
      </c>
      <c r="G265" s="3" t="s">
        <v>129</v>
      </c>
      <c r="H265" s="3" t="s">
        <v>35</v>
      </c>
      <c r="I265" s="3" t="s">
        <v>27</v>
      </c>
      <c r="J265" s="4">
        <v>46068.0</v>
      </c>
      <c r="K265" s="4">
        <v>46074.0</v>
      </c>
      <c r="L265" s="3" t="s">
        <v>422</v>
      </c>
      <c r="M265" s="4">
        <v>46086.0</v>
      </c>
      <c r="N265" s="4">
        <v>46105.0</v>
      </c>
      <c r="O265" s="3" t="s">
        <v>28</v>
      </c>
      <c r="P265" s="4">
        <v>46068.0</v>
      </c>
      <c r="Q265" s="3">
        <v>37.0</v>
      </c>
      <c r="R265" s="3" t="s">
        <v>29</v>
      </c>
    </row>
    <row r="266">
      <c r="A266" s="3" t="s">
        <v>423</v>
      </c>
      <c r="B266" s="3" t="s">
        <v>265</v>
      </c>
      <c r="C266" s="3" t="s">
        <v>67</v>
      </c>
      <c r="D266" s="3" t="s">
        <v>67</v>
      </c>
      <c r="E266" s="3" t="s">
        <v>47</v>
      </c>
      <c r="F266" s="3" t="s">
        <v>33</v>
      </c>
      <c r="G266" s="3" t="s">
        <v>42</v>
      </c>
      <c r="H266" s="3" t="s">
        <v>35</v>
      </c>
      <c r="I266" s="3" t="s">
        <v>36</v>
      </c>
      <c r="J266" s="4">
        <v>46074.0</v>
      </c>
      <c r="K266" s="4">
        <v>46081.0</v>
      </c>
      <c r="L266" s="7"/>
      <c r="M266" s="7"/>
      <c r="N266" s="7"/>
      <c r="O266" s="3" t="s">
        <v>37</v>
      </c>
      <c r="P266" s="4">
        <v>46073.0</v>
      </c>
      <c r="R266" s="3" t="s">
        <v>29</v>
      </c>
    </row>
    <row r="267">
      <c r="A267" s="3" t="s">
        <v>424</v>
      </c>
      <c r="B267" s="3" t="s">
        <v>83</v>
      </c>
      <c r="C267" s="3" t="s">
        <v>67</v>
      </c>
      <c r="D267" s="3" t="s">
        <v>67</v>
      </c>
      <c r="E267" s="3" t="s">
        <v>40</v>
      </c>
      <c r="F267" s="3" t="s">
        <v>48</v>
      </c>
      <c r="G267" s="3" t="s">
        <v>25</v>
      </c>
      <c r="H267" s="3" t="s">
        <v>54</v>
      </c>
      <c r="I267" s="3" t="s">
        <v>54</v>
      </c>
      <c r="J267" s="4">
        <v>46047.0</v>
      </c>
      <c r="K267" s="4">
        <v>46049.0</v>
      </c>
      <c r="L267" s="4">
        <v>46062.0</v>
      </c>
      <c r="M267" s="4">
        <v>46071.0</v>
      </c>
      <c r="N267" s="4">
        <v>46091.0</v>
      </c>
      <c r="O267" s="3" t="s">
        <v>28</v>
      </c>
      <c r="P267" s="4">
        <v>46043.0</v>
      </c>
      <c r="Q267" s="3">
        <v>48.0</v>
      </c>
      <c r="R267" s="3" t="s">
        <v>29</v>
      </c>
    </row>
    <row r="268">
      <c r="A268" s="3" t="s">
        <v>425</v>
      </c>
      <c r="B268" s="3" t="s">
        <v>92</v>
      </c>
      <c r="C268" s="3" t="s">
        <v>88</v>
      </c>
      <c r="D268" s="3" t="s">
        <v>89</v>
      </c>
      <c r="E268" s="3" t="s">
        <v>47</v>
      </c>
      <c r="F268" s="3" t="s">
        <v>24</v>
      </c>
      <c r="G268" s="3" t="s">
        <v>110</v>
      </c>
      <c r="H268" s="3" t="s">
        <v>60</v>
      </c>
      <c r="I268" s="3" t="s">
        <v>27</v>
      </c>
      <c r="J268" s="4">
        <v>46154.0</v>
      </c>
      <c r="K268" s="4">
        <v>46161.0</v>
      </c>
      <c r="L268" s="4">
        <v>46170.0</v>
      </c>
      <c r="M268" s="7"/>
      <c r="N268" s="7"/>
      <c r="O268" s="3" t="s">
        <v>44</v>
      </c>
      <c r="P268" s="4">
        <v>46152.0</v>
      </c>
      <c r="R268" s="3" t="s">
        <v>29</v>
      </c>
    </row>
    <row r="269">
      <c r="A269" s="3" t="s">
        <v>426</v>
      </c>
      <c r="B269" s="3" t="s">
        <v>295</v>
      </c>
      <c r="C269" s="3" t="s">
        <v>21</v>
      </c>
      <c r="D269" s="3" t="s">
        <v>22</v>
      </c>
      <c r="E269" s="3" t="s">
        <v>23</v>
      </c>
      <c r="F269" s="3" t="s">
        <v>24</v>
      </c>
      <c r="G269" s="3" t="s">
        <v>34</v>
      </c>
      <c r="H269" s="3" t="s">
        <v>26</v>
      </c>
      <c r="I269" s="3" t="s">
        <v>27</v>
      </c>
      <c r="J269" s="4">
        <v>46170.0</v>
      </c>
      <c r="K269" s="4">
        <v>46174.0</v>
      </c>
      <c r="L269" s="4">
        <v>46185.0</v>
      </c>
      <c r="M269" s="4">
        <v>46189.0</v>
      </c>
      <c r="N269" s="4">
        <v>46210.0</v>
      </c>
      <c r="O269" s="3" t="s">
        <v>28</v>
      </c>
      <c r="P269" s="4">
        <v>46167.0</v>
      </c>
      <c r="Q269" s="3">
        <v>43.0</v>
      </c>
      <c r="R269" s="3" t="s">
        <v>29</v>
      </c>
    </row>
    <row r="270">
      <c r="A270" s="3" t="s">
        <v>427</v>
      </c>
      <c r="B270" s="3" t="s">
        <v>165</v>
      </c>
      <c r="C270" s="3" t="s">
        <v>51</v>
      </c>
      <c r="D270" s="3" t="s">
        <v>22</v>
      </c>
      <c r="E270" s="3" t="s">
        <v>47</v>
      </c>
      <c r="F270" s="3" t="s">
        <v>33</v>
      </c>
      <c r="G270" s="3" t="s">
        <v>181</v>
      </c>
      <c r="H270" s="3" t="s">
        <v>35</v>
      </c>
      <c r="I270" s="3" t="s">
        <v>36</v>
      </c>
      <c r="J270" s="4">
        <v>46133.0</v>
      </c>
      <c r="K270" s="4">
        <v>46139.0</v>
      </c>
      <c r="L270" s="4">
        <v>46151.0</v>
      </c>
      <c r="M270" s="7"/>
      <c r="N270" s="7"/>
      <c r="O270" s="3" t="s">
        <v>44</v>
      </c>
      <c r="P270" s="4">
        <v>46128.0</v>
      </c>
      <c r="R270" s="3" t="s">
        <v>29</v>
      </c>
    </row>
    <row r="271">
      <c r="A271" s="3" t="s">
        <v>428</v>
      </c>
      <c r="B271" s="3" t="s">
        <v>194</v>
      </c>
      <c r="C271" s="3" t="s">
        <v>93</v>
      </c>
      <c r="D271" s="3" t="s">
        <v>89</v>
      </c>
      <c r="E271" s="3" t="s">
        <v>47</v>
      </c>
      <c r="F271" s="3" t="s">
        <v>33</v>
      </c>
      <c r="G271" s="3" t="s">
        <v>181</v>
      </c>
      <c r="H271" s="3" t="s">
        <v>60</v>
      </c>
      <c r="I271" s="3" t="s">
        <v>27</v>
      </c>
      <c r="J271" s="4">
        <v>46046.0</v>
      </c>
      <c r="K271" s="4">
        <v>46051.0</v>
      </c>
      <c r="L271" s="4">
        <v>46061.0</v>
      </c>
      <c r="M271" s="4">
        <v>46067.0</v>
      </c>
      <c r="N271" s="4">
        <v>46080.0</v>
      </c>
      <c r="O271" s="3" t="s">
        <v>28</v>
      </c>
      <c r="P271" s="4">
        <v>46046.0</v>
      </c>
      <c r="Q271" s="3">
        <v>34.0</v>
      </c>
      <c r="R271" s="3" t="s">
        <v>29</v>
      </c>
    </row>
    <row r="272">
      <c r="A272" s="3" t="s">
        <v>429</v>
      </c>
      <c r="B272" s="3" t="s">
        <v>161</v>
      </c>
      <c r="C272" s="3" t="s">
        <v>115</v>
      </c>
      <c r="D272" s="3" t="s">
        <v>115</v>
      </c>
      <c r="E272" s="3" t="s">
        <v>47</v>
      </c>
      <c r="F272" s="3" t="s">
        <v>33</v>
      </c>
      <c r="G272" s="3" t="s">
        <v>94</v>
      </c>
      <c r="H272" s="3" t="s">
        <v>43</v>
      </c>
      <c r="I272" s="3" t="s">
        <v>36</v>
      </c>
      <c r="J272" s="4">
        <v>46062.0</v>
      </c>
      <c r="K272" s="4">
        <v>46069.0</v>
      </c>
      <c r="L272" s="4">
        <v>46075.0</v>
      </c>
      <c r="M272" s="4">
        <v>46080.0</v>
      </c>
      <c r="N272" s="7"/>
      <c r="O272" s="3" t="s">
        <v>55</v>
      </c>
      <c r="P272" s="4">
        <v>46059.0</v>
      </c>
      <c r="R272" s="3" t="s">
        <v>45</v>
      </c>
    </row>
    <row r="273">
      <c r="A273" s="3" t="s">
        <v>430</v>
      </c>
      <c r="B273" s="3" t="s">
        <v>301</v>
      </c>
      <c r="C273" s="3" t="s">
        <v>93</v>
      </c>
      <c r="D273" s="3" t="s">
        <v>89</v>
      </c>
      <c r="E273" s="3" t="s">
        <v>23</v>
      </c>
      <c r="F273" s="3" t="s">
        <v>41</v>
      </c>
      <c r="G273" s="3" t="s">
        <v>70</v>
      </c>
      <c r="H273" s="3" t="s">
        <v>60</v>
      </c>
      <c r="I273" s="3" t="s">
        <v>27</v>
      </c>
      <c r="J273" s="4">
        <v>46086.0</v>
      </c>
      <c r="K273" s="4">
        <v>46089.0</v>
      </c>
      <c r="L273" s="4">
        <v>46095.0</v>
      </c>
      <c r="M273" s="7"/>
      <c r="N273" s="7"/>
      <c r="O273" s="3" t="s">
        <v>44</v>
      </c>
      <c r="P273" s="4">
        <v>46081.0</v>
      </c>
      <c r="R273" s="3" t="s">
        <v>45</v>
      </c>
    </row>
    <row r="274">
      <c r="A274" s="3" t="s">
        <v>431</v>
      </c>
      <c r="B274" s="3" t="s">
        <v>185</v>
      </c>
      <c r="C274" s="3" t="s">
        <v>21</v>
      </c>
      <c r="D274" s="3" t="s">
        <v>22</v>
      </c>
      <c r="E274" s="3" t="s">
        <v>47</v>
      </c>
      <c r="F274" s="3" t="s">
        <v>41</v>
      </c>
      <c r="G274" s="3" t="s">
        <v>102</v>
      </c>
      <c r="H274" s="3" t="s">
        <v>26</v>
      </c>
      <c r="I274" s="3" t="s">
        <v>36</v>
      </c>
      <c r="J274" s="4">
        <v>46118.0</v>
      </c>
      <c r="K274" s="4">
        <v>46125.0</v>
      </c>
      <c r="L274" s="7"/>
      <c r="M274" s="7"/>
      <c r="N274" s="7"/>
      <c r="O274" s="3" t="s">
        <v>104</v>
      </c>
      <c r="P274" s="4">
        <v>46114.0</v>
      </c>
      <c r="R274" s="3" t="s">
        <v>29</v>
      </c>
    </row>
    <row r="275">
      <c r="A275" s="3" t="s">
        <v>432</v>
      </c>
      <c r="B275" s="3" t="s">
        <v>120</v>
      </c>
      <c r="C275" s="3" t="s">
        <v>58</v>
      </c>
      <c r="D275" s="3" t="s">
        <v>58</v>
      </c>
      <c r="E275" s="3" t="s">
        <v>40</v>
      </c>
      <c r="F275" s="3" t="s">
        <v>41</v>
      </c>
      <c r="G275" s="3" t="s">
        <v>181</v>
      </c>
      <c r="H275" s="3" t="s">
        <v>43</v>
      </c>
      <c r="I275" s="3" t="s">
        <v>27</v>
      </c>
      <c r="J275" s="4">
        <v>46065.0</v>
      </c>
      <c r="K275" s="4">
        <v>46068.0</v>
      </c>
      <c r="L275" s="7"/>
      <c r="M275" s="7"/>
      <c r="N275" s="7"/>
      <c r="O275" s="3" t="s">
        <v>37</v>
      </c>
      <c r="P275" s="4">
        <v>46060.0</v>
      </c>
      <c r="R275" s="3" t="s">
        <v>45</v>
      </c>
    </row>
    <row r="276">
      <c r="A276" s="3" t="s">
        <v>434</v>
      </c>
      <c r="B276" s="3" t="s">
        <v>123</v>
      </c>
      <c r="C276" s="3" t="s">
        <v>58</v>
      </c>
      <c r="D276" s="3" t="s">
        <v>58</v>
      </c>
      <c r="E276" s="3" t="s">
        <v>40</v>
      </c>
      <c r="F276" s="3" t="s">
        <v>48</v>
      </c>
      <c r="G276" s="3" t="s">
        <v>34</v>
      </c>
      <c r="H276" s="3" t="s">
        <v>35</v>
      </c>
      <c r="I276" s="3" t="s">
        <v>27</v>
      </c>
      <c r="J276" s="4">
        <v>46105.0</v>
      </c>
      <c r="K276" s="4">
        <v>46110.0</v>
      </c>
      <c r="L276" s="7"/>
      <c r="M276" s="7"/>
      <c r="N276" s="7"/>
      <c r="O276" s="3" t="s">
        <v>104</v>
      </c>
      <c r="P276" s="4">
        <v>46100.0</v>
      </c>
      <c r="R276" s="3" t="s">
        <v>29</v>
      </c>
    </row>
    <row r="277">
      <c r="A277" s="3" t="s">
        <v>436</v>
      </c>
      <c r="B277" s="3" t="s">
        <v>262</v>
      </c>
      <c r="C277" s="3" t="s">
        <v>51</v>
      </c>
      <c r="D277" s="3" t="s">
        <v>22</v>
      </c>
      <c r="E277" s="3" t="s">
        <v>23</v>
      </c>
      <c r="F277" s="3" t="s">
        <v>33</v>
      </c>
      <c r="G277" s="3" t="s">
        <v>102</v>
      </c>
      <c r="H277" s="3" t="s">
        <v>54</v>
      </c>
      <c r="I277" s="3" t="s">
        <v>54</v>
      </c>
      <c r="J277" s="4">
        <v>46050.0</v>
      </c>
      <c r="K277" s="7"/>
      <c r="L277" s="7"/>
      <c r="M277" s="7"/>
      <c r="N277" s="7"/>
      <c r="O277" s="3" t="s">
        <v>104</v>
      </c>
      <c r="P277" s="4">
        <v>46046.0</v>
      </c>
      <c r="R277" s="3" t="s">
        <v>45</v>
      </c>
    </row>
    <row r="278">
      <c r="A278" s="3" t="s">
        <v>437</v>
      </c>
      <c r="B278" s="3" t="s">
        <v>118</v>
      </c>
      <c r="C278" s="3" t="s">
        <v>32</v>
      </c>
      <c r="D278" s="3" t="s">
        <v>22</v>
      </c>
      <c r="E278" s="3" t="s">
        <v>47</v>
      </c>
      <c r="F278" s="3" t="s">
        <v>41</v>
      </c>
      <c r="G278" s="3" t="s">
        <v>63</v>
      </c>
      <c r="H278" s="3" t="s">
        <v>54</v>
      </c>
      <c r="I278" s="3" t="s">
        <v>54</v>
      </c>
      <c r="J278" s="4">
        <v>46157.0</v>
      </c>
      <c r="K278" s="4">
        <v>46163.0</v>
      </c>
      <c r="L278" s="4">
        <v>46176.0</v>
      </c>
      <c r="M278" s="4">
        <v>46181.0</v>
      </c>
      <c r="N278" s="7"/>
      <c r="O278" s="3" t="s">
        <v>76</v>
      </c>
      <c r="P278" s="4">
        <v>46153.0</v>
      </c>
      <c r="R278" s="3" t="s">
        <v>45</v>
      </c>
    </row>
    <row r="279">
      <c r="A279" s="3" t="s">
        <v>438</v>
      </c>
      <c r="B279" s="3" t="s">
        <v>262</v>
      </c>
      <c r="C279" s="3" t="s">
        <v>32</v>
      </c>
      <c r="D279" s="3" t="s">
        <v>22</v>
      </c>
      <c r="E279" s="3" t="s">
        <v>23</v>
      </c>
      <c r="F279" s="3" t="s">
        <v>24</v>
      </c>
      <c r="G279" s="3" t="s">
        <v>149</v>
      </c>
      <c r="H279" s="3" t="s">
        <v>54</v>
      </c>
      <c r="I279" s="3" t="s">
        <v>54</v>
      </c>
      <c r="J279" s="4">
        <v>46034.0</v>
      </c>
      <c r="K279" s="4">
        <v>46039.0</v>
      </c>
      <c r="L279" s="7"/>
      <c r="M279" s="7"/>
      <c r="N279" s="7"/>
      <c r="O279" s="3" t="s">
        <v>55</v>
      </c>
      <c r="P279" s="4">
        <v>46032.0</v>
      </c>
      <c r="R279" s="3" t="s">
        <v>45</v>
      </c>
    </row>
    <row r="280">
      <c r="A280" s="3" t="s">
        <v>439</v>
      </c>
      <c r="B280" s="3" t="s">
        <v>169</v>
      </c>
      <c r="C280" s="3" t="s">
        <v>32</v>
      </c>
      <c r="D280" s="3" t="s">
        <v>22</v>
      </c>
      <c r="E280" s="3" t="s">
        <v>40</v>
      </c>
      <c r="F280" s="3" t="s">
        <v>24</v>
      </c>
      <c r="G280" s="3" t="s">
        <v>81</v>
      </c>
      <c r="H280" s="3" t="s">
        <v>54</v>
      </c>
      <c r="I280" s="3" t="s">
        <v>54</v>
      </c>
      <c r="J280" s="4">
        <v>46044.0</v>
      </c>
      <c r="K280" s="4">
        <v>46050.0</v>
      </c>
      <c r="L280" s="4">
        <v>46064.0</v>
      </c>
      <c r="M280" s="7"/>
      <c r="N280" s="7"/>
      <c r="O280" s="3" t="s">
        <v>104</v>
      </c>
      <c r="P280" s="4">
        <v>46043.0</v>
      </c>
      <c r="R280" s="3" t="s">
        <v>29</v>
      </c>
    </row>
    <row r="281">
      <c r="A281" s="3" t="s">
        <v>440</v>
      </c>
      <c r="B281" s="3" t="s">
        <v>212</v>
      </c>
      <c r="C281" s="3" t="s">
        <v>88</v>
      </c>
      <c r="D281" s="3" t="s">
        <v>89</v>
      </c>
      <c r="E281" s="3" t="s">
        <v>47</v>
      </c>
      <c r="F281" s="3" t="s">
        <v>48</v>
      </c>
      <c r="G281" s="3" t="s">
        <v>121</v>
      </c>
      <c r="H281" s="3" t="s">
        <v>60</v>
      </c>
      <c r="I281" s="3" t="s">
        <v>27</v>
      </c>
      <c r="J281" s="4">
        <v>46061.0</v>
      </c>
      <c r="K281" s="4">
        <v>46065.0</v>
      </c>
      <c r="L281" s="4">
        <v>46076.0</v>
      </c>
      <c r="M281" s="7"/>
      <c r="N281" s="7"/>
      <c r="O281" s="3" t="s">
        <v>55</v>
      </c>
      <c r="P281" s="4">
        <v>46059.0</v>
      </c>
      <c r="R281" s="3" t="s">
        <v>29</v>
      </c>
    </row>
    <row r="282">
      <c r="A282" s="3" t="s">
        <v>441</v>
      </c>
      <c r="B282" s="3" t="s">
        <v>169</v>
      </c>
      <c r="C282" s="3" t="s">
        <v>67</v>
      </c>
      <c r="D282" s="3" t="s">
        <v>67</v>
      </c>
      <c r="E282" s="3" t="s">
        <v>40</v>
      </c>
      <c r="F282" s="3" t="s">
        <v>33</v>
      </c>
      <c r="G282" s="3" t="s">
        <v>181</v>
      </c>
      <c r="H282" s="3" t="s">
        <v>54</v>
      </c>
      <c r="I282" s="3" t="s">
        <v>54</v>
      </c>
      <c r="J282" s="4">
        <v>46126.0</v>
      </c>
      <c r="K282" s="4">
        <v>46133.0</v>
      </c>
      <c r="L282" s="4">
        <v>46144.0</v>
      </c>
      <c r="M282" s="7"/>
      <c r="N282" s="7"/>
      <c r="O282" s="3" t="s">
        <v>44</v>
      </c>
      <c r="P282" s="4">
        <v>46123.0</v>
      </c>
      <c r="R282" s="3" t="s">
        <v>29</v>
      </c>
    </row>
    <row r="283">
      <c r="A283" s="3" t="s">
        <v>443</v>
      </c>
      <c r="B283" s="3" t="s">
        <v>225</v>
      </c>
      <c r="C283" s="3" t="s">
        <v>67</v>
      </c>
      <c r="D283" s="3" t="s">
        <v>67</v>
      </c>
      <c r="E283" s="3" t="s">
        <v>52</v>
      </c>
      <c r="F283" s="3" t="s">
        <v>48</v>
      </c>
      <c r="G283" s="3" t="s">
        <v>99</v>
      </c>
      <c r="H283" s="3" t="s">
        <v>43</v>
      </c>
      <c r="I283" s="3" t="s">
        <v>36</v>
      </c>
      <c r="J283" s="4">
        <v>46144.0</v>
      </c>
      <c r="K283" s="4">
        <v>46147.0</v>
      </c>
      <c r="L283" s="4">
        <v>46156.0</v>
      </c>
      <c r="M283" s="4">
        <v>46161.0</v>
      </c>
      <c r="N283" s="4">
        <v>46182.0</v>
      </c>
      <c r="O283" s="3" t="s">
        <v>28</v>
      </c>
      <c r="P283" s="4">
        <v>46142.0</v>
      </c>
      <c r="Q283" s="3">
        <v>40.0</v>
      </c>
      <c r="R283" s="3" t="s">
        <v>29</v>
      </c>
    </row>
    <row r="284">
      <c r="A284" s="3" t="s">
        <v>444</v>
      </c>
      <c r="B284" s="3" t="s">
        <v>126</v>
      </c>
      <c r="C284" s="3" t="s">
        <v>58</v>
      </c>
      <c r="D284" s="3" t="s">
        <v>58</v>
      </c>
      <c r="E284" s="3" t="s">
        <v>40</v>
      </c>
      <c r="F284" s="3" t="s">
        <v>48</v>
      </c>
      <c r="G284" s="3" t="s">
        <v>81</v>
      </c>
      <c r="H284" s="3" t="s">
        <v>54</v>
      </c>
      <c r="I284" s="3" t="s">
        <v>54</v>
      </c>
      <c r="J284" s="4">
        <v>46058.0</v>
      </c>
      <c r="K284" s="4">
        <v>46061.0</v>
      </c>
      <c r="L284" s="4">
        <v>46068.0</v>
      </c>
      <c r="M284" s="4">
        <v>46075.0</v>
      </c>
      <c r="N284" s="4">
        <v>46103.0</v>
      </c>
      <c r="O284" s="3" t="s">
        <v>28</v>
      </c>
      <c r="P284" s="4">
        <v>46058.0</v>
      </c>
      <c r="Q284" s="3">
        <v>45.0</v>
      </c>
      <c r="R284" s="3" t="s">
        <v>29</v>
      </c>
    </row>
    <row r="285">
      <c r="A285" s="3" t="s">
        <v>445</v>
      </c>
      <c r="B285" s="3" t="s">
        <v>163</v>
      </c>
      <c r="C285" s="3" t="s">
        <v>115</v>
      </c>
      <c r="D285" s="3" t="s">
        <v>115</v>
      </c>
      <c r="E285" s="3" t="s">
        <v>23</v>
      </c>
      <c r="F285" s="3" t="s">
        <v>24</v>
      </c>
      <c r="G285" s="3" t="s">
        <v>129</v>
      </c>
      <c r="H285" s="3" t="s">
        <v>54</v>
      </c>
      <c r="I285" s="3" t="s">
        <v>54</v>
      </c>
      <c r="J285" s="4">
        <v>46099.0</v>
      </c>
      <c r="K285" s="4">
        <v>46105.0</v>
      </c>
      <c r="L285" s="7"/>
      <c r="M285" s="7"/>
      <c r="N285" s="7"/>
      <c r="O285" s="3" t="s">
        <v>55</v>
      </c>
      <c r="P285" s="4">
        <v>46099.0</v>
      </c>
      <c r="R285" s="3" t="s">
        <v>29</v>
      </c>
    </row>
    <row r="286">
      <c r="A286" s="3" t="s">
        <v>446</v>
      </c>
      <c r="B286" s="3" t="s">
        <v>114</v>
      </c>
      <c r="C286" s="3" t="s">
        <v>58</v>
      </c>
      <c r="D286" s="3" t="s">
        <v>58</v>
      </c>
      <c r="E286" s="3" t="s">
        <v>23</v>
      </c>
      <c r="F286" s="3" t="s">
        <v>33</v>
      </c>
      <c r="G286" s="3" t="s">
        <v>81</v>
      </c>
      <c r="H286" s="3" t="s">
        <v>43</v>
      </c>
      <c r="I286" s="3" t="s">
        <v>36</v>
      </c>
      <c r="J286" s="4">
        <v>46075.0</v>
      </c>
      <c r="K286" s="4">
        <v>46079.0</v>
      </c>
      <c r="L286" s="4">
        <v>46086.0</v>
      </c>
      <c r="M286" s="4">
        <v>46095.0</v>
      </c>
      <c r="N286" s="7"/>
      <c r="O286" s="3" t="s">
        <v>76</v>
      </c>
      <c r="P286" s="4">
        <v>46074.0</v>
      </c>
      <c r="R286" s="3" t="s">
        <v>45</v>
      </c>
    </row>
    <row r="287">
      <c r="A287" s="3" t="s">
        <v>448</v>
      </c>
      <c r="B287" s="3" t="s">
        <v>133</v>
      </c>
      <c r="C287" s="3" t="s">
        <v>58</v>
      </c>
      <c r="D287" s="3" t="s">
        <v>58</v>
      </c>
      <c r="E287" s="3" t="s">
        <v>40</v>
      </c>
      <c r="F287" s="3" t="s">
        <v>33</v>
      </c>
      <c r="G287" s="3" t="s">
        <v>70</v>
      </c>
      <c r="H287" s="3" t="s">
        <v>26</v>
      </c>
      <c r="I287" s="3" t="s">
        <v>27</v>
      </c>
      <c r="J287" s="4">
        <v>46055.0</v>
      </c>
      <c r="K287" s="4">
        <v>46060.0</v>
      </c>
      <c r="L287" s="4">
        <v>46067.0</v>
      </c>
      <c r="M287" s="4">
        <v>46077.0</v>
      </c>
      <c r="N287" s="7"/>
      <c r="O287" s="3" t="s">
        <v>76</v>
      </c>
      <c r="P287" s="4">
        <v>46050.0</v>
      </c>
      <c r="R287" s="3" t="s">
        <v>29</v>
      </c>
    </row>
    <row r="288">
      <c r="A288" s="3" t="s">
        <v>449</v>
      </c>
      <c r="B288" s="3" t="s">
        <v>194</v>
      </c>
      <c r="C288" s="3" t="s">
        <v>88</v>
      </c>
      <c r="D288" s="3" t="s">
        <v>89</v>
      </c>
      <c r="E288" s="3" t="s">
        <v>47</v>
      </c>
      <c r="F288" s="3" t="s">
        <v>33</v>
      </c>
      <c r="G288" s="3" t="s">
        <v>121</v>
      </c>
      <c r="H288" s="3" t="s">
        <v>26</v>
      </c>
      <c r="I288" s="3" t="s">
        <v>27</v>
      </c>
      <c r="J288" s="4">
        <v>46141.0</v>
      </c>
      <c r="K288" s="4">
        <v>46147.0</v>
      </c>
      <c r="L288" s="7"/>
      <c r="M288" s="7"/>
      <c r="N288" s="7"/>
      <c r="O288" s="3" t="s">
        <v>37</v>
      </c>
      <c r="P288" s="4">
        <v>46139.0</v>
      </c>
      <c r="R288" s="3" t="s">
        <v>29</v>
      </c>
    </row>
    <row r="289">
      <c r="A289" s="3" t="s">
        <v>450</v>
      </c>
      <c r="B289" s="3" t="s">
        <v>39</v>
      </c>
      <c r="C289" s="3" t="s">
        <v>93</v>
      </c>
      <c r="D289" s="3" t="s">
        <v>89</v>
      </c>
      <c r="E289" s="3" t="s">
        <v>47</v>
      </c>
      <c r="F289" s="3" t="s">
        <v>24</v>
      </c>
      <c r="G289" s="3" t="s">
        <v>34</v>
      </c>
      <c r="H289" s="3" t="s">
        <v>54</v>
      </c>
      <c r="I289" s="3" t="s">
        <v>54</v>
      </c>
      <c r="J289" s="4">
        <v>46123.0</v>
      </c>
      <c r="K289" s="4">
        <v>46125.0</v>
      </c>
      <c r="L289" s="7"/>
      <c r="M289" s="7"/>
      <c r="N289" s="7"/>
      <c r="O289" s="3" t="s">
        <v>37</v>
      </c>
      <c r="P289" s="4">
        <v>46121.0</v>
      </c>
      <c r="R289" s="3" t="s">
        <v>45</v>
      </c>
    </row>
    <row r="290">
      <c r="A290" s="3" t="s">
        <v>452</v>
      </c>
      <c r="B290" s="3" t="s">
        <v>165</v>
      </c>
      <c r="C290" s="3" t="s">
        <v>67</v>
      </c>
      <c r="D290" s="3" t="s">
        <v>67</v>
      </c>
      <c r="E290" s="3" t="s">
        <v>47</v>
      </c>
      <c r="F290" s="3" t="s">
        <v>24</v>
      </c>
      <c r="G290" s="3" t="s">
        <v>75</v>
      </c>
      <c r="H290" s="3" t="s">
        <v>35</v>
      </c>
      <c r="I290" s="3" t="s">
        <v>27</v>
      </c>
      <c r="J290" s="4">
        <v>46148.0</v>
      </c>
      <c r="K290" s="4">
        <v>46152.0</v>
      </c>
      <c r="L290" s="4">
        <v>46166.0</v>
      </c>
      <c r="M290" s="4">
        <v>46176.0</v>
      </c>
      <c r="N290" s="4">
        <v>46188.0</v>
      </c>
      <c r="O290" s="3" t="s">
        <v>28</v>
      </c>
      <c r="P290" s="4">
        <v>46148.0</v>
      </c>
      <c r="Q290" s="3">
        <v>40.0</v>
      </c>
      <c r="R290" s="3" t="s">
        <v>29</v>
      </c>
    </row>
    <row r="291">
      <c r="A291" s="3" t="s">
        <v>453</v>
      </c>
      <c r="B291" s="3" t="s">
        <v>135</v>
      </c>
      <c r="C291" s="3" t="s">
        <v>51</v>
      </c>
      <c r="D291" s="3" t="s">
        <v>22</v>
      </c>
      <c r="E291" s="3" t="s">
        <v>47</v>
      </c>
      <c r="F291" s="3" t="s">
        <v>41</v>
      </c>
      <c r="G291" s="3" t="s">
        <v>102</v>
      </c>
      <c r="H291" s="3" t="s">
        <v>26</v>
      </c>
      <c r="I291" s="3" t="s">
        <v>27</v>
      </c>
      <c r="J291" s="4">
        <v>46096.0</v>
      </c>
      <c r="K291" s="4">
        <v>46098.0</v>
      </c>
      <c r="L291" s="7"/>
      <c r="M291" s="7"/>
      <c r="N291" s="7"/>
      <c r="O291" s="3" t="s">
        <v>55</v>
      </c>
      <c r="P291" s="4">
        <v>46092.0</v>
      </c>
      <c r="R291" s="3" t="s">
        <v>29</v>
      </c>
    </row>
    <row r="292">
      <c r="A292" s="3" t="s">
        <v>454</v>
      </c>
      <c r="B292" s="3" t="s">
        <v>123</v>
      </c>
      <c r="C292" s="3" t="s">
        <v>32</v>
      </c>
      <c r="D292" s="3" t="s">
        <v>22</v>
      </c>
      <c r="E292" s="3" t="s">
        <v>47</v>
      </c>
      <c r="F292" s="3" t="s">
        <v>33</v>
      </c>
      <c r="G292" s="3" t="s">
        <v>110</v>
      </c>
      <c r="H292" s="3" t="s">
        <v>43</v>
      </c>
      <c r="I292" s="3" t="s">
        <v>36</v>
      </c>
      <c r="J292" s="4">
        <v>46053.0</v>
      </c>
      <c r="K292" s="4">
        <v>46060.0</v>
      </c>
      <c r="L292" s="4">
        <v>46072.0</v>
      </c>
      <c r="M292" s="4">
        <v>46079.0</v>
      </c>
      <c r="N292" s="7"/>
      <c r="O292" s="3" t="s">
        <v>55</v>
      </c>
      <c r="P292" s="4">
        <v>46053.0</v>
      </c>
      <c r="R292" s="3" t="s">
        <v>29</v>
      </c>
    </row>
    <row r="293">
      <c r="A293" s="3" t="s">
        <v>455</v>
      </c>
      <c r="B293" s="3" t="s">
        <v>183</v>
      </c>
      <c r="C293" s="3" t="s">
        <v>93</v>
      </c>
      <c r="D293" s="3" t="s">
        <v>89</v>
      </c>
      <c r="E293" s="3" t="s">
        <v>47</v>
      </c>
      <c r="F293" s="3" t="s">
        <v>41</v>
      </c>
      <c r="G293" s="3" t="s">
        <v>63</v>
      </c>
      <c r="H293" s="3" t="s">
        <v>35</v>
      </c>
      <c r="I293" s="3" t="s">
        <v>27</v>
      </c>
      <c r="J293" s="4">
        <v>46166.0</v>
      </c>
      <c r="K293" s="4">
        <v>46172.0</v>
      </c>
      <c r="L293" s="4">
        <v>46182.0</v>
      </c>
      <c r="M293" s="7"/>
      <c r="N293" s="7"/>
      <c r="O293" s="3" t="s">
        <v>104</v>
      </c>
      <c r="P293" s="4">
        <v>46166.0</v>
      </c>
      <c r="R293" s="3" t="s">
        <v>29</v>
      </c>
    </row>
    <row r="294">
      <c r="A294" s="3" t="s">
        <v>456</v>
      </c>
      <c r="B294" s="3" t="s">
        <v>169</v>
      </c>
      <c r="C294" s="3" t="s">
        <v>88</v>
      </c>
      <c r="D294" s="3" t="s">
        <v>89</v>
      </c>
      <c r="E294" s="3" t="s">
        <v>52</v>
      </c>
      <c r="F294" s="3" t="s">
        <v>24</v>
      </c>
      <c r="G294" s="3" t="s">
        <v>181</v>
      </c>
      <c r="H294" s="3" t="s">
        <v>35</v>
      </c>
      <c r="I294" s="3" t="s">
        <v>27</v>
      </c>
      <c r="J294" s="4">
        <v>46044.0</v>
      </c>
      <c r="K294" s="7"/>
      <c r="L294" s="7"/>
      <c r="M294" s="7"/>
      <c r="N294" s="7"/>
      <c r="O294" s="3" t="s">
        <v>55</v>
      </c>
      <c r="P294" s="4">
        <v>46042.0</v>
      </c>
      <c r="R294" s="3" t="s">
        <v>29</v>
      </c>
    </row>
    <row r="295">
      <c r="A295" s="3" t="s">
        <v>457</v>
      </c>
      <c r="B295" s="3" t="s">
        <v>135</v>
      </c>
      <c r="C295" s="3" t="s">
        <v>32</v>
      </c>
      <c r="D295" s="3" t="s">
        <v>22</v>
      </c>
      <c r="E295" s="3" t="s">
        <v>40</v>
      </c>
      <c r="F295" s="3" t="s">
        <v>41</v>
      </c>
      <c r="G295" s="3" t="s">
        <v>129</v>
      </c>
      <c r="H295" s="3" t="s">
        <v>54</v>
      </c>
      <c r="I295" s="3" t="s">
        <v>54</v>
      </c>
      <c r="J295" s="4">
        <v>46032.0</v>
      </c>
      <c r="K295" s="7"/>
      <c r="L295" s="7"/>
      <c r="M295" s="7"/>
      <c r="N295" s="7"/>
      <c r="O295" s="3" t="s">
        <v>104</v>
      </c>
      <c r="P295" s="4">
        <v>46028.0</v>
      </c>
      <c r="R295" s="3" t="s">
        <v>29</v>
      </c>
    </row>
    <row r="296">
      <c r="A296" s="3" t="s">
        <v>458</v>
      </c>
      <c r="B296" s="3" t="s">
        <v>123</v>
      </c>
      <c r="C296" s="3" t="s">
        <v>58</v>
      </c>
      <c r="D296" s="3" t="s">
        <v>58</v>
      </c>
      <c r="E296" s="3" t="s">
        <v>23</v>
      </c>
      <c r="F296" s="3" t="s">
        <v>41</v>
      </c>
      <c r="G296" s="3" t="s">
        <v>70</v>
      </c>
      <c r="H296" s="3" t="s">
        <v>43</v>
      </c>
      <c r="I296" s="3" t="s">
        <v>27</v>
      </c>
      <c r="J296" s="4">
        <v>46163.0</v>
      </c>
      <c r="K296" s="4">
        <v>46165.0</v>
      </c>
      <c r="L296" s="7"/>
      <c r="M296" s="7"/>
      <c r="N296" s="7"/>
      <c r="O296" s="3" t="s">
        <v>37</v>
      </c>
      <c r="P296" s="4">
        <v>46161.0</v>
      </c>
      <c r="R296" s="3" t="s">
        <v>29</v>
      </c>
    </row>
    <row r="297">
      <c r="A297" s="3" t="s">
        <v>459</v>
      </c>
      <c r="B297" s="3" t="s">
        <v>259</v>
      </c>
      <c r="C297" s="3" t="s">
        <v>21</v>
      </c>
      <c r="D297" s="3" t="s">
        <v>22</v>
      </c>
      <c r="E297" s="3" t="s">
        <v>52</v>
      </c>
      <c r="F297" s="3" t="s">
        <v>41</v>
      </c>
      <c r="G297" s="3" t="s">
        <v>42</v>
      </c>
      <c r="H297" s="3" t="s">
        <v>43</v>
      </c>
      <c r="I297" s="3" t="s">
        <v>36</v>
      </c>
      <c r="J297" s="4">
        <v>46163.0</v>
      </c>
      <c r="K297" s="7"/>
      <c r="L297" s="7"/>
      <c r="M297" s="7"/>
      <c r="N297" s="7"/>
      <c r="O297" s="3" t="s">
        <v>55</v>
      </c>
      <c r="P297" s="4">
        <v>46158.0</v>
      </c>
      <c r="R297" s="3" t="s">
        <v>29</v>
      </c>
    </row>
    <row r="298">
      <c r="A298" s="3" t="s">
        <v>460</v>
      </c>
      <c r="B298" s="3" t="s">
        <v>207</v>
      </c>
      <c r="C298" s="3" t="s">
        <v>21</v>
      </c>
      <c r="D298" s="3" t="s">
        <v>22</v>
      </c>
      <c r="E298" s="3" t="s">
        <v>23</v>
      </c>
      <c r="F298" s="3" t="s">
        <v>48</v>
      </c>
      <c r="G298" s="3" t="s">
        <v>149</v>
      </c>
      <c r="H298" s="3" t="s">
        <v>43</v>
      </c>
      <c r="I298" s="3" t="s">
        <v>27</v>
      </c>
      <c r="J298" s="4">
        <v>46089.0</v>
      </c>
      <c r="K298" s="4">
        <v>46096.0</v>
      </c>
      <c r="L298" s="4">
        <v>46105.0</v>
      </c>
      <c r="M298" s="4">
        <v>46112.0</v>
      </c>
      <c r="N298" s="7"/>
      <c r="O298" s="3" t="s">
        <v>104</v>
      </c>
      <c r="P298" s="4">
        <v>46084.0</v>
      </c>
      <c r="R298" s="3" t="s">
        <v>29</v>
      </c>
    </row>
    <row r="299">
      <c r="A299" s="3" t="s">
        <v>461</v>
      </c>
      <c r="B299" s="3" t="s">
        <v>83</v>
      </c>
      <c r="C299" s="3" t="s">
        <v>51</v>
      </c>
      <c r="D299" s="3" t="s">
        <v>22</v>
      </c>
      <c r="E299" s="3" t="s">
        <v>47</v>
      </c>
      <c r="F299" s="3" t="s">
        <v>41</v>
      </c>
      <c r="G299" s="3" t="s">
        <v>34</v>
      </c>
      <c r="H299" s="3" t="s">
        <v>35</v>
      </c>
      <c r="I299" s="3" t="s">
        <v>27</v>
      </c>
      <c r="J299" s="4">
        <v>46149.0</v>
      </c>
      <c r="K299" s="4">
        <v>46156.0</v>
      </c>
      <c r="L299" s="7"/>
      <c r="M299" s="7"/>
      <c r="N299" s="7"/>
      <c r="O299" s="3" t="s">
        <v>37</v>
      </c>
      <c r="P299" s="4">
        <v>46146.0</v>
      </c>
      <c r="R299" s="3" t="s">
        <v>29</v>
      </c>
    </row>
    <row r="300">
      <c r="A300" s="3" t="s">
        <v>462</v>
      </c>
      <c r="B300" s="3" t="s">
        <v>404</v>
      </c>
      <c r="C300" s="3" t="s">
        <v>51</v>
      </c>
      <c r="D300" s="3" t="s">
        <v>22</v>
      </c>
      <c r="E300" s="3" t="s">
        <v>52</v>
      </c>
      <c r="F300" s="3" t="s">
        <v>33</v>
      </c>
      <c r="G300" s="3" t="s">
        <v>106</v>
      </c>
      <c r="H300" s="3" t="s">
        <v>54</v>
      </c>
      <c r="I300" s="3" t="s">
        <v>54</v>
      </c>
      <c r="J300" s="4">
        <v>46057.0</v>
      </c>
      <c r="K300" s="4">
        <v>46063.0</v>
      </c>
      <c r="L300" s="4">
        <v>46076.0</v>
      </c>
      <c r="M300" s="7"/>
      <c r="N300" s="7"/>
      <c r="O300" s="3" t="s">
        <v>44</v>
      </c>
      <c r="P300" s="4">
        <v>46057.0</v>
      </c>
      <c r="R300" s="3" t="s">
        <v>45</v>
      </c>
    </row>
    <row r="301">
      <c r="A301" s="3" t="s">
        <v>463</v>
      </c>
      <c r="B301" s="3" t="s">
        <v>20</v>
      </c>
      <c r="C301" s="3" t="s">
        <v>67</v>
      </c>
      <c r="D301" s="3" t="s">
        <v>67</v>
      </c>
      <c r="E301" s="3" t="s">
        <v>40</v>
      </c>
      <c r="F301" s="3" t="s">
        <v>41</v>
      </c>
      <c r="G301" s="3" t="s">
        <v>63</v>
      </c>
      <c r="H301" s="3" t="s">
        <v>43</v>
      </c>
      <c r="I301" s="3" t="s">
        <v>27</v>
      </c>
      <c r="J301" s="4">
        <v>46069.0</v>
      </c>
      <c r="K301" s="4">
        <v>46074.0</v>
      </c>
      <c r="L301" s="7"/>
      <c r="M301" s="7"/>
      <c r="N301" s="7"/>
      <c r="O301" s="3" t="s">
        <v>104</v>
      </c>
      <c r="P301" s="4">
        <v>46065.0</v>
      </c>
      <c r="R301" s="3" t="s">
        <v>29</v>
      </c>
    </row>
    <row r="302">
      <c r="A302" s="3" t="s">
        <v>464</v>
      </c>
      <c r="B302" s="3" t="s">
        <v>180</v>
      </c>
      <c r="C302" s="3" t="s">
        <v>88</v>
      </c>
      <c r="D302" s="3" t="s">
        <v>89</v>
      </c>
      <c r="E302" s="3" t="s">
        <v>47</v>
      </c>
      <c r="F302" s="3" t="s">
        <v>48</v>
      </c>
      <c r="G302" s="3" t="s">
        <v>42</v>
      </c>
      <c r="H302" s="3" t="s">
        <v>60</v>
      </c>
      <c r="I302" s="3" t="s">
        <v>27</v>
      </c>
      <c r="J302" s="4">
        <v>46134.0</v>
      </c>
      <c r="K302" s="4">
        <v>46139.0</v>
      </c>
      <c r="L302" s="7"/>
      <c r="M302" s="7"/>
      <c r="N302" s="7"/>
      <c r="O302" s="3" t="s">
        <v>37</v>
      </c>
      <c r="P302" s="4">
        <v>46131.0</v>
      </c>
      <c r="R302" s="3" t="s">
        <v>45</v>
      </c>
    </row>
    <row r="303">
      <c r="A303" s="3" t="s">
        <v>465</v>
      </c>
      <c r="B303" s="3" t="s">
        <v>123</v>
      </c>
      <c r="C303" s="3" t="s">
        <v>51</v>
      </c>
      <c r="D303" s="3" t="s">
        <v>22</v>
      </c>
      <c r="E303" s="3" t="s">
        <v>47</v>
      </c>
      <c r="F303" s="3" t="s">
        <v>48</v>
      </c>
      <c r="G303" s="3" t="s">
        <v>25</v>
      </c>
      <c r="H303" s="3" t="s">
        <v>35</v>
      </c>
      <c r="I303" s="3" t="s">
        <v>36</v>
      </c>
      <c r="J303" s="4">
        <v>46131.0</v>
      </c>
      <c r="K303" s="4">
        <v>46137.0</v>
      </c>
      <c r="L303" s="4">
        <v>46146.0</v>
      </c>
      <c r="M303" s="4">
        <v>46149.0</v>
      </c>
      <c r="N303" s="7"/>
      <c r="O303" s="3" t="s">
        <v>76</v>
      </c>
      <c r="P303" s="4">
        <v>46126.0</v>
      </c>
      <c r="R303" s="3" t="s">
        <v>29</v>
      </c>
    </row>
    <row r="304">
      <c r="A304" s="3" t="s">
        <v>466</v>
      </c>
      <c r="B304" s="3" t="s">
        <v>185</v>
      </c>
      <c r="C304" s="3" t="s">
        <v>115</v>
      </c>
      <c r="D304" s="3" t="s">
        <v>115</v>
      </c>
      <c r="E304" s="3" t="s">
        <v>40</v>
      </c>
      <c r="F304" s="3" t="s">
        <v>24</v>
      </c>
      <c r="G304" s="3" t="s">
        <v>84</v>
      </c>
      <c r="H304" s="3" t="s">
        <v>43</v>
      </c>
      <c r="I304" s="3" t="s">
        <v>27</v>
      </c>
      <c r="J304" s="4">
        <v>46171.0</v>
      </c>
      <c r="K304" s="4">
        <v>46177.0</v>
      </c>
      <c r="L304" s="7"/>
      <c r="M304" s="7"/>
      <c r="N304" s="7"/>
      <c r="O304" s="3" t="s">
        <v>37</v>
      </c>
      <c r="P304" s="4">
        <v>46169.0</v>
      </c>
      <c r="R304" s="3" t="s">
        <v>29</v>
      </c>
    </row>
    <row r="305">
      <c r="A305" s="3" t="s">
        <v>467</v>
      </c>
      <c r="B305" s="3" t="s">
        <v>171</v>
      </c>
      <c r="C305" s="3" t="s">
        <v>58</v>
      </c>
      <c r="D305" s="3" t="s">
        <v>58</v>
      </c>
      <c r="E305" s="3" t="s">
        <v>23</v>
      </c>
      <c r="F305" s="3" t="s">
        <v>41</v>
      </c>
      <c r="G305" s="3" t="s">
        <v>90</v>
      </c>
      <c r="H305" s="3" t="s">
        <v>54</v>
      </c>
      <c r="I305" s="3" t="s">
        <v>54</v>
      </c>
      <c r="J305" s="4">
        <v>46166.0</v>
      </c>
      <c r="K305" s="4">
        <v>46170.0</v>
      </c>
      <c r="L305" s="4">
        <v>46178.0</v>
      </c>
      <c r="M305" s="7"/>
      <c r="N305" s="7"/>
      <c r="O305" s="3" t="s">
        <v>55</v>
      </c>
      <c r="P305" s="4">
        <v>46166.0</v>
      </c>
      <c r="R305" s="3" t="s">
        <v>45</v>
      </c>
    </row>
    <row r="306">
      <c r="A306" s="3" t="s">
        <v>468</v>
      </c>
      <c r="B306" s="3" t="s">
        <v>169</v>
      </c>
      <c r="C306" s="3" t="s">
        <v>21</v>
      </c>
      <c r="D306" s="3" t="s">
        <v>22</v>
      </c>
      <c r="E306" s="3" t="s">
        <v>52</v>
      </c>
      <c r="F306" s="3" t="s">
        <v>41</v>
      </c>
      <c r="G306" s="3" t="s">
        <v>25</v>
      </c>
      <c r="H306" s="3" t="s">
        <v>60</v>
      </c>
      <c r="I306" s="3" t="s">
        <v>36</v>
      </c>
      <c r="J306" s="4">
        <v>46085.0</v>
      </c>
      <c r="K306" s="7"/>
      <c r="L306" s="7"/>
      <c r="M306" s="7"/>
      <c r="N306" s="7"/>
      <c r="O306" s="3" t="s">
        <v>104</v>
      </c>
      <c r="P306" s="4">
        <v>46085.0</v>
      </c>
      <c r="R306" s="3" t="s">
        <v>29</v>
      </c>
    </row>
    <row r="307">
      <c r="A307" s="3" t="s">
        <v>469</v>
      </c>
      <c r="B307" s="3" t="s">
        <v>133</v>
      </c>
      <c r="C307" s="3" t="s">
        <v>51</v>
      </c>
      <c r="D307" s="3" t="s">
        <v>22</v>
      </c>
      <c r="E307" s="3" t="s">
        <v>23</v>
      </c>
      <c r="F307" s="3" t="s">
        <v>33</v>
      </c>
      <c r="G307" s="3" t="s">
        <v>181</v>
      </c>
      <c r="H307" s="3" t="s">
        <v>26</v>
      </c>
      <c r="I307" s="3" t="s">
        <v>27</v>
      </c>
      <c r="J307" s="4">
        <v>46054.0</v>
      </c>
      <c r="K307" s="4">
        <v>46058.0</v>
      </c>
      <c r="L307" s="4">
        <v>46064.0</v>
      </c>
      <c r="M307" s="7"/>
      <c r="N307" s="7"/>
      <c r="O307" s="3" t="s">
        <v>44</v>
      </c>
      <c r="P307" s="4">
        <v>46050.0</v>
      </c>
      <c r="R307" s="3" t="s">
        <v>29</v>
      </c>
    </row>
    <row r="308">
      <c r="A308" s="3" t="s">
        <v>470</v>
      </c>
      <c r="B308" s="3" t="s">
        <v>92</v>
      </c>
      <c r="C308" s="3" t="s">
        <v>58</v>
      </c>
      <c r="D308" s="3" t="s">
        <v>58</v>
      </c>
      <c r="E308" s="3" t="s">
        <v>23</v>
      </c>
      <c r="F308" s="3" t="s">
        <v>24</v>
      </c>
      <c r="G308" s="3" t="s">
        <v>63</v>
      </c>
      <c r="H308" s="3" t="s">
        <v>26</v>
      </c>
      <c r="I308" s="3" t="s">
        <v>27</v>
      </c>
      <c r="J308" s="4">
        <v>46157.0</v>
      </c>
      <c r="K308" s="4">
        <v>46164.0</v>
      </c>
      <c r="L308" s="4">
        <v>46172.0</v>
      </c>
      <c r="M308" s="4">
        <v>46178.0</v>
      </c>
      <c r="N308" s="4">
        <v>46198.0</v>
      </c>
      <c r="O308" s="3" t="s">
        <v>28</v>
      </c>
      <c r="P308" s="4">
        <v>46155.0</v>
      </c>
      <c r="Q308" s="3">
        <v>43.0</v>
      </c>
      <c r="R308" s="3" t="s">
        <v>29</v>
      </c>
    </row>
    <row r="309">
      <c r="A309" s="3" t="s">
        <v>471</v>
      </c>
      <c r="B309" s="3" t="s">
        <v>133</v>
      </c>
      <c r="C309" s="3" t="s">
        <v>21</v>
      </c>
      <c r="D309" s="3" t="s">
        <v>22</v>
      </c>
      <c r="E309" s="3" t="s">
        <v>47</v>
      </c>
      <c r="F309" s="3" t="s">
        <v>24</v>
      </c>
      <c r="G309" s="3" t="s">
        <v>149</v>
      </c>
      <c r="H309" s="3" t="s">
        <v>54</v>
      </c>
      <c r="I309" s="3" t="s">
        <v>54</v>
      </c>
      <c r="J309" s="4">
        <v>46097.0</v>
      </c>
      <c r="K309" s="7"/>
      <c r="L309" s="7"/>
      <c r="M309" s="7"/>
      <c r="N309" s="7"/>
      <c r="O309" s="3" t="s">
        <v>55</v>
      </c>
      <c r="P309" s="4">
        <v>46093.0</v>
      </c>
      <c r="R309" s="3" t="s">
        <v>29</v>
      </c>
    </row>
    <row r="310">
      <c r="A310" s="3" t="s">
        <v>472</v>
      </c>
      <c r="B310" s="3" t="s">
        <v>101</v>
      </c>
      <c r="C310" s="3" t="s">
        <v>67</v>
      </c>
      <c r="D310" s="3" t="s">
        <v>67</v>
      </c>
      <c r="E310" s="3" t="s">
        <v>47</v>
      </c>
      <c r="F310" s="3" t="s">
        <v>33</v>
      </c>
      <c r="G310" s="3" t="s">
        <v>110</v>
      </c>
      <c r="H310" s="3" t="s">
        <v>35</v>
      </c>
      <c r="I310" s="3" t="s">
        <v>27</v>
      </c>
      <c r="J310" s="4">
        <v>46056.0</v>
      </c>
      <c r="K310" s="4">
        <v>46062.0</v>
      </c>
      <c r="L310" s="7"/>
      <c r="M310" s="7"/>
      <c r="N310" s="7"/>
      <c r="O310" s="3" t="s">
        <v>104</v>
      </c>
      <c r="P310" s="4">
        <v>46056.0</v>
      </c>
      <c r="R310" s="3" t="s">
        <v>29</v>
      </c>
    </row>
    <row r="311">
      <c r="A311" s="3" t="s">
        <v>473</v>
      </c>
      <c r="B311" s="3" t="s">
        <v>180</v>
      </c>
      <c r="C311" s="3" t="s">
        <v>51</v>
      </c>
      <c r="D311" s="3" t="s">
        <v>22</v>
      </c>
      <c r="E311" s="3" t="s">
        <v>47</v>
      </c>
      <c r="F311" s="3" t="s">
        <v>48</v>
      </c>
      <c r="G311" s="3" t="s">
        <v>59</v>
      </c>
      <c r="H311" s="3" t="s">
        <v>26</v>
      </c>
      <c r="I311" s="3" t="s">
        <v>27</v>
      </c>
      <c r="J311" s="4">
        <v>46082.0</v>
      </c>
      <c r="K311" s="4">
        <v>46088.0</v>
      </c>
      <c r="L311" s="7"/>
      <c r="M311" s="7"/>
      <c r="N311" s="7"/>
      <c r="O311" s="3" t="s">
        <v>37</v>
      </c>
      <c r="P311" s="4">
        <v>46082.0</v>
      </c>
      <c r="R311" s="3" t="s">
        <v>45</v>
      </c>
    </row>
    <row r="312">
      <c r="A312" s="3" t="s">
        <v>474</v>
      </c>
      <c r="B312" s="3" t="s">
        <v>165</v>
      </c>
      <c r="C312" s="3" t="s">
        <v>58</v>
      </c>
      <c r="D312" s="3" t="s">
        <v>58</v>
      </c>
      <c r="E312" s="3" t="s">
        <v>40</v>
      </c>
      <c r="F312" s="3" t="s">
        <v>41</v>
      </c>
      <c r="G312" s="3" t="s">
        <v>121</v>
      </c>
      <c r="H312" s="3" t="s">
        <v>54</v>
      </c>
      <c r="I312" s="3" t="s">
        <v>54</v>
      </c>
      <c r="J312" s="4">
        <v>46145.0</v>
      </c>
      <c r="K312" s="4">
        <v>46150.0</v>
      </c>
      <c r="L312" s="4">
        <v>46159.0</v>
      </c>
      <c r="M312" s="7"/>
      <c r="N312" s="7"/>
      <c r="O312" s="3" t="s">
        <v>44</v>
      </c>
      <c r="P312" s="4">
        <v>46145.0</v>
      </c>
      <c r="R312" s="3" t="s">
        <v>29</v>
      </c>
    </row>
    <row r="313">
      <c r="A313" s="3" t="s">
        <v>475</v>
      </c>
      <c r="B313" s="3" t="s">
        <v>31</v>
      </c>
      <c r="C313" s="3" t="s">
        <v>32</v>
      </c>
      <c r="D313" s="3" t="s">
        <v>22</v>
      </c>
      <c r="E313" s="3" t="s">
        <v>47</v>
      </c>
      <c r="F313" s="3" t="s">
        <v>33</v>
      </c>
      <c r="G313" s="3" t="s">
        <v>106</v>
      </c>
      <c r="H313" s="3" t="s">
        <v>54</v>
      </c>
      <c r="I313" s="3" t="s">
        <v>54</v>
      </c>
      <c r="J313" s="4">
        <v>46142.0</v>
      </c>
      <c r="K313" s="7"/>
      <c r="L313" s="7"/>
      <c r="M313" s="7"/>
      <c r="N313" s="7"/>
      <c r="O313" s="3" t="s">
        <v>55</v>
      </c>
      <c r="P313" s="4">
        <v>46141.0</v>
      </c>
      <c r="R313" s="3" t="s">
        <v>29</v>
      </c>
    </row>
    <row r="314">
      <c r="A314" s="3" t="s">
        <v>476</v>
      </c>
      <c r="B314" s="3" t="s">
        <v>80</v>
      </c>
      <c r="C314" s="3" t="s">
        <v>21</v>
      </c>
      <c r="D314" s="3" t="s">
        <v>22</v>
      </c>
      <c r="E314" s="3" t="s">
        <v>52</v>
      </c>
      <c r="F314" s="3" t="s">
        <v>48</v>
      </c>
      <c r="G314" s="3" t="s">
        <v>59</v>
      </c>
      <c r="H314" s="3" t="s">
        <v>54</v>
      </c>
      <c r="I314" s="3" t="s">
        <v>54</v>
      </c>
      <c r="J314" s="4">
        <v>46130.0</v>
      </c>
      <c r="K314" s="4">
        <v>46132.0</v>
      </c>
      <c r="L314" s="4">
        <v>46140.0</v>
      </c>
      <c r="M314" s="4">
        <v>46146.0</v>
      </c>
      <c r="N314" s="7"/>
      <c r="O314" s="3" t="s">
        <v>76</v>
      </c>
      <c r="P314" s="4">
        <v>46129.0</v>
      </c>
      <c r="R314" s="3" t="s">
        <v>29</v>
      </c>
    </row>
    <row r="315">
      <c r="A315" s="3" t="s">
        <v>477</v>
      </c>
      <c r="B315" s="3" t="s">
        <v>133</v>
      </c>
      <c r="C315" s="3" t="s">
        <v>67</v>
      </c>
      <c r="D315" s="3" t="s">
        <v>67</v>
      </c>
      <c r="E315" s="3" t="s">
        <v>47</v>
      </c>
      <c r="F315" s="3" t="s">
        <v>48</v>
      </c>
      <c r="G315" s="3" t="s">
        <v>75</v>
      </c>
      <c r="H315" s="3" t="s">
        <v>35</v>
      </c>
      <c r="I315" s="3" t="s">
        <v>36</v>
      </c>
      <c r="J315" s="4">
        <v>46093.0</v>
      </c>
      <c r="K315" s="4">
        <v>46099.0</v>
      </c>
      <c r="L315" s="7"/>
      <c r="M315" s="7"/>
      <c r="N315" s="7"/>
      <c r="O315" s="3" t="s">
        <v>37</v>
      </c>
      <c r="P315" s="4">
        <v>46091.0</v>
      </c>
      <c r="R315" s="3" t="s">
        <v>29</v>
      </c>
    </row>
    <row r="316">
      <c r="A316" s="3" t="s">
        <v>478</v>
      </c>
      <c r="B316" s="3" t="s">
        <v>175</v>
      </c>
      <c r="C316" s="3" t="s">
        <v>32</v>
      </c>
      <c r="D316" s="3" t="s">
        <v>22</v>
      </c>
      <c r="E316" s="3" t="s">
        <v>52</v>
      </c>
      <c r="F316" s="3" t="s">
        <v>48</v>
      </c>
      <c r="G316" s="3" t="s">
        <v>106</v>
      </c>
      <c r="H316" s="3" t="s">
        <v>54</v>
      </c>
      <c r="I316" s="3" t="s">
        <v>54</v>
      </c>
      <c r="J316" s="4">
        <v>46041.0</v>
      </c>
      <c r="K316" s="4">
        <v>46044.0</v>
      </c>
      <c r="L316" s="7"/>
      <c r="M316" s="7"/>
      <c r="N316" s="7"/>
      <c r="O316" s="3" t="s">
        <v>37</v>
      </c>
      <c r="P316" s="4">
        <v>46038.0</v>
      </c>
      <c r="R316" s="3" t="s">
        <v>45</v>
      </c>
    </row>
    <row r="317">
      <c r="A317" s="3" t="s">
        <v>479</v>
      </c>
      <c r="B317" s="3" t="s">
        <v>80</v>
      </c>
      <c r="C317" s="3" t="s">
        <v>115</v>
      </c>
      <c r="D317" s="3" t="s">
        <v>115</v>
      </c>
      <c r="E317" s="3" t="s">
        <v>23</v>
      </c>
      <c r="F317" s="3" t="s">
        <v>48</v>
      </c>
      <c r="G317" s="3" t="s">
        <v>75</v>
      </c>
      <c r="H317" s="3" t="s">
        <v>60</v>
      </c>
      <c r="I317" s="3" t="s">
        <v>27</v>
      </c>
      <c r="J317" s="4">
        <v>46132.0</v>
      </c>
      <c r="K317" s="4">
        <v>46135.0</v>
      </c>
      <c r="L317" s="4">
        <v>46147.0</v>
      </c>
      <c r="M317" s="7"/>
      <c r="N317" s="7"/>
      <c r="O317" s="3" t="s">
        <v>44</v>
      </c>
      <c r="P317" s="4">
        <v>46128.0</v>
      </c>
      <c r="R317" s="3" t="s">
        <v>29</v>
      </c>
    </row>
    <row r="318">
      <c r="A318" s="3" t="s">
        <v>480</v>
      </c>
      <c r="B318" s="3" t="s">
        <v>87</v>
      </c>
      <c r="C318" s="3" t="s">
        <v>58</v>
      </c>
      <c r="D318" s="3" t="s">
        <v>58</v>
      </c>
      <c r="E318" s="3" t="s">
        <v>23</v>
      </c>
      <c r="F318" s="3" t="s">
        <v>41</v>
      </c>
      <c r="G318" s="3" t="s">
        <v>70</v>
      </c>
      <c r="H318" s="3" t="s">
        <v>43</v>
      </c>
      <c r="I318" s="3" t="s">
        <v>36</v>
      </c>
      <c r="J318" s="4">
        <v>46143.0</v>
      </c>
      <c r="K318" s="4">
        <v>46150.0</v>
      </c>
      <c r="L318" s="7"/>
      <c r="M318" s="7"/>
      <c r="N318" s="7"/>
      <c r="O318" s="3" t="s">
        <v>55</v>
      </c>
      <c r="P318" s="4">
        <v>46143.0</v>
      </c>
      <c r="R318" s="3" t="s">
        <v>29</v>
      </c>
    </row>
    <row r="319">
      <c r="A319" s="3" t="s">
        <v>481</v>
      </c>
      <c r="B319" s="3" t="s">
        <v>72</v>
      </c>
      <c r="C319" s="3" t="s">
        <v>115</v>
      </c>
      <c r="D319" s="3" t="s">
        <v>115</v>
      </c>
      <c r="E319" s="3" t="s">
        <v>52</v>
      </c>
      <c r="F319" s="3" t="s">
        <v>24</v>
      </c>
      <c r="G319" s="3" t="s">
        <v>81</v>
      </c>
      <c r="H319" s="3" t="s">
        <v>35</v>
      </c>
      <c r="I319" s="3" t="s">
        <v>27</v>
      </c>
      <c r="J319" s="4">
        <v>46024.0</v>
      </c>
      <c r="K319" s="4">
        <v>46026.0</v>
      </c>
      <c r="L319" s="4">
        <v>46039.0</v>
      </c>
      <c r="M319" s="7"/>
      <c r="N319" s="7"/>
      <c r="O319" s="3" t="s">
        <v>44</v>
      </c>
      <c r="P319" s="4">
        <v>46023.0</v>
      </c>
      <c r="R319" s="3" t="s">
        <v>29</v>
      </c>
    </row>
    <row r="320">
      <c r="A320" s="3" t="s">
        <v>482</v>
      </c>
      <c r="B320" s="3" t="s">
        <v>194</v>
      </c>
      <c r="C320" s="3" t="s">
        <v>115</v>
      </c>
      <c r="D320" s="3" t="s">
        <v>115</v>
      </c>
      <c r="E320" s="3" t="s">
        <v>40</v>
      </c>
      <c r="F320" s="3" t="s">
        <v>24</v>
      </c>
      <c r="G320" s="3" t="s">
        <v>59</v>
      </c>
      <c r="H320" s="3" t="s">
        <v>60</v>
      </c>
      <c r="I320" s="3" t="s">
        <v>36</v>
      </c>
      <c r="J320" s="4">
        <v>46113.0</v>
      </c>
      <c r="K320" s="4">
        <v>46117.0</v>
      </c>
      <c r="L320" s="7"/>
      <c r="M320" s="7"/>
      <c r="N320" s="7"/>
      <c r="O320" s="3" t="s">
        <v>37</v>
      </c>
      <c r="P320" s="4">
        <v>46108.0</v>
      </c>
      <c r="R320" s="3" t="s">
        <v>29</v>
      </c>
    </row>
    <row r="321">
      <c r="A321" s="3" t="s">
        <v>483</v>
      </c>
      <c r="B321" s="3" t="s">
        <v>57</v>
      </c>
      <c r="C321" s="3" t="s">
        <v>67</v>
      </c>
      <c r="D321" s="3" t="s">
        <v>67</v>
      </c>
      <c r="E321" s="3" t="s">
        <v>47</v>
      </c>
      <c r="F321" s="3" t="s">
        <v>41</v>
      </c>
      <c r="G321" s="3" t="s">
        <v>173</v>
      </c>
      <c r="H321" s="3" t="s">
        <v>35</v>
      </c>
      <c r="I321" s="3" t="s">
        <v>36</v>
      </c>
      <c r="J321" s="4">
        <v>46079.0</v>
      </c>
      <c r="K321" s="4">
        <v>46082.0</v>
      </c>
      <c r="L321" s="4">
        <v>46091.0</v>
      </c>
      <c r="M321" s="4">
        <v>46095.0</v>
      </c>
      <c r="N321" s="4">
        <v>46121.0</v>
      </c>
      <c r="O321" s="3" t="s">
        <v>28</v>
      </c>
      <c r="P321" s="4">
        <v>46075.0</v>
      </c>
      <c r="Q321" s="3">
        <v>46.0</v>
      </c>
      <c r="R321" s="3" t="s">
        <v>29</v>
      </c>
    </row>
    <row r="322">
      <c r="A322" s="3" t="s">
        <v>484</v>
      </c>
      <c r="B322" s="3" t="s">
        <v>301</v>
      </c>
      <c r="C322" s="3" t="s">
        <v>67</v>
      </c>
      <c r="D322" s="3" t="s">
        <v>67</v>
      </c>
      <c r="E322" s="3" t="s">
        <v>40</v>
      </c>
      <c r="F322" s="3" t="s">
        <v>48</v>
      </c>
      <c r="G322" s="3" t="s">
        <v>181</v>
      </c>
      <c r="H322" s="3" t="s">
        <v>54</v>
      </c>
      <c r="I322" s="3" t="s">
        <v>54</v>
      </c>
      <c r="J322" s="4">
        <v>46170.0</v>
      </c>
      <c r="K322" s="7"/>
      <c r="L322" s="7"/>
      <c r="M322" s="7"/>
      <c r="N322" s="7"/>
      <c r="O322" s="3" t="s">
        <v>104</v>
      </c>
      <c r="P322" s="4">
        <v>46168.0</v>
      </c>
      <c r="R322" s="3" t="s">
        <v>45</v>
      </c>
    </row>
    <row r="323">
      <c r="A323" s="3" t="s">
        <v>485</v>
      </c>
      <c r="B323" s="3" t="s">
        <v>92</v>
      </c>
      <c r="C323" s="3" t="s">
        <v>115</v>
      </c>
      <c r="D323" s="3" t="s">
        <v>115</v>
      </c>
      <c r="E323" s="3" t="s">
        <v>23</v>
      </c>
      <c r="F323" s="3" t="s">
        <v>41</v>
      </c>
      <c r="G323" s="3" t="s">
        <v>94</v>
      </c>
      <c r="H323" s="3" t="s">
        <v>43</v>
      </c>
      <c r="I323" s="3" t="s">
        <v>27</v>
      </c>
      <c r="J323" s="4">
        <v>46092.0</v>
      </c>
      <c r="K323" s="4">
        <v>46096.0</v>
      </c>
      <c r="L323" s="7"/>
      <c r="M323" s="7"/>
      <c r="N323" s="7"/>
      <c r="O323" s="3" t="s">
        <v>104</v>
      </c>
      <c r="P323" s="4">
        <v>46092.0</v>
      </c>
      <c r="R323" s="3" t="s">
        <v>29</v>
      </c>
    </row>
    <row r="324">
      <c r="A324" s="3" t="s">
        <v>486</v>
      </c>
      <c r="B324" s="3" t="s">
        <v>207</v>
      </c>
      <c r="C324" s="3" t="s">
        <v>115</v>
      </c>
      <c r="D324" s="3" t="s">
        <v>115</v>
      </c>
      <c r="E324" s="3" t="s">
        <v>52</v>
      </c>
      <c r="F324" s="3" t="s">
        <v>48</v>
      </c>
      <c r="G324" s="3" t="s">
        <v>173</v>
      </c>
      <c r="H324" s="3" t="s">
        <v>43</v>
      </c>
      <c r="I324" s="3" t="s">
        <v>36</v>
      </c>
      <c r="J324" s="4">
        <v>46165.0</v>
      </c>
      <c r="K324" s="4">
        <v>46169.0</v>
      </c>
      <c r="L324" s="4">
        <v>46176.0</v>
      </c>
      <c r="M324" s="4">
        <v>46181.0</v>
      </c>
      <c r="N324" s="4">
        <v>46198.0</v>
      </c>
      <c r="O324" s="3" t="s">
        <v>28</v>
      </c>
      <c r="P324" s="4">
        <v>46163.0</v>
      </c>
      <c r="Q324" s="3">
        <v>35.0</v>
      </c>
      <c r="R324" s="3" t="s">
        <v>29</v>
      </c>
    </row>
    <row r="325">
      <c r="A325" s="3" t="s">
        <v>487</v>
      </c>
      <c r="B325" s="3" t="s">
        <v>259</v>
      </c>
      <c r="C325" s="3" t="s">
        <v>58</v>
      </c>
      <c r="D325" s="3" t="s">
        <v>58</v>
      </c>
      <c r="E325" s="3" t="s">
        <v>52</v>
      </c>
      <c r="F325" s="3" t="s">
        <v>24</v>
      </c>
      <c r="G325" s="3" t="s">
        <v>129</v>
      </c>
      <c r="H325" s="3" t="s">
        <v>54</v>
      </c>
      <c r="I325" s="3" t="s">
        <v>54</v>
      </c>
      <c r="J325" s="4">
        <v>46069.0</v>
      </c>
      <c r="K325" s="4">
        <v>46073.0</v>
      </c>
      <c r="L325" s="4">
        <v>46086.0</v>
      </c>
      <c r="M325" s="4">
        <v>46092.0</v>
      </c>
      <c r="N325" s="7"/>
      <c r="O325" s="3" t="s">
        <v>76</v>
      </c>
      <c r="P325" s="4">
        <v>46068.0</v>
      </c>
      <c r="R325" s="3" t="s">
        <v>29</v>
      </c>
    </row>
    <row r="326">
      <c r="A326" s="3" t="s">
        <v>488</v>
      </c>
      <c r="B326" s="3" t="s">
        <v>87</v>
      </c>
      <c r="C326" s="3" t="s">
        <v>51</v>
      </c>
      <c r="D326" s="3" t="s">
        <v>22</v>
      </c>
      <c r="E326" s="3" t="s">
        <v>52</v>
      </c>
      <c r="F326" s="3" t="s">
        <v>24</v>
      </c>
      <c r="G326" s="3" t="s">
        <v>102</v>
      </c>
      <c r="H326" s="3" t="s">
        <v>60</v>
      </c>
      <c r="I326" s="3" t="s">
        <v>36</v>
      </c>
      <c r="J326" s="4">
        <v>46132.0</v>
      </c>
      <c r="K326" s="4">
        <v>46139.0</v>
      </c>
      <c r="L326" s="4">
        <v>46148.0</v>
      </c>
      <c r="M326" s="4">
        <v>46157.0</v>
      </c>
      <c r="N326" s="4">
        <v>46174.0</v>
      </c>
      <c r="O326" s="3" t="s">
        <v>28</v>
      </c>
      <c r="P326" s="4">
        <v>46132.0</v>
      </c>
      <c r="Q326" s="3">
        <v>42.0</v>
      </c>
      <c r="R326" s="3" t="s">
        <v>29</v>
      </c>
    </row>
    <row r="327">
      <c r="A327" s="3" t="s">
        <v>489</v>
      </c>
      <c r="B327" s="3" t="s">
        <v>404</v>
      </c>
      <c r="C327" s="3" t="s">
        <v>115</v>
      </c>
      <c r="D327" s="3" t="s">
        <v>115</v>
      </c>
      <c r="E327" s="3" t="s">
        <v>40</v>
      </c>
      <c r="F327" s="3" t="s">
        <v>24</v>
      </c>
      <c r="G327" s="3" t="s">
        <v>90</v>
      </c>
      <c r="H327" s="3" t="s">
        <v>54</v>
      </c>
      <c r="I327" s="3" t="s">
        <v>54</v>
      </c>
      <c r="J327" s="4">
        <v>46063.0</v>
      </c>
      <c r="K327" s="7"/>
      <c r="L327" s="7"/>
      <c r="M327" s="7"/>
      <c r="N327" s="7"/>
      <c r="O327" s="3" t="s">
        <v>55</v>
      </c>
      <c r="P327" s="4">
        <v>46061.0</v>
      </c>
      <c r="R327" s="3" t="s">
        <v>45</v>
      </c>
    </row>
    <row r="328">
      <c r="A328" s="3" t="s">
        <v>490</v>
      </c>
      <c r="B328" s="3" t="s">
        <v>259</v>
      </c>
      <c r="C328" s="3" t="s">
        <v>51</v>
      </c>
      <c r="D328" s="3" t="s">
        <v>22</v>
      </c>
      <c r="E328" s="3" t="s">
        <v>52</v>
      </c>
      <c r="F328" s="3" t="s">
        <v>33</v>
      </c>
      <c r="G328" s="3" t="s">
        <v>81</v>
      </c>
      <c r="H328" s="3" t="s">
        <v>54</v>
      </c>
      <c r="I328" s="3" t="s">
        <v>54</v>
      </c>
      <c r="J328" s="4">
        <v>46168.0</v>
      </c>
      <c r="K328" s="7"/>
      <c r="L328" s="7"/>
      <c r="M328" s="7"/>
      <c r="N328" s="7"/>
      <c r="O328" s="3" t="s">
        <v>55</v>
      </c>
      <c r="P328" s="4">
        <v>46164.0</v>
      </c>
      <c r="R328" s="3" t="s">
        <v>29</v>
      </c>
    </row>
    <row r="329">
      <c r="A329" s="3" t="s">
        <v>491</v>
      </c>
      <c r="B329" s="3" t="s">
        <v>259</v>
      </c>
      <c r="C329" s="3" t="s">
        <v>51</v>
      </c>
      <c r="D329" s="3" t="s">
        <v>22</v>
      </c>
      <c r="E329" s="3" t="s">
        <v>23</v>
      </c>
      <c r="F329" s="3" t="s">
        <v>48</v>
      </c>
      <c r="G329" s="3" t="s">
        <v>75</v>
      </c>
      <c r="H329" s="3" t="s">
        <v>60</v>
      </c>
      <c r="I329" s="3" t="s">
        <v>36</v>
      </c>
      <c r="J329" s="4">
        <v>46116.0</v>
      </c>
      <c r="K329" s="4">
        <v>46121.0</v>
      </c>
      <c r="L329" s="4">
        <v>46134.0</v>
      </c>
      <c r="M329" s="7"/>
      <c r="N329" s="7"/>
      <c r="O329" s="3" t="s">
        <v>44</v>
      </c>
      <c r="P329" s="4">
        <v>46116.0</v>
      </c>
      <c r="R329" s="3" t="s">
        <v>29</v>
      </c>
    </row>
    <row r="330">
      <c r="A330" s="3" t="s">
        <v>492</v>
      </c>
      <c r="B330" s="3" t="s">
        <v>123</v>
      </c>
      <c r="C330" s="3" t="s">
        <v>115</v>
      </c>
      <c r="D330" s="3" t="s">
        <v>115</v>
      </c>
      <c r="E330" s="3" t="s">
        <v>52</v>
      </c>
      <c r="F330" s="3" t="s">
        <v>41</v>
      </c>
      <c r="G330" s="3" t="s">
        <v>70</v>
      </c>
      <c r="H330" s="3" t="s">
        <v>60</v>
      </c>
      <c r="I330" s="3" t="s">
        <v>36</v>
      </c>
      <c r="J330" s="4">
        <v>46152.0</v>
      </c>
      <c r="K330" s="7"/>
      <c r="L330" s="7"/>
      <c r="M330" s="7"/>
      <c r="N330" s="7"/>
      <c r="O330" s="3" t="s">
        <v>55</v>
      </c>
      <c r="P330" s="4">
        <v>46152.0</v>
      </c>
      <c r="R330" s="3" t="s">
        <v>29</v>
      </c>
    </row>
    <row r="331">
      <c r="A331" s="3" t="s">
        <v>493</v>
      </c>
      <c r="B331" s="3" t="s">
        <v>123</v>
      </c>
      <c r="C331" s="3" t="s">
        <v>67</v>
      </c>
      <c r="D331" s="3" t="s">
        <v>67</v>
      </c>
      <c r="E331" s="3" t="s">
        <v>52</v>
      </c>
      <c r="F331" s="3" t="s">
        <v>33</v>
      </c>
      <c r="G331" s="3" t="s">
        <v>110</v>
      </c>
      <c r="H331" s="3" t="s">
        <v>26</v>
      </c>
      <c r="I331" s="3" t="s">
        <v>36</v>
      </c>
      <c r="J331" s="4">
        <v>46060.0</v>
      </c>
      <c r="K331" s="4">
        <v>46066.0</v>
      </c>
      <c r="L331" s="7"/>
      <c r="M331" s="7"/>
      <c r="N331" s="7"/>
      <c r="O331" s="3" t="s">
        <v>37</v>
      </c>
      <c r="P331" s="4">
        <v>46059.0</v>
      </c>
      <c r="R331" s="3" t="s">
        <v>29</v>
      </c>
    </row>
    <row r="332">
      <c r="A332" s="3" t="s">
        <v>494</v>
      </c>
      <c r="B332" s="3" t="s">
        <v>126</v>
      </c>
      <c r="C332" s="3" t="s">
        <v>93</v>
      </c>
      <c r="D332" s="3" t="s">
        <v>89</v>
      </c>
      <c r="E332" s="3" t="s">
        <v>47</v>
      </c>
      <c r="F332" s="3" t="s">
        <v>24</v>
      </c>
      <c r="G332" s="3" t="s">
        <v>99</v>
      </c>
      <c r="H332" s="3" t="s">
        <v>35</v>
      </c>
      <c r="I332" s="3" t="s">
        <v>36</v>
      </c>
      <c r="J332" s="4">
        <v>46162.0</v>
      </c>
      <c r="K332" s="4">
        <v>46169.0</v>
      </c>
      <c r="L332" s="4">
        <v>46182.0</v>
      </c>
      <c r="M332" s="4">
        <v>46185.0</v>
      </c>
      <c r="N332" s="4">
        <v>46210.0</v>
      </c>
      <c r="O332" s="3" t="s">
        <v>28</v>
      </c>
      <c r="P332" s="4">
        <v>46157.0</v>
      </c>
      <c r="Q332" s="3">
        <v>53.0</v>
      </c>
      <c r="R332" s="3" t="s">
        <v>29</v>
      </c>
    </row>
    <row r="333">
      <c r="A333" s="3" t="s">
        <v>495</v>
      </c>
      <c r="B333" s="3" t="s">
        <v>200</v>
      </c>
      <c r="C333" s="3" t="s">
        <v>67</v>
      </c>
      <c r="D333" s="3" t="s">
        <v>67</v>
      </c>
      <c r="E333" s="3" t="s">
        <v>23</v>
      </c>
      <c r="F333" s="3" t="s">
        <v>33</v>
      </c>
      <c r="G333" s="3" t="s">
        <v>110</v>
      </c>
      <c r="H333" s="3" t="s">
        <v>60</v>
      </c>
      <c r="I333" s="3" t="s">
        <v>27</v>
      </c>
      <c r="J333" s="4">
        <v>46070.0</v>
      </c>
      <c r="K333" s="4">
        <v>46077.0</v>
      </c>
      <c r="L333" s="4">
        <v>46084.0</v>
      </c>
      <c r="M333" s="4">
        <v>46090.0</v>
      </c>
      <c r="N333" s="4">
        <v>46107.0</v>
      </c>
      <c r="O333" s="3" t="s">
        <v>28</v>
      </c>
      <c r="P333" s="4">
        <v>46070.0</v>
      </c>
      <c r="Q333" s="3">
        <v>37.0</v>
      </c>
      <c r="R333" s="3" t="s">
        <v>29</v>
      </c>
    </row>
    <row r="334">
      <c r="A334" s="3" t="s">
        <v>496</v>
      </c>
      <c r="B334" s="3" t="s">
        <v>175</v>
      </c>
      <c r="C334" s="3" t="s">
        <v>88</v>
      </c>
      <c r="D334" s="3" t="s">
        <v>89</v>
      </c>
      <c r="E334" s="3" t="s">
        <v>47</v>
      </c>
      <c r="F334" s="3" t="s">
        <v>48</v>
      </c>
      <c r="G334" s="3" t="s">
        <v>42</v>
      </c>
      <c r="H334" s="3" t="s">
        <v>26</v>
      </c>
      <c r="I334" s="3" t="s">
        <v>36</v>
      </c>
      <c r="J334" s="4">
        <v>46044.0</v>
      </c>
      <c r="K334" s="4">
        <v>46050.0</v>
      </c>
      <c r="L334" s="4">
        <v>46064.0</v>
      </c>
      <c r="M334" s="7"/>
      <c r="N334" s="7"/>
      <c r="O334" s="3" t="s">
        <v>44</v>
      </c>
      <c r="P334" s="4">
        <v>46044.0</v>
      </c>
      <c r="R334" s="3" t="s">
        <v>45</v>
      </c>
    </row>
    <row r="335">
      <c r="A335" s="3" t="s">
        <v>497</v>
      </c>
      <c r="B335" s="3" t="s">
        <v>135</v>
      </c>
      <c r="C335" s="3" t="s">
        <v>32</v>
      </c>
      <c r="D335" s="3" t="s">
        <v>22</v>
      </c>
      <c r="E335" s="3" t="s">
        <v>40</v>
      </c>
      <c r="F335" s="3" t="s">
        <v>48</v>
      </c>
      <c r="G335" s="3" t="s">
        <v>75</v>
      </c>
      <c r="H335" s="3" t="s">
        <v>43</v>
      </c>
      <c r="I335" s="3" t="s">
        <v>27</v>
      </c>
      <c r="J335" s="4">
        <v>46122.0</v>
      </c>
      <c r="K335" s="4">
        <v>46128.0</v>
      </c>
      <c r="L335" s="4">
        <v>46138.0</v>
      </c>
      <c r="M335" s="4">
        <v>46148.0</v>
      </c>
      <c r="N335" s="4">
        <v>46168.0</v>
      </c>
      <c r="O335" s="3" t="s">
        <v>28</v>
      </c>
      <c r="P335" s="4">
        <v>46121.0</v>
      </c>
      <c r="Q335" s="3">
        <v>47.0</v>
      </c>
      <c r="R335" s="3" t="s">
        <v>29</v>
      </c>
    </row>
    <row r="336">
      <c r="A336" s="3" t="s">
        <v>498</v>
      </c>
      <c r="B336" s="3" t="s">
        <v>31</v>
      </c>
      <c r="C336" s="3" t="s">
        <v>93</v>
      </c>
      <c r="D336" s="3" t="s">
        <v>89</v>
      </c>
      <c r="E336" s="3" t="s">
        <v>52</v>
      </c>
      <c r="F336" s="3" t="s">
        <v>24</v>
      </c>
      <c r="G336" s="3" t="s">
        <v>121</v>
      </c>
      <c r="H336" s="3" t="s">
        <v>54</v>
      </c>
      <c r="I336" s="3" t="s">
        <v>54</v>
      </c>
      <c r="J336" s="4">
        <v>46172.0</v>
      </c>
      <c r="K336" s="4">
        <v>46178.0</v>
      </c>
      <c r="L336" s="4">
        <v>46185.0</v>
      </c>
      <c r="M336" s="4">
        <v>46190.0</v>
      </c>
      <c r="N336" s="4">
        <v>46205.0</v>
      </c>
      <c r="O336" s="3" t="s">
        <v>28</v>
      </c>
      <c r="P336" s="4">
        <v>46172.0</v>
      </c>
      <c r="Q336" s="3">
        <v>33.0</v>
      </c>
      <c r="R336" s="3" t="s">
        <v>29</v>
      </c>
    </row>
    <row r="337">
      <c r="A337" s="3" t="s">
        <v>499</v>
      </c>
      <c r="B337" s="3" t="s">
        <v>259</v>
      </c>
      <c r="C337" s="3" t="s">
        <v>58</v>
      </c>
      <c r="D337" s="3" t="s">
        <v>58</v>
      </c>
      <c r="E337" s="3" t="s">
        <v>23</v>
      </c>
      <c r="F337" s="3" t="s">
        <v>24</v>
      </c>
      <c r="G337" s="3" t="s">
        <v>34</v>
      </c>
      <c r="H337" s="3" t="s">
        <v>43</v>
      </c>
      <c r="I337" s="3" t="s">
        <v>27</v>
      </c>
      <c r="J337" s="4">
        <v>46043.0</v>
      </c>
      <c r="K337" s="4">
        <v>46049.0</v>
      </c>
      <c r="L337" s="4">
        <v>46057.0</v>
      </c>
      <c r="M337" s="7"/>
      <c r="N337" s="7"/>
      <c r="O337" s="3" t="s">
        <v>44</v>
      </c>
      <c r="P337" s="4">
        <v>46039.0</v>
      </c>
      <c r="R337" s="3" t="s">
        <v>29</v>
      </c>
    </row>
    <row r="338">
      <c r="A338" s="3" t="s">
        <v>500</v>
      </c>
      <c r="B338" s="3" t="s">
        <v>188</v>
      </c>
      <c r="C338" s="3" t="s">
        <v>51</v>
      </c>
      <c r="D338" s="3" t="s">
        <v>22</v>
      </c>
      <c r="E338" s="3" t="s">
        <v>52</v>
      </c>
      <c r="F338" s="3" t="s">
        <v>48</v>
      </c>
      <c r="G338" s="3" t="s">
        <v>75</v>
      </c>
      <c r="H338" s="3" t="s">
        <v>54</v>
      </c>
      <c r="I338" s="3" t="s">
        <v>54</v>
      </c>
      <c r="J338" s="4">
        <v>46063.0</v>
      </c>
      <c r="K338" s="4">
        <v>46068.0</v>
      </c>
      <c r="L338" s="4">
        <v>46076.0</v>
      </c>
      <c r="M338" s="7"/>
      <c r="N338" s="7"/>
      <c r="O338" s="3" t="s">
        <v>55</v>
      </c>
      <c r="P338" s="4">
        <v>46058.0</v>
      </c>
      <c r="R338" s="3" t="s">
        <v>29</v>
      </c>
    </row>
    <row r="339">
      <c r="A339" s="3" t="s">
        <v>501</v>
      </c>
      <c r="B339" s="3" t="s">
        <v>135</v>
      </c>
      <c r="C339" s="3" t="s">
        <v>58</v>
      </c>
      <c r="D339" s="3" t="s">
        <v>58</v>
      </c>
      <c r="E339" s="3" t="s">
        <v>47</v>
      </c>
      <c r="F339" s="3" t="s">
        <v>48</v>
      </c>
      <c r="G339" s="3" t="s">
        <v>63</v>
      </c>
      <c r="H339" s="3" t="s">
        <v>54</v>
      </c>
      <c r="I339" s="3" t="s">
        <v>54</v>
      </c>
      <c r="J339" s="4">
        <v>46162.0</v>
      </c>
      <c r="K339" s="4">
        <v>46166.0</v>
      </c>
      <c r="L339" s="7"/>
      <c r="M339" s="7"/>
      <c r="N339" s="7"/>
      <c r="O339" s="3" t="s">
        <v>55</v>
      </c>
      <c r="P339" s="4">
        <v>46159.0</v>
      </c>
      <c r="R339" s="3" t="s">
        <v>29</v>
      </c>
    </row>
    <row r="340">
      <c r="A340" s="3" t="s">
        <v>502</v>
      </c>
      <c r="B340" s="3" t="s">
        <v>145</v>
      </c>
      <c r="C340" s="3" t="s">
        <v>88</v>
      </c>
      <c r="D340" s="3" t="s">
        <v>89</v>
      </c>
      <c r="E340" s="3" t="s">
        <v>23</v>
      </c>
      <c r="F340" s="3" t="s">
        <v>41</v>
      </c>
      <c r="G340" s="3" t="s">
        <v>81</v>
      </c>
      <c r="H340" s="3" t="s">
        <v>43</v>
      </c>
      <c r="I340" s="3" t="s">
        <v>36</v>
      </c>
      <c r="J340" s="4">
        <v>46151.0</v>
      </c>
      <c r="K340" s="4">
        <v>46158.0</v>
      </c>
      <c r="L340" s="4">
        <v>46169.0</v>
      </c>
      <c r="M340" s="4">
        <v>46172.0</v>
      </c>
      <c r="N340" s="4">
        <v>46183.0</v>
      </c>
      <c r="O340" s="3" t="s">
        <v>28</v>
      </c>
      <c r="P340" s="4">
        <v>46149.0</v>
      </c>
      <c r="Q340" s="3">
        <v>34.0</v>
      </c>
      <c r="R340" s="3" t="s">
        <v>29</v>
      </c>
    </row>
    <row r="341">
      <c r="A341" s="3" t="s">
        <v>503</v>
      </c>
      <c r="B341" s="3" t="s">
        <v>161</v>
      </c>
      <c r="C341" s="3" t="s">
        <v>21</v>
      </c>
      <c r="D341" s="3" t="s">
        <v>22</v>
      </c>
      <c r="E341" s="3" t="s">
        <v>47</v>
      </c>
      <c r="F341" s="3" t="s">
        <v>41</v>
      </c>
      <c r="G341" s="3" t="s">
        <v>173</v>
      </c>
      <c r="H341" s="3" t="s">
        <v>60</v>
      </c>
      <c r="I341" s="3" t="s">
        <v>27</v>
      </c>
      <c r="J341" s="4">
        <v>46058.0</v>
      </c>
      <c r="K341" s="4">
        <v>46060.0</v>
      </c>
      <c r="L341" s="7"/>
      <c r="M341" s="7"/>
      <c r="N341" s="7"/>
      <c r="O341" s="3" t="s">
        <v>37</v>
      </c>
      <c r="P341" s="4">
        <v>46057.0</v>
      </c>
      <c r="R341" s="3" t="s">
        <v>29</v>
      </c>
    </row>
    <row r="342">
      <c r="A342" s="3" t="s">
        <v>504</v>
      </c>
      <c r="B342" s="3" t="s">
        <v>83</v>
      </c>
      <c r="C342" s="3" t="s">
        <v>88</v>
      </c>
      <c r="D342" s="3" t="s">
        <v>89</v>
      </c>
      <c r="E342" s="3" t="s">
        <v>52</v>
      </c>
      <c r="F342" s="3" t="s">
        <v>48</v>
      </c>
      <c r="G342" s="3" t="s">
        <v>110</v>
      </c>
      <c r="H342" s="3" t="s">
        <v>35</v>
      </c>
      <c r="I342" s="3" t="s">
        <v>36</v>
      </c>
      <c r="J342" s="4">
        <v>46027.0</v>
      </c>
      <c r="K342" s="4">
        <v>46034.0</v>
      </c>
      <c r="L342" s="4">
        <v>46043.0</v>
      </c>
      <c r="M342" s="7"/>
      <c r="N342" s="7"/>
      <c r="O342" s="3" t="s">
        <v>104</v>
      </c>
      <c r="P342" s="4">
        <v>46025.0</v>
      </c>
      <c r="R342" s="3" t="s">
        <v>29</v>
      </c>
    </row>
    <row r="343">
      <c r="A343" s="3" t="s">
        <v>505</v>
      </c>
      <c r="B343" s="3" t="s">
        <v>183</v>
      </c>
      <c r="C343" s="3" t="s">
        <v>115</v>
      </c>
      <c r="D343" s="3" t="s">
        <v>115</v>
      </c>
      <c r="E343" s="3" t="s">
        <v>47</v>
      </c>
      <c r="F343" s="3" t="s">
        <v>33</v>
      </c>
      <c r="G343" s="3" t="s">
        <v>102</v>
      </c>
      <c r="H343" s="3" t="s">
        <v>26</v>
      </c>
      <c r="I343" s="3" t="s">
        <v>36</v>
      </c>
      <c r="J343" s="4">
        <v>46119.0</v>
      </c>
      <c r="K343" s="7"/>
      <c r="L343" s="7"/>
      <c r="M343" s="7"/>
      <c r="N343" s="7"/>
      <c r="O343" s="3" t="s">
        <v>104</v>
      </c>
      <c r="P343" s="4">
        <v>46117.0</v>
      </c>
      <c r="R343" s="3" t="s">
        <v>29</v>
      </c>
    </row>
    <row r="344">
      <c r="A344" s="3" t="s">
        <v>506</v>
      </c>
      <c r="B344" s="3" t="s">
        <v>50</v>
      </c>
      <c r="C344" s="3" t="s">
        <v>58</v>
      </c>
      <c r="D344" s="3" t="s">
        <v>58</v>
      </c>
      <c r="E344" s="3" t="s">
        <v>47</v>
      </c>
      <c r="F344" s="3" t="s">
        <v>48</v>
      </c>
      <c r="G344" s="3" t="s">
        <v>42</v>
      </c>
      <c r="H344" s="3" t="s">
        <v>26</v>
      </c>
      <c r="I344" s="3" t="s">
        <v>36</v>
      </c>
      <c r="J344" s="4">
        <v>46091.0</v>
      </c>
      <c r="K344" s="7"/>
      <c r="L344" s="7"/>
      <c r="M344" s="7"/>
      <c r="N344" s="7"/>
      <c r="O344" s="3" t="s">
        <v>55</v>
      </c>
      <c r="P344" s="4">
        <v>46090.0</v>
      </c>
      <c r="R344" s="3" t="s">
        <v>29</v>
      </c>
    </row>
    <row r="345">
      <c r="A345" s="3" t="s">
        <v>507</v>
      </c>
      <c r="B345" s="3" t="s">
        <v>301</v>
      </c>
      <c r="C345" s="3" t="s">
        <v>32</v>
      </c>
      <c r="D345" s="3" t="s">
        <v>22</v>
      </c>
      <c r="E345" s="3" t="s">
        <v>40</v>
      </c>
      <c r="F345" s="3" t="s">
        <v>33</v>
      </c>
      <c r="G345" s="3" t="s">
        <v>34</v>
      </c>
      <c r="H345" s="3" t="s">
        <v>35</v>
      </c>
      <c r="I345" s="3" t="s">
        <v>36</v>
      </c>
      <c r="J345" s="4">
        <v>46148.0</v>
      </c>
      <c r="K345" s="4">
        <v>46152.0</v>
      </c>
      <c r="L345" s="4">
        <v>46163.0</v>
      </c>
      <c r="M345" s="4">
        <v>46167.0</v>
      </c>
      <c r="N345" s="7"/>
      <c r="O345" s="3" t="s">
        <v>76</v>
      </c>
      <c r="P345" s="4">
        <v>46147.0</v>
      </c>
      <c r="R345" s="3" t="s">
        <v>45</v>
      </c>
    </row>
    <row r="346">
      <c r="A346" s="3" t="s">
        <v>508</v>
      </c>
      <c r="B346" s="3" t="s">
        <v>39</v>
      </c>
      <c r="C346" s="3" t="s">
        <v>67</v>
      </c>
      <c r="D346" s="3" t="s">
        <v>67</v>
      </c>
      <c r="E346" s="3" t="s">
        <v>40</v>
      </c>
      <c r="F346" s="3" t="s">
        <v>24</v>
      </c>
      <c r="G346" s="3" t="s">
        <v>59</v>
      </c>
      <c r="H346" s="3" t="s">
        <v>60</v>
      </c>
      <c r="I346" s="3" t="s">
        <v>36</v>
      </c>
      <c r="J346" s="4">
        <v>46047.0</v>
      </c>
      <c r="K346" s="4">
        <v>46052.0</v>
      </c>
      <c r="L346" s="4">
        <v>46057.0</v>
      </c>
      <c r="M346" s="4">
        <v>46066.0</v>
      </c>
      <c r="N346" s="7"/>
      <c r="O346" s="3" t="s">
        <v>76</v>
      </c>
      <c r="P346" s="4">
        <v>46046.0</v>
      </c>
      <c r="R346" s="3" t="s">
        <v>45</v>
      </c>
    </row>
    <row r="347">
      <c r="A347" s="3" t="s">
        <v>509</v>
      </c>
      <c r="B347" s="3" t="s">
        <v>80</v>
      </c>
      <c r="C347" s="3" t="s">
        <v>58</v>
      </c>
      <c r="D347" s="3" t="s">
        <v>58</v>
      </c>
      <c r="E347" s="3" t="s">
        <v>52</v>
      </c>
      <c r="F347" s="3" t="s">
        <v>24</v>
      </c>
      <c r="G347" s="3" t="s">
        <v>84</v>
      </c>
      <c r="H347" s="3" t="s">
        <v>35</v>
      </c>
      <c r="I347" s="3" t="s">
        <v>27</v>
      </c>
      <c r="J347" s="4">
        <v>46174.0</v>
      </c>
      <c r="K347" s="7"/>
      <c r="L347" s="7"/>
      <c r="M347" s="7"/>
      <c r="N347" s="7"/>
      <c r="O347" s="3" t="s">
        <v>104</v>
      </c>
      <c r="P347" s="4">
        <v>46172.0</v>
      </c>
      <c r="R347" s="3" t="s">
        <v>29</v>
      </c>
    </row>
    <row r="348">
      <c r="A348" s="3" t="s">
        <v>510</v>
      </c>
      <c r="B348" s="3" t="s">
        <v>120</v>
      </c>
      <c r="C348" s="3" t="s">
        <v>115</v>
      </c>
      <c r="D348" s="3" t="s">
        <v>115</v>
      </c>
      <c r="E348" s="3" t="s">
        <v>23</v>
      </c>
      <c r="F348" s="3" t="s">
        <v>33</v>
      </c>
      <c r="G348" s="3" t="s">
        <v>75</v>
      </c>
      <c r="H348" s="3" t="s">
        <v>26</v>
      </c>
      <c r="I348" s="3" t="s">
        <v>36</v>
      </c>
      <c r="J348" s="4">
        <v>46085.0</v>
      </c>
      <c r="K348" s="4">
        <v>46091.0</v>
      </c>
      <c r="L348" s="4">
        <v>46105.0</v>
      </c>
      <c r="M348" s="7"/>
      <c r="N348" s="7"/>
      <c r="O348" s="3" t="s">
        <v>44</v>
      </c>
      <c r="P348" s="4">
        <v>46082.0</v>
      </c>
      <c r="R348" s="3" t="s">
        <v>45</v>
      </c>
    </row>
    <row r="349">
      <c r="A349" s="3" t="s">
        <v>511</v>
      </c>
      <c r="B349" s="3" t="s">
        <v>31</v>
      </c>
      <c r="C349" s="3" t="s">
        <v>32</v>
      </c>
      <c r="D349" s="3" t="s">
        <v>22</v>
      </c>
      <c r="E349" s="3" t="s">
        <v>40</v>
      </c>
      <c r="F349" s="3" t="s">
        <v>41</v>
      </c>
      <c r="G349" s="3" t="s">
        <v>63</v>
      </c>
      <c r="H349" s="3" t="s">
        <v>43</v>
      </c>
      <c r="I349" s="3" t="s">
        <v>36</v>
      </c>
      <c r="J349" s="4">
        <v>46053.0</v>
      </c>
      <c r="K349" s="4">
        <v>46058.0</v>
      </c>
      <c r="L349" s="4">
        <v>46067.0</v>
      </c>
      <c r="M349" s="4">
        <v>46071.0</v>
      </c>
      <c r="N349" s="7"/>
      <c r="O349" s="3" t="s">
        <v>76</v>
      </c>
      <c r="P349" s="4">
        <v>46049.0</v>
      </c>
      <c r="R349" s="3" t="s">
        <v>29</v>
      </c>
    </row>
    <row r="350">
      <c r="A350" s="3" t="s">
        <v>512</v>
      </c>
      <c r="B350" s="3" t="s">
        <v>87</v>
      </c>
      <c r="C350" s="3" t="s">
        <v>93</v>
      </c>
      <c r="D350" s="3" t="s">
        <v>89</v>
      </c>
      <c r="E350" s="3" t="s">
        <v>52</v>
      </c>
      <c r="F350" s="3" t="s">
        <v>48</v>
      </c>
      <c r="G350" s="3" t="s">
        <v>121</v>
      </c>
      <c r="H350" s="3" t="s">
        <v>43</v>
      </c>
      <c r="I350" s="3" t="s">
        <v>36</v>
      </c>
      <c r="J350" s="4">
        <v>46062.0</v>
      </c>
      <c r="K350" s="4">
        <v>46066.0</v>
      </c>
      <c r="L350" s="7"/>
      <c r="M350" s="7"/>
      <c r="N350" s="7"/>
      <c r="O350" s="3" t="s">
        <v>104</v>
      </c>
      <c r="P350" s="4">
        <v>46062.0</v>
      </c>
      <c r="R350" s="3" t="s">
        <v>29</v>
      </c>
    </row>
    <row r="351">
      <c r="A351" s="3" t="s">
        <v>513</v>
      </c>
      <c r="B351" s="3" t="s">
        <v>80</v>
      </c>
      <c r="C351" s="3" t="s">
        <v>51</v>
      </c>
      <c r="D351" s="3" t="s">
        <v>22</v>
      </c>
      <c r="E351" s="3" t="s">
        <v>40</v>
      </c>
      <c r="F351" s="3" t="s">
        <v>48</v>
      </c>
      <c r="G351" s="3" t="s">
        <v>181</v>
      </c>
      <c r="H351" s="3" t="s">
        <v>60</v>
      </c>
      <c r="I351" s="3" t="s">
        <v>27</v>
      </c>
      <c r="J351" s="4">
        <v>46042.0</v>
      </c>
      <c r="K351" s="4">
        <v>46046.0</v>
      </c>
      <c r="L351" s="4">
        <v>46055.0</v>
      </c>
      <c r="M351" s="7"/>
      <c r="N351" s="7"/>
      <c r="O351" s="3" t="s">
        <v>44</v>
      </c>
      <c r="P351" s="4">
        <v>46040.0</v>
      </c>
      <c r="R351" s="3" t="s">
        <v>29</v>
      </c>
    </row>
    <row r="352">
      <c r="A352" s="3" t="s">
        <v>514</v>
      </c>
      <c r="B352" s="3" t="s">
        <v>265</v>
      </c>
      <c r="C352" s="3" t="s">
        <v>67</v>
      </c>
      <c r="D352" s="3" t="s">
        <v>67</v>
      </c>
      <c r="E352" s="3" t="s">
        <v>52</v>
      </c>
      <c r="F352" s="3" t="s">
        <v>41</v>
      </c>
      <c r="G352" s="3" t="s">
        <v>34</v>
      </c>
      <c r="H352" s="3" t="s">
        <v>43</v>
      </c>
      <c r="I352" s="3" t="s">
        <v>36</v>
      </c>
      <c r="J352" s="4">
        <v>46085.0</v>
      </c>
      <c r="K352" s="4">
        <v>46089.0</v>
      </c>
      <c r="L352" s="4">
        <v>46100.0</v>
      </c>
      <c r="M352" s="7"/>
      <c r="N352" s="7"/>
      <c r="O352" s="3" t="s">
        <v>44</v>
      </c>
      <c r="P352" s="4">
        <v>46080.0</v>
      </c>
      <c r="R352" s="3" t="s">
        <v>29</v>
      </c>
    </row>
    <row r="353">
      <c r="A353" s="3" t="s">
        <v>515</v>
      </c>
      <c r="B353" s="3" t="s">
        <v>135</v>
      </c>
      <c r="C353" s="3" t="s">
        <v>58</v>
      </c>
      <c r="D353" s="3" t="s">
        <v>58</v>
      </c>
      <c r="E353" s="3" t="s">
        <v>23</v>
      </c>
      <c r="F353" s="3" t="s">
        <v>48</v>
      </c>
      <c r="G353" s="3" t="s">
        <v>81</v>
      </c>
      <c r="H353" s="3" t="s">
        <v>35</v>
      </c>
      <c r="I353" s="3" t="s">
        <v>27</v>
      </c>
      <c r="J353" s="4">
        <v>46092.0</v>
      </c>
      <c r="K353" s="4">
        <v>46098.0</v>
      </c>
      <c r="L353" s="4">
        <v>46106.0</v>
      </c>
      <c r="M353" s="4">
        <v>46115.0</v>
      </c>
      <c r="N353" s="4">
        <v>46132.0</v>
      </c>
      <c r="O353" s="3" t="s">
        <v>28</v>
      </c>
      <c r="P353" s="4">
        <v>46091.0</v>
      </c>
      <c r="Q353" s="3">
        <v>41.0</v>
      </c>
      <c r="R353" s="3" t="s">
        <v>29</v>
      </c>
    </row>
    <row r="354">
      <c r="A354" s="3" t="s">
        <v>516</v>
      </c>
      <c r="B354" s="3" t="s">
        <v>145</v>
      </c>
      <c r="C354" s="3" t="s">
        <v>51</v>
      </c>
      <c r="D354" s="3" t="s">
        <v>22</v>
      </c>
      <c r="E354" s="3" t="s">
        <v>52</v>
      </c>
      <c r="F354" s="3" t="s">
        <v>48</v>
      </c>
      <c r="G354" s="3" t="s">
        <v>181</v>
      </c>
      <c r="H354" s="3" t="s">
        <v>43</v>
      </c>
      <c r="I354" s="3" t="s">
        <v>36</v>
      </c>
      <c r="J354" s="4">
        <v>46166.0</v>
      </c>
      <c r="K354" s="4">
        <v>46169.0</v>
      </c>
      <c r="L354" s="4">
        <v>46176.0</v>
      </c>
      <c r="M354" s="4">
        <v>46186.0</v>
      </c>
      <c r="N354" s="4">
        <v>46209.0</v>
      </c>
      <c r="O354" s="3" t="s">
        <v>28</v>
      </c>
      <c r="P354" s="4">
        <v>46165.0</v>
      </c>
      <c r="Q354" s="3">
        <v>44.0</v>
      </c>
      <c r="R354" s="3" t="s">
        <v>29</v>
      </c>
    </row>
    <row r="355">
      <c r="A355" s="3" t="s">
        <v>517</v>
      </c>
      <c r="B355" s="3" t="s">
        <v>161</v>
      </c>
      <c r="C355" s="3" t="s">
        <v>88</v>
      </c>
      <c r="D355" s="3" t="s">
        <v>89</v>
      </c>
      <c r="E355" s="3" t="s">
        <v>47</v>
      </c>
      <c r="F355" s="3" t="s">
        <v>24</v>
      </c>
      <c r="G355" s="3" t="s">
        <v>34</v>
      </c>
      <c r="H355" s="3" t="s">
        <v>35</v>
      </c>
      <c r="I355" s="3" t="s">
        <v>27</v>
      </c>
      <c r="J355" s="4">
        <v>46030.0</v>
      </c>
      <c r="K355" s="4">
        <v>46036.0</v>
      </c>
      <c r="L355" s="7"/>
      <c r="M355" s="7"/>
      <c r="N355" s="7"/>
      <c r="O355" s="3" t="s">
        <v>55</v>
      </c>
      <c r="P355" s="4">
        <v>46030.0</v>
      </c>
      <c r="R355" s="3" t="s">
        <v>29</v>
      </c>
    </row>
    <row r="356">
      <c r="A356" s="3" t="s">
        <v>518</v>
      </c>
      <c r="B356" s="3" t="s">
        <v>123</v>
      </c>
      <c r="C356" s="3" t="s">
        <v>58</v>
      </c>
      <c r="D356" s="3" t="s">
        <v>58</v>
      </c>
      <c r="E356" s="3" t="s">
        <v>23</v>
      </c>
      <c r="F356" s="3" t="s">
        <v>24</v>
      </c>
      <c r="G356" s="3" t="s">
        <v>75</v>
      </c>
      <c r="H356" s="3" t="s">
        <v>60</v>
      </c>
      <c r="I356" s="3" t="s">
        <v>36</v>
      </c>
      <c r="J356" s="4">
        <v>46088.0</v>
      </c>
      <c r="K356" s="4">
        <v>46091.0</v>
      </c>
      <c r="L356" s="4">
        <v>46103.0</v>
      </c>
      <c r="M356" s="4">
        <v>46110.0</v>
      </c>
      <c r="N356" s="7"/>
      <c r="O356" s="3" t="s">
        <v>76</v>
      </c>
      <c r="P356" s="4">
        <v>46084.0</v>
      </c>
      <c r="R356" s="3" t="s">
        <v>29</v>
      </c>
    </row>
    <row r="357">
      <c r="A357" s="3" t="s">
        <v>520</v>
      </c>
      <c r="B357" s="3" t="s">
        <v>74</v>
      </c>
      <c r="C357" s="3" t="s">
        <v>88</v>
      </c>
      <c r="D357" s="3" t="s">
        <v>89</v>
      </c>
      <c r="E357" s="3" t="s">
        <v>40</v>
      </c>
      <c r="F357" s="3" t="s">
        <v>33</v>
      </c>
      <c r="G357" s="3" t="s">
        <v>25</v>
      </c>
      <c r="H357" s="3" t="s">
        <v>43</v>
      </c>
      <c r="I357" s="3" t="s">
        <v>36</v>
      </c>
      <c r="J357" s="4">
        <v>46042.0</v>
      </c>
      <c r="K357" s="7"/>
      <c r="L357" s="7"/>
      <c r="M357" s="7"/>
      <c r="N357" s="7"/>
      <c r="O357" s="3" t="s">
        <v>104</v>
      </c>
      <c r="P357" s="4">
        <v>46040.0</v>
      </c>
      <c r="R357" s="3" t="s">
        <v>29</v>
      </c>
    </row>
    <row r="358">
      <c r="A358" s="3" t="s">
        <v>521</v>
      </c>
      <c r="B358" s="3" t="s">
        <v>123</v>
      </c>
      <c r="C358" s="3" t="s">
        <v>67</v>
      </c>
      <c r="D358" s="3" t="s">
        <v>67</v>
      </c>
      <c r="E358" s="3" t="s">
        <v>40</v>
      </c>
      <c r="F358" s="3" t="s">
        <v>48</v>
      </c>
      <c r="G358" s="3" t="s">
        <v>181</v>
      </c>
      <c r="H358" s="3" t="s">
        <v>26</v>
      </c>
      <c r="I358" s="3" t="s">
        <v>36</v>
      </c>
      <c r="J358" s="4">
        <v>46082.0</v>
      </c>
      <c r="K358" s="4">
        <v>46088.0</v>
      </c>
      <c r="L358" s="4">
        <v>46099.0</v>
      </c>
      <c r="M358" s="7"/>
      <c r="N358" s="7"/>
      <c r="O358" s="3" t="s">
        <v>104</v>
      </c>
      <c r="P358" s="4">
        <v>46078.0</v>
      </c>
      <c r="R358" s="3" t="s">
        <v>29</v>
      </c>
    </row>
    <row r="359">
      <c r="A359" s="3" t="s">
        <v>523</v>
      </c>
      <c r="B359" s="3" t="s">
        <v>212</v>
      </c>
      <c r="C359" s="3" t="s">
        <v>88</v>
      </c>
      <c r="D359" s="3" t="s">
        <v>89</v>
      </c>
      <c r="E359" s="3" t="s">
        <v>40</v>
      </c>
      <c r="F359" s="3" t="s">
        <v>33</v>
      </c>
      <c r="G359" s="3" t="s">
        <v>110</v>
      </c>
      <c r="H359" s="3" t="s">
        <v>54</v>
      </c>
      <c r="I359" s="3" t="s">
        <v>54</v>
      </c>
      <c r="J359" s="4">
        <v>46061.0</v>
      </c>
      <c r="K359" s="4">
        <v>46064.0</v>
      </c>
      <c r="L359" s="4">
        <v>46074.0</v>
      </c>
      <c r="M359" s="3" t="s">
        <v>422</v>
      </c>
      <c r="N359" s="4">
        <v>46096.0</v>
      </c>
      <c r="O359" s="3" t="s">
        <v>28</v>
      </c>
      <c r="P359" s="4">
        <v>46057.0</v>
      </c>
      <c r="Q359" s="3">
        <v>39.0</v>
      </c>
      <c r="R359" s="3" t="s">
        <v>29</v>
      </c>
    </row>
    <row r="360">
      <c r="A360" s="3" t="s">
        <v>525</v>
      </c>
      <c r="B360" s="3" t="s">
        <v>80</v>
      </c>
      <c r="C360" s="3" t="s">
        <v>21</v>
      </c>
      <c r="D360" s="3" t="s">
        <v>22</v>
      </c>
      <c r="E360" s="3" t="s">
        <v>47</v>
      </c>
      <c r="F360" s="3" t="s">
        <v>24</v>
      </c>
      <c r="G360" s="3" t="s">
        <v>34</v>
      </c>
      <c r="H360" s="3" t="s">
        <v>35</v>
      </c>
      <c r="I360" s="3" t="s">
        <v>36</v>
      </c>
      <c r="J360" s="4">
        <v>46155.0</v>
      </c>
      <c r="K360" s="4">
        <v>46160.0</v>
      </c>
      <c r="L360" s="4">
        <v>46166.0</v>
      </c>
      <c r="M360" s="7"/>
      <c r="N360" s="7"/>
      <c r="O360" s="3" t="s">
        <v>44</v>
      </c>
      <c r="P360" s="4">
        <v>46154.0</v>
      </c>
      <c r="R360" s="3" t="s">
        <v>29</v>
      </c>
    </row>
    <row r="361">
      <c r="A361" s="3" t="s">
        <v>527</v>
      </c>
      <c r="B361" s="3" t="s">
        <v>185</v>
      </c>
      <c r="C361" s="3" t="s">
        <v>51</v>
      </c>
      <c r="D361" s="3" t="s">
        <v>22</v>
      </c>
      <c r="E361" s="3" t="s">
        <v>23</v>
      </c>
      <c r="F361" s="3" t="s">
        <v>24</v>
      </c>
      <c r="G361" s="3" t="s">
        <v>110</v>
      </c>
      <c r="H361" s="3" t="s">
        <v>43</v>
      </c>
      <c r="I361" s="3" t="s">
        <v>27</v>
      </c>
      <c r="J361" s="4">
        <v>46112.0</v>
      </c>
      <c r="K361" s="4">
        <v>46116.0</v>
      </c>
      <c r="L361" s="4">
        <v>46126.0</v>
      </c>
      <c r="M361" s="4">
        <v>46132.0</v>
      </c>
      <c r="N361" s="7"/>
      <c r="O361" s="3" t="s">
        <v>55</v>
      </c>
      <c r="P361" s="4">
        <v>46108.0</v>
      </c>
      <c r="R361" s="3" t="s">
        <v>29</v>
      </c>
    </row>
    <row r="362">
      <c r="A362" s="3" t="s">
        <v>529</v>
      </c>
      <c r="B362" s="3" t="s">
        <v>265</v>
      </c>
      <c r="C362" s="3" t="s">
        <v>58</v>
      </c>
      <c r="D362" s="3" t="s">
        <v>58</v>
      </c>
      <c r="E362" s="3" t="s">
        <v>52</v>
      </c>
      <c r="F362" s="3" t="s">
        <v>33</v>
      </c>
      <c r="G362" s="3" t="s">
        <v>94</v>
      </c>
      <c r="H362" s="3" t="s">
        <v>26</v>
      </c>
      <c r="I362" s="3" t="s">
        <v>27</v>
      </c>
      <c r="J362" s="4">
        <v>46153.0</v>
      </c>
      <c r="K362" s="4">
        <v>46155.0</v>
      </c>
      <c r="L362" s="7"/>
      <c r="M362" s="7"/>
      <c r="N362" s="7"/>
      <c r="O362" s="3" t="s">
        <v>37</v>
      </c>
      <c r="P362" s="4">
        <v>46148.0</v>
      </c>
      <c r="R362" s="3" t="s">
        <v>29</v>
      </c>
    </row>
    <row r="363">
      <c r="A363" s="3" t="s">
        <v>531</v>
      </c>
      <c r="B363" s="3" t="s">
        <v>135</v>
      </c>
      <c r="C363" s="3" t="s">
        <v>32</v>
      </c>
      <c r="D363" s="3" t="s">
        <v>22</v>
      </c>
      <c r="E363" s="3" t="s">
        <v>23</v>
      </c>
      <c r="F363" s="3" t="s">
        <v>41</v>
      </c>
      <c r="G363" s="3" t="s">
        <v>59</v>
      </c>
      <c r="H363" s="3" t="s">
        <v>26</v>
      </c>
      <c r="I363" s="3" t="s">
        <v>27</v>
      </c>
      <c r="J363" s="4">
        <v>46077.0</v>
      </c>
      <c r="K363" s="4">
        <v>46083.0</v>
      </c>
      <c r="L363" s="4">
        <v>46093.0</v>
      </c>
      <c r="M363" s="4">
        <v>46102.0</v>
      </c>
      <c r="N363" s="7"/>
      <c r="O363" s="3" t="s">
        <v>76</v>
      </c>
      <c r="P363" s="4">
        <v>46075.0</v>
      </c>
      <c r="R363" s="3" t="s">
        <v>29</v>
      </c>
    </row>
    <row r="364">
      <c r="A364" s="3" t="s">
        <v>532</v>
      </c>
      <c r="B364" s="3" t="s">
        <v>165</v>
      </c>
      <c r="C364" s="3" t="s">
        <v>67</v>
      </c>
      <c r="D364" s="3" t="s">
        <v>67</v>
      </c>
      <c r="E364" s="3" t="s">
        <v>23</v>
      </c>
      <c r="F364" s="3" t="s">
        <v>41</v>
      </c>
      <c r="G364" s="3" t="s">
        <v>34</v>
      </c>
      <c r="H364" s="3" t="s">
        <v>35</v>
      </c>
      <c r="I364" s="3" t="s">
        <v>36</v>
      </c>
      <c r="J364" s="4">
        <v>46146.0</v>
      </c>
      <c r="K364" s="4">
        <v>46150.0</v>
      </c>
      <c r="L364" s="7"/>
      <c r="M364" s="7"/>
      <c r="N364" s="7"/>
      <c r="O364" s="3" t="s">
        <v>37</v>
      </c>
      <c r="P364" s="4">
        <v>46144.0</v>
      </c>
      <c r="R364" s="3" t="s">
        <v>29</v>
      </c>
    </row>
    <row r="365">
      <c r="A365" s="3" t="s">
        <v>534</v>
      </c>
      <c r="B365" s="3" t="s">
        <v>404</v>
      </c>
      <c r="C365" s="3" t="s">
        <v>115</v>
      </c>
      <c r="D365" s="3" t="s">
        <v>115</v>
      </c>
      <c r="E365" s="3" t="s">
        <v>47</v>
      </c>
      <c r="F365" s="3" t="s">
        <v>41</v>
      </c>
      <c r="G365" s="3" t="s">
        <v>106</v>
      </c>
      <c r="H365" s="3" t="s">
        <v>54</v>
      </c>
      <c r="I365" s="3" t="s">
        <v>54</v>
      </c>
      <c r="J365" s="4">
        <v>46070.0</v>
      </c>
      <c r="K365" s="4">
        <v>46073.0</v>
      </c>
      <c r="L365" s="4">
        <v>46079.0</v>
      </c>
      <c r="M365" s="7"/>
      <c r="N365" s="7"/>
      <c r="O365" s="3" t="s">
        <v>104</v>
      </c>
      <c r="P365" s="4">
        <v>46070.0</v>
      </c>
      <c r="R365" s="3" t="s">
        <v>45</v>
      </c>
    </row>
    <row r="366">
      <c r="A366" s="3" t="s">
        <v>536</v>
      </c>
      <c r="B366" s="3" t="s">
        <v>180</v>
      </c>
      <c r="C366" s="3" t="s">
        <v>21</v>
      </c>
      <c r="D366" s="3" t="s">
        <v>22</v>
      </c>
      <c r="E366" s="3" t="s">
        <v>52</v>
      </c>
      <c r="F366" s="3" t="s">
        <v>41</v>
      </c>
      <c r="G366" s="3" t="s">
        <v>42</v>
      </c>
      <c r="H366" s="3" t="s">
        <v>35</v>
      </c>
      <c r="I366" s="3" t="s">
        <v>36</v>
      </c>
      <c r="J366" s="4">
        <v>46038.0</v>
      </c>
      <c r="K366" s="4">
        <v>46042.0</v>
      </c>
      <c r="L366" s="7"/>
      <c r="M366" s="7"/>
      <c r="N366" s="7"/>
      <c r="O366" s="3" t="s">
        <v>37</v>
      </c>
      <c r="P366" s="4">
        <v>46036.0</v>
      </c>
      <c r="R366" s="3" t="s">
        <v>45</v>
      </c>
    </row>
    <row r="367">
      <c r="A367" s="3" t="s">
        <v>537</v>
      </c>
      <c r="B367" s="3" t="s">
        <v>163</v>
      </c>
      <c r="C367" s="3" t="s">
        <v>51</v>
      </c>
      <c r="D367" s="3" t="s">
        <v>22</v>
      </c>
      <c r="E367" s="3" t="s">
        <v>40</v>
      </c>
      <c r="F367" s="3" t="s">
        <v>48</v>
      </c>
      <c r="G367" s="3" t="s">
        <v>63</v>
      </c>
      <c r="H367" s="3" t="s">
        <v>26</v>
      </c>
      <c r="I367" s="3" t="s">
        <v>36</v>
      </c>
      <c r="J367" s="4">
        <v>46068.0</v>
      </c>
      <c r="K367" s="4">
        <v>46072.0</v>
      </c>
      <c r="L367" s="4">
        <v>46080.0</v>
      </c>
      <c r="M367" s="4">
        <v>46088.0</v>
      </c>
      <c r="N367" s="4">
        <v>46110.0</v>
      </c>
      <c r="O367" s="3" t="s">
        <v>28</v>
      </c>
      <c r="P367" s="4">
        <v>46066.0</v>
      </c>
      <c r="Q367" s="3">
        <v>44.0</v>
      </c>
      <c r="R367" s="3" t="s">
        <v>29</v>
      </c>
    </row>
    <row r="368">
      <c r="A368" s="3" t="s">
        <v>538</v>
      </c>
      <c r="B368" s="3" t="s">
        <v>50</v>
      </c>
      <c r="C368" s="3" t="s">
        <v>21</v>
      </c>
      <c r="D368" s="3" t="s">
        <v>22</v>
      </c>
      <c r="E368" s="3" t="s">
        <v>47</v>
      </c>
      <c r="F368" s="3" t="s">
        <v>41</v>
      </c>
      <c r="G368" s="3" t="s">
        <v>129</v>
      </c>
      <c r="H368" s="3" t="s">
        <v>35</v>
      </c>
      <c r="I368" s="3" t="s">
        <v>36</v>
      </c>
      <c r="J368" s="4">
        <v>46067.0</v>
      </c>
      <c r="K368" s="4">
        <v>46073.0</v>
      </c>
      <c r="L368" s="4">
        <v>46086.0</v>
      </c>
      <c r="M368" s="4">
        <v>46091.0</v>
      </c>
      <c r="N368" s="7"/>
      <c r="O368" s="3" t="s">
        <v>76</v>
      </c>
      <c r="P368" s="4">
        <v>46065.0</v>
      </c>
      <c r="R368" s="3" t="s">
        <v>29</v>
      </c>
    </row>
    <row r="369">
      <c r="A369" s="3" t="s">
        <v>539</v>
      </c>
      <c r="B369" s="3" t="s">
        <v>265</v>
      </c>
      <c r="C369" s="3" t="s">
        <v>67</v>
      </c>
      <c r="D369" s="3" t="s">
        <v>67</v>
      </c>
      <c r="E369" s="3" t="s">
        <v>40</v>
      </c>
      <c r="F369" s="3" t="s">
        <v>33</v>
      </c>
      <c r="G369" s="3" t="s">
        <v>94</v>
      </c>
      <c r="H369" s="3" t="s">
        <v>26</v>
      </c>
      <c r="I369" s="3" t="s">
        <v>27</v>
      </c>
      <c r="J369" s="4">
        <v>46151.0</v>
      </c>
      <c r="K369" s="4">
        <v>46156.0</v>
      </c>
      <c r="L369" s="7"/>
      <c r="M369" s="7"/>
      <c r="N369" s="7"/>
      <c r="O369" s="3" t="s">
        <v>55</v>
      </c>
      <c r="P369" s="4">
        <v>46146.0</v>
      </c>
      <c r="R369" s="3" t="s">
        <v>29</v>
      </c>
    </row>
    <row r="370">
      <c r="A370" s="3" t="s">
        <v>540</v>
      </c>
      <c r="B370" s="3" t="s">
        <v>225</v>
      </c>
      <c r="C370" s="3" t="s">
        <v>93</v>
      </c>
      <c r="D370" s="3" t="s">
        <v>89</v>
      </c>
      <c r="E370" s="3" t="s">
        <v>52</v>
      </c>
      <c r="F370" s="3" t="s">
        <v>48</v>
      </c>
      <c r="G370" s="3" t="s">
        <v>99</v>
      </c>
      <c r="H370" s="3" t="s">
        <v>43</v>
      </c>
      <c r="I370" s="3" t="s">
        <v>36</v>
      </c>
      <c r="J370" s="4">
        <v>46026.0</v>
      </c>
      <c r="K370" s="4">
        <v>46033.0</v>
      </c>
      <c r="L370" s="4">
        <v>46043.0</v>
      </c>
      <c r="M370" s="7"/>
      <c r="N370" s="7"/>
      <c r="O370" s="3" t="s">
        <v>55</v>
      </c>
      <c r="P370" s="4">
        <v>46023.0</v>
      </c>
      <c r="R370" s="3" t="s">
        <v>29</v>
      </c>
    </row>
    <row r="371">
      <c r="A371" s="3" t="s">
        <v>541</v>
      </c>
      <c r="B371" s="3" t="s">
        <v>74</v>
      </c>
      <c r="C371" s="3" t="s">
        <v>32</v>
      </c>
      <c r="D371" s="3" t="s">
        <v>22</v>
      </c>
      <c r="E371" s="3" t="s">
        <v>23</v>
      </c>
      <c r="F371" s="3" t="s">
        <v>48</v>
      </c>
      <c r="G371" s="3" t="s">
        <v>106</v>
      </c>
      <c r="H371" s="3" t="s">
        <v>43</v>
      </c>
      <c r="I371" s="3" t="s">
        <v>27</v>
      </c>
      <c r="J371" s="4">
        <v>46119.0</v>
      </c>
      <c r="K371" s="4">
        <v>46125.0</v>
      </c>
      <c r="L371" s="4">
        <v>46134.0</v>
      </c>
      <c r="M371" s="4">
        <v>46142.0</v>
      </c>
      <c r="N371" s="4">
        <v>46162.0</v>
      </c>
      <c r="O371" s="3" t="s">
        <v>28</v>
      </c>
      <c r="P371" s="4">
        <v>46118.0</v>
      </c>
      <c r="Q371" s="3">
        <v>44.0</v>
      </c>
      <c r="R371" s="3" t="s">
        <v>29</v>
      </c>
    </row>
    <row r="372">
      <c r="A372" s="3" t="s">
        <v>542</v>
      </c>
      <c r="B372" s="3" t="s">
        <v>212</v>
      </c>
      <c r="C372" s="3" t="s">
        <v>115</v>
      </c>
      <c r="D372" s="3" t="s">
        <v>115</v>
      </c>
      <c r="E372" s="3" t="s">
        <v>52</v>
      </c>
      <c r="F372" s="3" t="s">
        <v>24</v>
      </c>
      <c r="G372" s="3" t="s">
        <v>59</v>
      </c>
      <c r="H372" s="3" t="s">
        <v>26</v>
      </c>
      <c r="I372" s="3" t="s">
        <v>27</v>
      </c>
      <c r="J372" s="4">
        <v>46154.0</v>
      </c>
      <c r="K372" s="4">
        <v>46161.0</v>
      </c>
      <c r="L372" s="4">
        <v>46166.0</v>
      </c>
      <c r="M372" s="4">
        <v>46176.0</v>
      </c>
      <c r="N372" s="7"/>
      <c r="O372" s="3" t="s">
        <v>55</v>
      </c>
      <c r="P372" s="4">
        <v>46149.0</v>
      </c>
      <c r="R372" s="3" t="s">
        <v>29</v>
      </c>
    </row>
    <row r="373">
      <c r="A373" s="3" t="s">
        <v>543</v>
      </c>
      <c r="B373" s="3" t="s">
        <v>262</v>
      </c>
      <c r="C373" s="3" t="s">
        <v>51</v>
      </c>
      <c r="D373" s="3" t="s">
        <v>22</v>
      </c>
      <c r="E373" s="3" t="s">
        <v>23</v>
      </c>
      <c r="F373" s="3" t="s">
        <v>41</v>
      </c>
      <c r="G373" s="3" t="s">
        <v>106</v>
      </c>
      <c r="H373" s="3" t="s">
        <v>60</v>
      </c>
      <c r="I373" s="3" t="s">
        <v>27</v>
      </c>
      <c r="J373" s="4">
        <v>46138.0</v>
      </c>
      <c r="K373" s="4">
        <v>46145.0</v>
      </c>
      <c r="L373" s="4">
        <v>46154.0</v>
      </c>
      <c r="M373" s="4">
        <v>46158.0</v>
      </c>
      <c r="N373" s="7"/>
      <c r="O373" s="3" t="s">
        <v>76</v>
      </c>
      <c r="P373" s="4">
        <v>46134.0</v>
      </c>
      <c r="R373" s="3" t="s">
        <v>45</v>
      </c>
    </row>
    <row r="374">
      <c r="A374" s="3" t="s">
        <v>544</v>
      </c>
      <c r="B374" s="3" t="s">
        <v>163</v>
      </c>
      <c r="C374" s="3" t="s">
        <v>51</v>
      </c>
      <c r="D374" s="3" t="s">
        <v>22</v>
      </c>
      <c r="E374" s="3" t="s">
        <v>52</v>
      </c>
      <c r="F374" s="3" t="s">
        <v>41</v>
      </c>
      <c r="G374" s="3" t="s">
        <v>90</v>
      </c>
      <c r="H374" s="3" t="s">
        <v>35</v>
      </c>
      <c r="I374" s="3" t="s">
        <v>27</v>
      </c>
      <c r="J374" s="4">
        <v>46062.0</v>
      </c>
      <c r="K374" s="4">
        <v>46069.0</v>
      </c>
      <c r="L374" s="7"/>
      <c r="M374" s="7"/>
      <c r="N374" s="7"/>
      <c r="O374" s="3" t="s">
        <v>37</v>
      </c>
      <c r="P374" s="4">
        <v>46062.0</v>
      </c>
      <c r="R374" s="3" t="s">
        <v>29</v>
      </c>
    </row>
    <row r="375">
      <c r="A375" s="3" t="s">
        <v>545</v>
      </c>
      <c r="B375" s="3" t="s">
        <v>123</v>
      </c>
      <c r="C375" s="3" t="s">
        <v>32</v>
      </c>
      <c r="D375" s="3" t="s">
        <v>22</v>
      </c>
      <c r="E375" s="3" t="s">
        <v>52</v>
      </c>
      <c r="F375" s="3" t="s">
        <v>48</v>
      </c>
      <c r="G375" s="3" t="s">
        <v>59</v>
      </c>
      <c r="H375" s="3" t="s">
        <v>26</v>
      </c>
      <c r="I375" s="3" t="s">
        <v>36</v>
      </c>
      <c r="J375" s="4">
        <v>46074.0</v>
      </c>
      <c r="K375" s="4">
        <v>46081.0</v>
      </c>
      <c r="L375" s="4">
        <v>46090.0</v>
      </c>
      <c r="M375" s="4">
        <v>46093.0</v>
      </c>
      <c r="N375" s="4">
        <v>46105.0</v>
      </c>
      <c r="O375" s="3" t="s">
        <v>28</v>
      </c>
      <c r="P375" s="4">
        <v>46073.0</v>
      </c>
      <c r="Q375" s="3">
        <v>32.0</v>
      </c>
      <c r="R375" s="3" t="s">
        <v>29</v>
      </c>
    </row>
    <row r="376">
      <c r="A376" s="3" t="s">
        <v>546</v>
      </c>
      <c r="B376" s="3" t="s">
        <v>265</v>
      </c>
      <c r="C376" s="3" t="s">
        <v>67</v>
      </c>
      <c r="D376" s="3" t="s">
        <v>67</v>
      </c>
      <c r="E376" s="3" t="s">
        <v>23</v>
      </c>
      <c r="F376" s="3" t="s">
        <v>48</v>
      </c>
      <c r="G376" s="3" t="s">
        <v>42</v>
      </c>
      <c r="H376" s="3" t="s">
        <v>35</v>
      </c>
      <c r="I376" s="3" t="s">
        <v>27</v>
      </c>
      <c r="J376" s="4">
        <v>46129.0</v>
      </c>
      <c r="K376" s="4">
        <v>46135.0</v>
      </c>
      <c r="L376" s="4">
        <v>46148.0</v>
      </c>
      <c r="M376" s="4">
        <v>46152.0</v>
      </c>
      <c r="N376" s="7"/>
      <c r="O376" s="3" t="s">
        <v>76</v>
      </c>
      <c r="P376" s="4">
        <v>46129.0</v>
      </c>
      <c r="R376" s="3" t="s">
        <v>29</v>
      </c>
    </row>
    <row r="377">
      <c r="A377" s="3" t="s">
        <v>547</v>
      </c>
      <c r="B377" s="3" t="s">
        <v>175</v>
      </c>
      <c r="C377" s="3" t="s">
        <v>93</v>
      </c>
      <c r="D377" s="3" t="s">
        <v>89</v>
      </c>
      <c r="E377" s="3" t="s">
        <v>47</v>
      </c>
      <c r="F377" s="3" t="s">
        <v>33</v>
      </c>
      <c r="G377" s="3" t="s">
        <v>106</v>
      </c>
      <c r="H377" s="3" t="s">
        <v>26</v>
      </c>
      <c r="I377" s="3" t="s">
        <v>27</v>
      </c>
      <c r="J377" s="4">
        <v>46041.0</v>
      </c>
      <c r="K377" s="7"/>
      <c r="L377" s="7"/>
      <c r="M377" s="7"/>
      <c r="N377" s="7"/>
      <c r="O377" s="3" t="s">
        <v>55</v>
      </c>
      <c r="P377" s="4">
        <v>46037.0</v>
      </c>
      <c r="R377" s="3" t="s">
        <v>45</v>
      </c>
    </row>
    <row r="378">
      <c r="A378" s="3" t="s">
        <v>548</v>
      </c>
      <c r="B378" s="3" t="s">
        <v>212</v>
      </c>
      <c r="C378" s="3" t="s">
        <v>93</v>
      </c>
      <c r="D378" s="3" t="s">
        <v>89</v>
      </c>
      <c r="E378" s="3" t="s">
        <v>40</v>
      </c>
      <c r="F378" s="3" t="s">
        <v>48</v>
      </c>
      <c r="G378" s="3" t="s">
        <v>81</v>
      </c>
      <c r="H378" s="3" t="s">
        <v>54</v>
      </c>
      <c r="I378" s="3" t="s">
        <v>54</v>
      </c>
      <c r="J378" s="4">
        <v>46134.0</v>
      </c>
      <c r="K378" s="4">
        <v>46138.0</v>
      </c>
      <c r="L378" s="4">
        <v>46146.0</v>
      </c>
      <c r="M378" s="4">
        <v>46152.0</v>
      </c>
      <c r="N378" s="7"/>
      <c r="O378" s="3" t="s">
        <v>76</v>
      </c>
      <c r="P378" s="4">
        <v>46133.0</v>
      </c>
      <c r="R378" s="3" t="s">
        <v>29</v>
      </c>
    </row>
    <row r="379">
      <c r="A379" s="3" t="s">
        <v>549</v>
      </c>
      <c r="B379" s="3" t="s">
        <v>185</v>
      </c>
      <c r="C379" s="3" t="s">
        <v>93</v>
      </c>
      <c r="D379" s="3" t="s">
        <v>89</v>
      </c>
      <c r="E379" s="3" t="s">
        <v>23</v>
      </c>
      <c r="F379" s="3" t="s">
        <v>33</v>
      </c>
      <c r="G379" s="3" t="s">
        <v>149</v>
      </c>
      <c r="H379" s="3" t="s">
        <v>54</v>
      </c>
      <c r="I379" s="3" t="s">
        <v>54</v>
      </c>
      <c r="J379" s="4">
        <v>46130.0</v>
      </c>
      <c r="K379" s="4">
        <v>46137.0</v>
      </c>
      <c r="L379" s="4">
        <v>46143.0</v>
      </c>
      <c r="M379" s="4">
        <v>46152.0</v>
      </c>
      <c r="N379" s="4">
        <v>46176.0</v>
      </c>
      <c r="O379" s="3" t="s">
        <v>28</v>
      </c>
      <c r="P379" s="4">
        <v>46128.0</v>
      </c>
      <c r="Q379" s="3">
        <v>48.0</v>
      </c>
      <c r="R379" s="3" t="s">
        <v>29</v>
      </c>
    </row>
    <row r="380">
      <c r="A380" s="3" t="s">
        <v>550</v>
      </c>
      <c r="B380" s="3" t="s">
        <v>301</v>
      </c>
      <c r="C380" s="3" t="s">
        <v>21</v>
      </c>
      <c r="D380" s="3" t="s">
        <v>22</v>
      </c>
      <c r="E380" s="3" t="s">
        <v>47</v>
      </c>
      <c r="F380" s="3" t="s">
        <v>33</v>
      </c>
      <c r="G380" s="3" t="s">
        <v>173</v>
      </c>
      <c r="H380" s="3" t="s">
        <v>35</v>
      </c>
      <c r="I380" s="3" t="s">
        <v>36</v>
      </c>
      <c r="J380" s="4">
        <v>46136.0</v>
      </c>
      <c r="K380" s="4">
        <v>46143.0</v>
      </c>
      <c r="L380" s="4">
        <v>46149.0</v>
      </c>
      <c r="M380" s="4">
        <v>46153.0</v>
      </c>
      <c r="N380" s="7"/>
      <c r="O380" s="3" t="s">
        <v>76</v>
      </c>
      <c r="P380" s="4">
        <v>46131.0</v>
      </c>
      <c r="R380" s="3" t="s">
        <v>45</v>
      </c>
    </row>
    <row r="381">
      <c r="A381" s="3" t="s">
        <v>551</v>
      </c>
      <c r="B381" s="3" t="s">
        <v>169</v>
      </c>
      <c r="C381" s="3" t="s">
        <v>93</v>
      </c>
      <c r="D381" s="3" t="s">
        <v>89</v>
      </c>
      <c r="E381" s="3" t="s">
        <v>52</v>
      </c>
      <c r="F381" s="3" t="s">
        <v>41</v>
      </c>
      <c r="G381" s="3" t="s">
        <v>25</v>
      </c>
      <c r="H381" s="3" t="s">
        <v>35</v>
      </c>
      <c r="I381" s="3" t="s">
        <v>27</v>
      </c>
      <c r="J381" s="4">
        <v>46174.0</v>
      </c>
      <c r="K381" s="4">
        <v>46178.0</v>
      </c>
      <c r="L381" s="7"/>
      <c r="M381" s="7"/>
      <c r="N381" s="7"/>
      <c r="O381" s="3" t="s">
        <v>37</v>
      </c>
      <c r="P381" s="4">
        <v>46169.0</v>
      </c>
      <c r="R381" s="3" t="s">
        <v>29</v>
      </c>
    </row>
    <row r="382">
      <c r="A382" s="3" t="s">
        <v>552</v>
      </c>
      <c r="B382" s="3" t="s">
        <v>101</v>
      </c>
      <c r="C382" s="3" t="s">
        <v>58</v>
      </c>
      <c r="D382" s="3" t="s">
        <v>58</v>
      </c>
      <c r="E382" s="3" t="s">
        <v>40</v>
      </c>
      <c r="F382" s="3" t="s">
        <v>33</v>
      </c>
      <c r="G382" s="3" t="s">
        <v>102</v>
      </c>
      <c r="H382" s="3" t="s">
        <v>26</v>
      </c>
      <c r="I382" s="3" t="s">
        <v>36</v>
      </c>
      <c r="J382" s="4">
        <v>46055.0</v>
      </c>
      <c r="K382" s="7"/>
      <c r="L382" s="7"/>
      <c r="M382" s="7"/>
      <c r="N382" s="7"/>
      <c r="O382" s="3" t="s">
        <v>104</v>
      </c>
      <c r="P382" s="4">
        <v>46055.0</v>
      </c>
      <c r="R382" s="3" t="s">
        <v>29</v>
      </c>
    </row>
    <row r="383">
      <c r="A383" s="3" t="s">
        <v>553</v>
      </c>
      <c r="B383" s="3" t="s">
        <v>404</v>
      </c>
      <c r="C383" s="3" t="s">
        <v>58</v>
      </c>
      <c r="D383" s="3" t="s">
        <v>58</v>
      </c>
      <c r="E383" s="3" t="s">
        <v>40</v>
      </c>
      <c r="F383" s="3" t="s">
        <v>33</v>
      </c>
      <c r="G383" s="3" t="s">
        <v>94</v>
      </c>
      <c r="H383" s="3" t="s">
        <v>54</v>
      </c>
      <c r="I383" s="3" t="s">
        <v>54</v>
      </c>
      <c r="J383" s="4">
        <v>46069.0</v>
      </c>
      <c r="K383" s="4">
        <v>46074.0</v>
      </c>
      <c r="L383" s="4">
        <v>46081.0</v>
      </c>
      <c r="M383" s="4">
        <v>46088.0</v>
      </c>
      <c r="N383" s="7"/>
      <c r="O383" s="3" t="s">
        <v>76</v>
      </c>
      <c r="P383" s="4">
        <v>46064.0</v>
      </c>
      <c r="R383" s="3" t="s">
        <v>45</v>
      </c>
    </row>
    <row r="384">
      <c r="A384" s="3" t="s">
        <v>554</v>
      </c>
      <c r="B384" s="3" t="s">
        <v>171</v>
      </c>
      <c r="C384" s="3" t="s">
        <v>93</v>
      </c>
      <c r="D384" s="3" t="s">
        <v>89</v>
      </c>
      <c r="E384" s="3" t="s">
        <v>52</v>
      </c>
      <c r="F384" s="3" t="s">
        <v>41</v>
      </c>
      <c r="G384" s="3" t="s">
        <v>94</v>
      </c>
      <c r="H384" s="3" t="s">
        <v>26</v>
      </c>
      <c r="I384" s="3" t="s">
        <v>36</v>
      </c>
      <c r="J384" s="4">
        <v>46156.0</v>
      </c>
      <c r="K384" s="4">
        <v>46160.0</v>
      </c>
      <c r="L384" s="7"/>
      <c r="M384" s="7"/>
      <c r="N384" s="7"/>
      <c r="O384" s="3" t="s">
        <v>37</v>
      </c>
      <c r="P384" s="4">
        <v>46156.0</v>
      </c>
      <c r="R384" s="3" t="s">
        <v>45</v>
      </c>
    </row>
    <row r="385">
      <c r="A385" s="3" t="s">
        <v>555</v>
      </c>
      <c r="B385" s="3" t="s">
        <v>265</v>
      </c>
      <c r="C385" s="3" t="s">
        <v>51</v>
      </c>
      <c r="D385" s="3" t="s">
        <v>22</v>
      </c>
      <c r="E385" s="3" t="s">
        <v>52</v>
      </c>
      <c r="F385" s="3" t="s">
        <v>24</v>
      </c>
      <c r="G385" s="3" t="s">
        <v>75</v>
      </c>
      <c r="H385" s="3" t="s">
        <v>60</v>
      </c>
      <c r="I385" s="3" t="s">
        <v>27</v>
      </c>
      <c r="J385" s="4">
        <v>46087.0</v>
      </c>
      <c r="K385" s="4">
        <v>46089.0</v>
      </c>
      <c r="L385" s="4">
        <v>46099.0</v>
      </c>
      <c r="M385" s="4">
        <v>46103.0</v>
      </c>
      <c r="N385" s="4">
        <v>46113.0</v>
      </c>
      <c r="O385" s="3" t="s">
        <v>28</v>
      </c>
      <c r="P385" s="4">
        <v>46083.0</v>
      </c>
      <c r="Q385" s="3">
        <v>30.0</v>
      </c>
      <c r="R385" s="3" t="s">
        <v>29</v>
      </c>
    </row>
    <row r="386">
      <c r="A386" s="3" t="s">
        <v>556</v>
      </c>
      <c r="B386" s="3" t="s">
        <v>83</v>
      </c>
      <c r="C386" s="3" t="s">
        <v>51</v>
      </c>
      <c r="D386" s="3" t="s">
        <v>22</v>
      </c>
      <c r="E386" s="3" t="s">
        <v>40</v>
      </c>
      <c r="F386" s="3" t="s">
        <v>33</v>
      </c>
      <c r="G386" s="3" t="s">
        <v>181</v>
      </c>
      <c r="H386" s="3" t="s">
        <v>43</v>
      </c>
      <c r="I386" s="3" t="s">
        <v>36</v>
      </c>
      <c r="J386" s="4">
        <v>46040.0</v>
      </c>
      <c r="K386" s="7"/>
      <c r="L386" s="7"/>
      <c r="M386" s="7"/>
      <c r="N386" s="7"/>
      <c r="O386" s="3" t="s">
        <v>55</v>
      </c>
      <c r="P386" s="4">
        <v>46038.0</v>
      </c>
      <c r="R386" s="3" t="s">
        <v>29</v>
      </c>
    </row>
    <row r="387">
      <c r="A387" s="3" t="s">
        <v>557</v>
      </c>
      <c r="B387" s="3" t="s">
        <v>259</v>
      </c>
      <c r="C387" s="3" t="s">
        <v>51</v>
      </c>
      <c r="D387" s="3" t="s">
        <v>22</v>
      </c>
      <c r="E387" s="3" t="s">
        <v>47</v>
      </c>
      <c r="F387" s="3" t="s">
        <v>41</v>
      </c>
      <c r="G387" s="3" t="s">
        <v>94</v>
      </c>
      <c r="H387" s="3" t="s">
        <v>54</v>
      </c>
      <c r="I387" s="3" t="s">
        <v>54</v>
      </c>
      <c r="J387" s="4">
        <v>46134.0</v>
      </c>
      <c r="K387" s="4">
        <v>46139.0</v>
      </c>
      <c r="L387" s="7"/>
      <c r="M387" s="7"/>
      <c r="N387" s="7"/>
      <c r="O387" s="3" t="s">
        <v>37</v>
      </c>
      <c r="P387" s="4">
        <v>46131.0</v>
      </c>
      <c r="R387" s="3" t="s">
        <v>29</v>
      </c>
    </row>
    <row r="388">
      <c r="A388" s="3" t="s">
        <v>558</v>
      </c>
      <c r="B388" s="3" t="s">
        <v>207</v>
      </c>
      <c r="C388" s="3" t="s">
        <v>58</v>
      </c>
      <c r="D388" s="3" t="s">
        <v>58</v>
      </c>
      <c r="E388" s="3" t="s">
        <v>23</v>
      </c>
      <c r="F388" s="3" t="s">
        <v>33</v>
      </c>
      <c r="G388" s="3" t="s">
        <v>34</v>
      </c>
      <c r="H388" s="3" t="s">
        <v>35</v>
      </c>
      <c r="I388" s="3" t="s">
        <v>27</v>
      </c>
      <c r="J388" s="4">
        <v>46089.0</v>
      </c>
      <c r="K388" s="4">
        <v>46095.0</v>
      </c>
      <c r="L388" s="4">
        <v>46106.0</v>
      </c>
      <c r="M388" s="4">
        <v>46112.0</v>
      </c>
      <c r="N388" s="7"/>
      <c r="O388" s="3" t="s">
        <v>76</v>
      </c>
      <c r="P388" s="4">
        <v>46087.0</v>
      </c>
      <c r="R388" s="3" t="s">
        <v>29</v>
      </c>
    </row>
    <row r="389">
      <c r="A389" s="3" t="s">
        <v>559</v>
      </c>
      <c r="B389" s="3" t="s">
        <v>31</v>
      </c>
      <c r="C389" s="3" t="s">
        <v>21</v>
      </c>
      <c r="D389" s="3" t="s">
        <v>22</v>
      </c>
      <c r="E389" s="3" t="s">
        <v>47</v>
      </c>
      <c r="F389" s="3" t="s">
        <v>41</v>
      </c>
      <c r="G389" s="3" t="s">
        <v>90</v>
      </c>
      <c r="H389" s="3" t="s">
        <v>35</v>
      </c>
      <c r="I389" s="3" t="s">
        <v>36</v>
      </c>
      <c r="J389" s="4">
        <v>46126.0</v>
      </c>
      <c r="K389" s="4">
        <v>46129.0</v>
      </c>
      <c r="L389" s="7"/>
      <c r="M389" s="7"/>
      <c r="N389" s="7"/>
      <c r="O389" s="3" t="s">
        <v>37</v>
      </c>
      <c r="P389" s="4">
        <v>46125.0</v>
      </c>
      <c r="R389" s="3" t="s">
        <v>29</v>
      </c>
    </row>
    <row r="390">
      <c r="A390" s="3" t="s">
        <v>560</v>
      </c>
      <c r="B390" s="3" t="s">
        <v>169</v>
      </c>
      <c r="C390" s="3" t="s">
        <v>58</v>
      </c>
      <c r="D390" s="3" t="s">
        <v>58</v>
      </c>
      <c r="E390" s="3" t="s">
        <v>52</v>
      </c>
      <c r="F390" s="3" t="s">
        <v>48</v>
      </c>
      <c r="G390" s="3" t="s">
        <v>121</v>
      </c>
      <c r="H390" s="3" t="s">
        <v>35</v>
      </c>
      <c r="I390" s="3" t="s">
        <v>27</v>
      </c>
      <c r="J390" s="4">
        <v>46049.0</v>
      </c>
      <c r="K390" s="4">
        <v>46052.0</v>
      </c>
      <c r="L390" s="4">
        <v>46065.0</v>
      </c>
      <c r="M390" s="4">
        <v>46072.0</v>
      </c>
      <c r="N390" s="7"/>
      <c r="O390" s="3" t="s">
        <v>55</v>
      </c>
      <c r="P390" s="4">
        <v>46044.0</v>
      </c>
      <c r="R390" s="3" t="s">
        <v>29</v>
      </c>
    </row>
    <row r="391">
      <c r="A391" s="3" t="s">
        <v>561</v>
      </c>
      <c r="B391" s="3" t="s">
        <v>74</v>
      </c>
      <c r="C391" s="3" t="s">
        <v>88</v>
      </c>
      <c r="D391" s="3" t="s">
        <v>89</v>
      </c>
      <c r="E391" s="3" t="s">
        <v>23</v>
      </c>
      <c r="F391" s="3" t="s">
        <v>24</v>
      </c>
      <c r="G391" s="3" t="s">
        <v>106</v>
      </c>
      <c r="H391" s="3" t="s">
        <v>35</v>
      </c>
      <c r="I391" s="3" t="s">
        <v>27</v>
      </c>
      <c r="J391" s="4">
        <v>46136.0</v>
      </c>
      <c r="K391" s="7"/>
      <c r="L391" s="7"/>
      <c r="M391" s="7"/>
      <c r="N391" s="7"/>
      <c r="O391" s="3" t="s">
        <v>55</v>
      </c>
      <c r="P391" s="4">
        <v>46134.0</v>
      </c>
      <c r="R391" s="3" t="s">
        <v>29</v>
      </c>
    </row>
    <row r="392">
      <c r="A392" s="3" t="s">
        <v>562</v>
      </c>
      <c r="B392" s="3" t="s">
        <v>159</v>
      </c>
      <c r="C392" s="3" t="s">
        <v>115</v>
      </c>
      <c r="D392" s="3" t="s">
        <v>115</v>
      </c>
      <c r="E392" s="3" t="s">
        <v>40</v>
      </c>
      <c r="F392" s="3" t="s">
        <v>48</v>
      </c>
      <c r="G392" s="3" t="s">
        <v>75</v>
      </c>
      <c r="H392" s="3" t="s">
        <v>43</v>
      </c>
      <c r="I392" s="3" t="s">
        <v>36</v>
      </c>
      <c r="J392" s="4">
        <v>46062.0</v>
      </c>
      <c r="K392" s="4">
        <v>46069.0</v>
      </c>
      <c r="L392" s="4">
        <v>46082.0</v>
      </c>
      <c r="M392" s="7"/>
      <c r="N392" s="7"/>
      <c r="O392" s="3" t="s">
        <v>44</v>
      </c>
      <c r="P392" s="4">
        <v>46060.0</v>
      </c>
      <c r="R392" s="3" t="s">
        <v>45</v>
      </c>
    </row>
    <row r="393">
      <c r="A393" s="3" t="s">
        <v>563</v>
      </c>
      <c r="B393" s="3" t="s">
        <v>123</v>
      </c>
      <c r="C393" s="3" t="s">
        <v>67</v>
      </c>
      <c r="D393" s="3" t="s">
        <v>67</v>
      </c>
      <c r="E393" s="3" t="s">
        <v>47</v>
      </c>
      <c r="F393" s="3" t="s">
        <v>48</v>
      </c>
      <c r="G393" s="3" t="s">
        <v>110</v>
      </c>
      <c r="H393" s="3" t="s">
        <v>54</v>
      </c>
      <c r="I393" s="3" t="s">
        <v>54</v>
      </c>
      <c r="J393" s="4">
        <v>46138.0</v>
      </c>
      <c r="K393" s="4">
        <v>46142.0</v>
      </c>
      <c r="L393" s="4">
        <v>46154.0</v>
      </c>
      <c r="M393" s="4">
        <v>46159.0</v>
      </c>
      <c r="N393" s="4">
        <v>46178.0</v>
      </c>
      <c r="O393" s="3" t="s">
        <v>28</v>
      </c>
      <c r="P393" s="4">
        <v>46133.0</v>
      </c>
      <c r="Q393" s="3">
        <v>45.0</v>
      </c>
      <c r="R393" s="3" t="s">
        <v>29</v>
      </c>
    </row>
    <row r="394">
      <c r="A394" s="3" t="s">
        <v>564</v>
      </c>
      <c r="B394" s="3" t="s">
        <v>295</v>
      </c>
      <c r="C394" s="3" t="s">
        <v>115</v>
      </c>
      <c r="D394" s="3" t="s">
        <v>115</v>
      </c>
      <c r="E394" s="3" t="s">
        <v>47</v>
      </c>
      <c r="F394" s="3" t="s">
        <v>24</v>
      </c>
      <c r="G394" s="3" t="s">
        <v>59</v>
      </c>
      <c r="H394" s="3" t="s">
        <v>43</v>
      </c>
      <c r="I394" s="3" t="s">
        <v>36</v>
      </c>
      <c r="J394" s="4">
        <v>46160.0</v>
      </c>
      <c r="K394" s="4">
        <v>46164.0</v>
      </c>
      <c r="L394" s="4">
        <v>46174.0</v>
      </c>
      <c r="M394" s="4">
        <v>46184.0</v>
      </c>
      <c r="N394" s="4">
        <v>46209.0</v>
      </c>
      <c r="O394" s="3" t="s">
        <v>28</v>
      </c>
      <c r="P394" s="4">
        <v>46159.0</v>
      </c>
      <c r="Q394" s="3">
        <v>50.0</v>
      </c>
      <c r="R394" s="3" t="s">
        <v>29</v>
      </c>
    </row>
    <row r="395">
      <c r="A395" s="3" t="s">
        <v>565</v>
      </c>
      <c r="B395" s="3" t="s">
        <v>169</v>
      </c>
      <c r="C395" s="3" t="s">
        <v>67</v>
      </c>
      <c r="D395" s="3" t="s">
        <v>67</v>
      </c>
      <c r="E395" s="3" t="s">
        <v>47</v>
      </c>
      <c r="F395" s="3" t="s">
        <v>41</v>
      </c>
      <c r="G395" s="3" t="s">
        <v>106</v>
      </c>
      <c r="H395" s="3" t="s">
        <v>35</v>
      </c>
      <c r="I395" s="3" t="s">
        <v>36</v>
      </c>
      <c r="J395" s="4">
        <v>46052.0</v>
      </c>
      <c r="K395" s="4">
        <v>46056.0</v>
      </c>
      <c r="L395" s="7"/>
      <c r="M395" s="7"/>
      <c r="N395" s="7"/>
      <c r="O395" s="3" t="s">
        <v>37</v>
      </c>
      <c r="P395" s="4">
        <v>46052.0</v>
      </c>
      <c r="R395" s="3" t="s">
        <v>29</v>
      </c>
    </row>
    <row r="396">
      <c r="A396" s="3" t="s">
        <v>566</v>
      </c>
      <c r="B396" s="3" t="s">
        <v>188</v>
      </c>
      <c r="C396" s="3" t="s">
        <v>21</v>
      </c>
      <c r="D396" s="3" t="s">
        <v>22</v>
      </c>
      <c r="E396" s="3" t="s">
        <v>52</v>
      </c>
      <c r="F396" s="3" t="s">
        <v>48</v>
      </c>
      <c r="G396" s="3" t="s">
        <v>90</v>
      </c>
      <c r="H396" s="3" t="s">
        <v>54</v>
      </c>
      <c r="I396" s="3" t="s">
        <v>54</v>
      </c>
      <c r="J396" s="4">
        <v>46105.0</v>
      </c>
      <c r="K396" s="4">
        <v>46108.0</v>
      </c>
      <c r="L396" s="4">
        <v>46114.0</v>
      </c>
      <c r="M396" s="4">
        <v>46123.0</v>
      </c>
      <c r="N396" s="7"/>
      <c r="O396" s="3" t="s">
        <v>76</v>
      </c>
      <c r="P396" s="4">
        <v>46105.0</v>
      </c>
      <c r="R396" s="3" t="s">
        <v>29</v>
      </c>
    </row>
    <row r="397">
      <c r="A397" s="3" t="s">
        <v>567</v>
      </c>
      <c r="B397" s="3" t="s">
        <v>78</v>
      </c>
      <c r="C397" s="3" t="s">
        <v>51</v>
      </c>
      <c r="D397" s="3" t="s">
        <v>22</v>
      </c>
      <c r="E397" s="3" t="s">
        <v>40</v>
      </c>
      <c r="F397" s="3" t="s">
        <v>33</v>
      </c>
      <c r="G397" s="3" t="s">
        <v>34</v>
      </c>
      <c r="H397" s="3" t="s">
        <v>54</v>
      </c>
      <c r="I397" s="3" t="s">
        <v>54</v>
      </c>
      <c r="J397" s="4">
        <v>46089.0</v>
      </c>
      <c r="K397" s="7"/>
      <c r="L397" s="7"/>
      <c r="M397" s="7"/>
      <c r="N397" s="7"/>
      <c r="O397" s="3" t="s">
        <v>55</v>
      </c>
      <c r="P397" s="4">
        <v>46086.0</v>
      </c>
      <c r="R397" s="3" t="s">
        <v>29</v>
      </c>
    </row>
    <row r="398">
      <c r="A398" s="3" t="s">
        <v>568</v>
      </c>
      <c r="B398" s="3" t="s">
        <v>259</v>
      </c>
      <c r="C398" s="3" t="s">
        <v>67</v>
      </c>
      <c r="D398" s="3" t="s">
        <v>67</v>
      </c>
      <c r="E398" s="3" t="s">
        <v>47</v>
      </c>
      <c r="F398" s="3" t="s">
        <v>48</v>
      </c>
      <c r="G398" s="3" t="s">
        <v>63</v>
      </c>
      <c r="H398" s="3" t="s">
        <v>43</v>
      </c>
      <c r="I398" s="3" t="s">
        <v>36</v>
      </c>
      <c r="J398" s="4">
        <v>46135.0</v>
      </c>
      <c r="K398" s="4">
        <v>46142.0</v>
      </c>
      <c r="L398" s="4">
        <v>46151.0</v>
      </c>
      <c r="M398" s="4">
        <v>46158.0</v>
      </c>
      <c r="N398" s="4">
        <v>46176.0</v>
      </c>
      <c r="O398" s="3" t="s">
        <v>28</v>
      </c>
      <c r="P398" s="4">
        <v>46130.0</v>
      </c>
      <c r="Q398" s="3">
        <v>46.0</v>
      </c>
      <c r="R398" s="3" t="s">
        <v>29</v>
      </c>
    </row>
    <row r="399">
      <c r="A399" s="3" t="s">
        <v>569</v>
      </c>
      <c r="B399" s="3" t="s">
        <v>262</v>
      </c>
      <c r="C399" s="3" t="s">
        <v>32</v>
      </c>
      <c r="D399" s="3" t="s">
        <v>22</v>
      </c>
      <c r="E399" s="3" t="s">
        <v>52</v>
      </c>
      <c r="F399" s="3" t="s">
        <v>41</v>
      </c>
      <c r="G399" s="3" t="s">
        <v>34</v>
      </c>
      <c r="H399" s="3" t="s">
        <v>43</v>
      </c>
      <c r="I399" s="3" t="s">
        <v>36</v>
      </c>
      <c r="J399" s="4">
        <v>46055.0</v>
      </c>
      <c r="K399" s="4">
        <v>46058.0</v>
      </c>
      <c r="L399" s="7"/>
      <c r="M399" s="7"/>
      <c r="N399" s="7"/>
      <c r="O399" s="3" t="s">
        <v>55</v>
      </c>
      <c r="P399" s="4">
        <v>46055.0</v>
      </c>
      <c r="R399" s="3" t="s">
        <v>45</v>
      </c>
    </row>
    <row r="400">
      <c r="A400" s="3" t="s">
        <v>570</v>
      </c>
      <c r="B400" s="3" t="s">
        <v>265</v>
      </c>
      <c r="C400" s="3" t="s">
        <v>32</v>
      </c>
      <c r="D400" s="3" t="s">
        <v>22</v>
      </c>
      <c r="E400" s="3" t="s">
        <v>23</v>
      </c>
      <c r="F400" s="3" t="s">
        <v>24</v>
      </c>
      <c r="G400" s="3" t="s">
        <v>129</v>
      </c>
      <c r="H400" s="3" t="s">
        <v>26</v>
      </c>
      <c r="I400" s="3" t="s">
        <v>27</v>
      </c>
      <c r="J400" s="4">
        <v>46107.0</v>
      </c>
      <c r="K400" s="4">
        <v>46110.0</v>
      </c>
      <c r="L400" s="4">
        <v>46118.0</v>
      </c>
      <c r="M400" s="4">
        <v>46123.0</v>
      </c>
      <c r="N400" s="4">
        <v>46143.0</v>
      </c>
      <c r="O400" s="3" t="s">
        <v>28</v>
      </c>
      <c r="P400" s="4">
        <v>46105.0</v>
      </c>
      <c r="Q400" s="3">
        <v>38.0</v>
      </c>
      <c r="R400" s="3" t="s">
        <v>29</v>
      </c>
    </row>
    <row r="401">
      <c r="A401" s="3" t="s">
        <v>571</v>
      </c>
      <c r="B401" s="3" t="s">
        <v>270</v>
      </c>
      <c r="C401" s="3" t="s">
        <v>51</v>
      </c>
      <c r="D401" s="3" t="s">
        <v>22</v>
      </c>
      <c r="E401" s="3" t="s">
        <v>23</v>
      </c>
      <c r="F401" s="3" t="s">
        <v>41</v>
      </c>
      <c r="G401" s="3" t="s">
        <v>110</v>
      </c>
      <c r="H401" s="3" t="s">
        <v>54</v>
      </c>
      <c r="I401" s="3" t="s">
        <v>54</v>
      </c>
      <c r="J401" s="4">
        <v>46052.0</v>
      </c>
      <c r="K401" s="4">
        <v>46058.0</v>
      </c>
      <c r="L401" s="7"/>
      <c r="M401" s="7"/>
      <c r="N401" s="7"/>
      <c r="O401" s="3" t="s">
        <v>37</v>
      </c>
      <c r="P401" s="4">
        <v>46050.0</v>
      </c>
      <c r="R401" s="3" t="s">
        <v>29</v>
      </c>
    </row>
    <row r="402">
      <c r="E402" s="5"/>
      <c r="H402" s="5"/>
      <c r="I402" s="5"/>
      <c r="J402" s="7"/>
      <c r="K402" s="7"/>
      <c r="L402" s="7"/>
      <c r="M402" s="7"/>
      <c r="N402" s="7"/>
      <c r="O402" s="5"/>
      <c r="P402" s="7"/>
      <c r="R402" s="5"/>
    </row>
    <row r="403">
      <c r="E403" s="5"/>
      <c r="H403" s="5"/>
      <c r="I403" s="5"/>
      <c r="J403" s="7"/>
      <c r="K403" s="7"/>
      <c r="L403" s="7"/>
      <c r="M403" s="7"/>
      <c r="N403" s="7"/>
      <c r="O403" s="5"/>
      <c r="P403" s="7"/>
      <c r="R403" s="5"/>
    </row>
    <row r="404">
      <c r="E404" s="5"/>
      <c r="H404" s="5"/>
      <c r="I404" s="5"/>
      <c r="J404" s="7"/>
      <c r="K404" s="7"/>
      <c r="L404" s="7"/>
      <c r="M404" s="7"/>
      <c r="N404" s="7"/>
      <c r="O404" s="5"/>
      <c r="P404" s="7"/>
      <c r="R404" s="5"/>
    </row>
    <row r="405">
      <c r="E405" s="5"/>
      <c r="H405" s="5"/>
      <c r="I405" s="5"/>
      <c r="J405" s="7"/>
      <c r="K405" s="7"/>
      <c r="L405" s="7"/>
      <c r="M405" s="7"/>
      <c r="N405" s="7"/>
      <c r="O405" s="5"/>
      <c r="P405" s="7"/>
      <c r="R405" s="5"/>
    </row>
    <row r="406">
      <c r="E406" s="5"/>
      <c r="H406" s="5"/>
      <c r="I406" s="5"/>
      <c r="J406" s="7"/>
      <c r="K406" s="7"/>
      <c r="L406" s="7"/>
      <c r="M406" s="7"/>
      <c r="N406" s="7"/>
      <c r="O406" s="5"/>
      <c r="P406" s="7"/>
      <c r="R406" s="5"/>
    </row>
    <row r="407">
      <c r="E407" s="5"/>
      <c r="H407" s="5"/>
      <c r="I407" s="5"/>
      <c r="J407" s="7"/>
      <c r="K407" s="7"/>
      <c r="L407" s="7"/>
      <c r="M407" s="7"/>
      <c r="N407" s="7"/>
      <c r="O407" s="5"/>
      <c r="P407" s="7"/>
      <c r="R407" s="5"/>
    </row>
    <row r="408">
      <c r="E408" s="5"/>
      <c r="H408" s="5"/>
      <c r="I408" s="5"/>
      <c r="J408" s="7"/>
      <c r="K408" s="7"/>
      <c r="L408" s="7"/>
      <c r="M408" s="7"/>
      <c r="N408" s="7"/>
      <c r="O408" s="5"/>
      <c r="P408" s="7"/>
      <c r="R408" s="5"/>
    </row>
    <row r="409">
      <c r="E409" s="5"/>
      <c r="H409" s="5"/>
      <c r="I409" s="5"/>
      <c r="J409" s="7"/>
      <c r="K409" s="7"/>
      <c r="L409" s="7"/>
      <c r="M409" s="7"/>
      <c r="N409" s="7"/>
      <c r="O409" s="5"/>
      <c r="P409" s="7"/>
      <c r="R409" s="5"/>
    </row>
    <row r="410">
      <c r="E410" s="5"/>
      <c r="H410" s="5"/>
      <c r="I410" s="5"/>
      <c r="J410" s="7"/>
      <c r="K410" s="7"/>
      <c r="L410" s="7"/>
      <c r="M410" s="7"/>
      <c r="N410" s="7"/>
      <c r="O410" s="5"/>
      <c r="P410" s="7"/>
      <c r="R410" s="5"/>
    </row>
    <row r="411">
      <c r="E411" s="5"/>
      <c r="H411" s="5"/>
      <c r="I411" s="5"/>
      <c r="J411" s="7"/>
      <c r="K411" s="7"/>
      <c r="L411" s="7"/>
      <c r="M411" s="7"/>
      <c r="N411" s="7"/>
      <c r="O411" s="5"/>
      <c r="P411" s="7"/>
      <c r="R411" s="5"/>
    </row>
    <row r="412">
      <c r="E412" s="5"/>
      <c r="H412" s="5"/>
      <c r="I412" s="5"/>
      <c r="J412" s="7"/>
      <c r="K412" s="7"/>
      <c r="L412" s="7"/>
      <c r="M412" s="7"/>
      <c r="N412" s="7"/>
      <c r="O412" s="5"/>
      <c r="P412" s="7"/>
      <c r="R412" s="5"/>
    </row>
    <row r="413">
      <c r="E413" s="5"/>
      <c r="H413" s="5"/>
      <c r="I413" s="5"/>
      <c r="J413" s="7"/>
      <c r="K413" s="7"/>
      <c r="L413" s="7"/>
      <c r="M413" s="7"/>
      <c r="N413" s="7"/>
      <c r="O413" s="5"/>
      <c r="P413" s="7"/>
      <c r="R413" s="5"/>
    </row>
    <row r="414">
      <c r="E414" s="5"/>
      <c r="H414" s="5"/>
      <c r="I414" s="5"/>
      <c r="J414" s="7"/>
      <c r="K414" s="7"/>
      <c r="L414" s="7"/>
      <c r="M414" s="7"/>
      <c r="N414" s="7"/>
      <c r="O414" s="5"/>
      <c r="P414" s="7"/>
      <c r="R414" s="5"/>
    </row>
    <row r="415">
      <c r="E415" s="5"/>
      <c r="H415" s="5"/>
      <c r="I415" s="5"/>
      <c r="J415" s="7"/>
      <c r="K415" s="7"/>
      <c r="L415" s="7"/>
      <c r="M415" s="7"/>
      <c r="N415" s="7"/>
      <c r="O415" s="5"/>
      <c r="P415" s="7"/>
      <c r="R415" s="5"/>
    </row>
    <row r="416">
      <c r="E416" s="5"/>
      <c r="H416" s="5"/>
      <c r="I416" s="5"/>
      <c r="J416" s="7"/>
      <c r="K416" s="7"/>
      <c r="L416" s="7"/>
      <c r="M416" s="7"/>
      <c r="N416" s="7"/>
      <c r="O416" s="5"/>
      <c r="P416" s="7"/>
      <c r="R416" s="5"/>
    </row>
    <row r="417">
      <c r="E417" s="5"/>
      <c r="H417" s="5"/>
      <c r="I417" s="5"/>
      <c r="J417" s="7"/>
      <c r="K417" s="7"/>
      <c r="L417" s="7"/>
      <c r="M417" s="7"/>
      <c r="N417" s="7"/>
      <c r="O417" s="5"/>
      <c r="P417" s="7"/>
      <c r="R417" s="5"/>
    </row>
    <row r="418">
      <c r="E418" s="5"/>
      <c r="H418" s="5"/>
      <c r="I418" s="5"/>
      <c r="J418" s="7"/>
      <c r="K418" s="7"/>
      <c r="L418" s="7"/>
      <c r="M418" s="7"/>
      <c r="N418" s="7"/>
      <c r="O418" s="5"/>
      <c r="P418" s="7"/>
      <c r="R418" s="5"/>
    </row>
    <row r="419">
      <c r="E419" s="5"/>
      <c r="H419" s="5"/>
      <c r="I419" s="5"/>
      <c r="J419" s="7"/>
      <c r="K419" s="7"/>
      <c r="L419" s="7"/>
      <c r="M419" s="7"/>
      <c r="N419" s="7"/>
      <c r="O419" s="5"/>
      <c r="P419" s="7"/>
      <c r="R419" s="5"/>
    </row>
    <row r="420">
      <c r="E420" s="5"/>
      <c r="H420" s="5"/>
      <c r="I420" s="5"/>
      <c r="J420" s="7"/>
      <c r="K420" s="7"/>
      <c r="L420" s="7"/>
      <c r="M420" s="7"/>
      <c r="N420" s="7"/>
      <c r="O420" s="5"/>
      <c r="P420" s="7"/>
      <c r="R420" s="5"/>
    </row>
    <row r="421">
      <c r="E421" s="5"/>
      <c r="H421" s="5"/>
      <c r="I421" s="5"/>
      <c r="J421" s="7"/>
      <c r="K421" s="7"/>
      <c r="L421" s="7"/>
      <c r="M421" s="7"/>
      <c r="N421" s="7"/>
      <c r="O421" s="5"/>
      <c r="P421" s="7"/>
      <c r="R421" s="5"/>
    </row>
    <row r="422">
      <c r="E422" s="5"/>
      <c r="H422" s="5"/>
      <c r="I422" s="5"/>
      <c r="J422" s="7"/>
      <c r="K422" s="7"/>
      <c r="L422" s="7"/>
      <c r="M422" s="7"/>
      <c r="N422" s="7"/>
      <c r="O422" s="5"/>
      <c r="P422" s="7"/>
      <c r="R422" s="5"/>
    </row>
    <row r="423">
      <c r="E423" s="5"/>
      <c r="H423" s="5"/>
      <c r="I423" s="5"/>
      <c r="J423" s="7"/>
      <c r="K423" s="7"/>
      <c r="L423" s="7"/>
      <c r="M423" s="7"/>
      <c r="N423" s="7"/>
      <c r="O423" s="5"/>
      <c r="P423" s="7"/>
      <c r="R423" s="5"/>
    </row>
    <row r="424">
      <c r="E424" s="5"/>
      <c r="H424" s="5"/>
      <c r="I424" s="5"/>
      <c r="J424" s="7"/>
      <c r="K424" s="7"/>
      <c r="L424" s="7"/>
      <c r="M424" s="7"/>
      <c r="N424" s="7"/>
      <c r="O424" s="5"/>
      <c r="P424" s="7"/>
      <c r="R424" s="5"/>
    </row>
    <row r="425">
      <c r="E425" s="5"/>
      <c r="H425" s="5"/>
      <c r="I425" s="5"/>
      <c r="J425" s="7"/>
      <c r="K425" s="7"/>
      <c r="L425" s="7"/>
      <c r="M425" s="7"/>
      <c r="N425" s="7"/>
      <c r="O425" s="5"/>
      <c r="P425" s="7"/>
      <c r="R425" s="5"/>
    </row>
    <row r="426">
      <c r="E426" s="5"/>
      <c r="H426" s="5"/>
      <c r="I426" s="5"/>
      <c r="J426" s="7"/>
      <c r="K426" s="7"/>
      <c r="L426" s="7"/>
      <c r="M426" s="7"/>
      <c r="N426" s="7"/>
      <c r="O426" s="5"/>
      <c r="P426" s="7"/>
      <c r="R426" s="5"/>
    </row>
    <row r="427">
      <c r="E427" s="5"/>
      <c r="H427" s="5"/>
      <c r="I427" s="5"/>
      <c r="J427" s="7"/>
      <c r="K427" s="7"/>
      <c r="L427" s="7"/>
      <c r="M427" s="7"/>
      <c r="N427" s="7"/>
      <c r="O427" s="5"/>
      <c r="P427" s="7"/>
      <c r="R427" s="5"/>
    </row>
    <row r="428">
      <c r="E428" s="5"/>
      <c r="H428" s="5"/>
      <c r="I428" s="5"/>
      <c r="J428" s="7"/>
      <c r="K428" s="7"/>
      <c r="L428" s="7"/>
      <c r="M428" s="7"/>
      <c r="N428" s="7"/>
      <c r="O428" s="5"/>
      <c r="P428" s="7"/>
      <c r="R428" s="5"/>
    </row>
    <row r="429">
      <c r="E429" s="5"/>
      <c r="H429" s="5"/>
      <c r="I429" s="5"/>
      <c r="J429" s="7"/>
      <c r="K429" s="7"/>
      <c r="L429" s="7"/>
      <c r="M429" s="7"/>
      <c r="N429" s="7"/>
      <c r="O429" s="5"/>
      <c r="P429" s="7"/>
      <c r="R429" s="5"/>
    </row>
    <row r="430">
      <c r="E430" s="5"/>
      <c r="H430" s="5"/>
      <c r="I430" s="5"/>
      <c r="J430" s="7"/>
      <c r="K430" s="7"/>
      <c r="L430" s="7"/>
      <c r="M430" s="7"/>
      <c r="N430" s="7"/>
      <c r="O430" s="5"/>
      <c r="P430" s="7"/>
      <c r="R430" s="5"/>
    </row>
    <row r="431">
      <c r="E431" s="5"/>
      <c r="H431" s="5"/>
      <c r="I431" s="5"/>
      <c r="J431" s="7"/>
      <c r="K431" s="7"/>
      <c r="L431" s="7"/>
      <c r="M431" s="7"/>
      <c r="N431" s="7"/>
      <c r="O431" s="5"/>
      <c r="P431" s="7"/>
      <c r="R431" s="5"/>
    </row>
    <row r="432">
      <c r="E432" s="5"/>
      <c r="H432" s="5"/>
      <c r="I432" s="5"/>
      <c r="J432" s="7"/>
      <c r="K432" s="7"/>
      <c r="L432" s="7"/>
      <c r="M432" s="7"/>
      <c r="N432" s="7"/>
      <c r="O432" s="5"/>
      <c r="P432" s="7"/>
      <c r="R432" s="5"/>
    </row>
    <row r="433">
      <c r="E433" s="5"/>
      <c r="H433" s="5"/>
      <c r="I433" s="5"/>
      <c r="J433" s="7"/>
      <c r="K433" s="7"/>
      <c r="L433" s="7"/>
      <c r="M433" s="7"/>
      <c r="N433" s="7"/>
      <c r="O433" s="5"/>
      <c r="P433" s="7"/>
      <c r="R433" s="5"/>
    </row>
    <row r="434">
      <c r="E434" s="5"/>
      <c r="H434" s="5"/>
      <c r="I434" s="5"/>
      <c r="J434" s="7"/>
      <c r="K434" s="7"/>
      <c r="L434" s="7"/>
      <c r="M434" s="7"/>
      <c r="N434" s="7"/>
      <c r="O434" s="5"/>
      <c r="P434" s="7"/>
      <c r="R434" s="5"/>
    </row>
    <row r="435">
      <c r="E435" s="5"/>
      <c r="H435" s="5"/>
      <c r="I435" s="5"/>
      <c r="J435" s="7"/>
      <c r="K435" s="7"/>
      <c r="L435" s="7"/>
      <c r="M435" s="7"/>
      <c r="N435" s="7"/>
      <c r="O435" s="5"/>
      <c r="P435" s="7"/>
      <c r="R435" s="5"/>
    </row>
    <row r="436">
      <c r="E436" s="5"/>
      <c r="H436" s="5"/>
      <c r="I436" s="5"/>
      <c r="J436" s="7"/>
      <c r="K436" s="7"/>
      <c r="L436" s="7"/>
      <c r="M436" s="7"/>
      <c r="N436" s="7"/>
      <c r="O436" s="5"/>
      <c r="P436" s="7"/>
      <c r="R436" s="5"/>
    </row>
    <row r="437">
      <c r="E437" s="5"/>
      <c r="H437" s="5"/>
      <c r="I437" s="5"/>
      <c r="J437" s="7"/>
      <c r="K437" s="7"/>
      <c r="L437" s="7"/>
      <c r="M437" s="7"/>
      <c r="N437" s="7"/>
      <c r="O437" s="5"/>
      <c r="P437" s="7"/>
      <c r="R437" s="5"/>
    </row>
    <row r="438">
      <c r="E438" s="5"/>
      <c r="H438" s="5"/>
      <c r="I438" s="5"/>
      <c r="J438" s="7"/>
      <c r="K438" s="7"/>
      <c r="L438" s="7"/>
      <c r="M438" s="7"/>
      <c r="N438" s="7"/>
      <c r="O438" s="5"/>
      <c r="P438" s="7"/>
      <c r="R438" s="5"/>
    </row>
    <row r="439">
      <c r="E439" s="5"/>
      <c r="H439" s="5"/>
      <c r="I439" s="5"/>
      <c r="J439" s="7"/>
      <c r="K439" s="7"/>
      <c r="L439" s="7"/>
      <c r="M439" s="7"/>
      <c r="N439" s="7"/>
      <c r="O439" s="5"/>
      <c r="P439" s="7"/>
      <c r="R439" s="5"/>
    </row>
    <row r="440">
      <c r="E440" s="5"/>
      <c r="H440" s="5"/>
      <c r="I440" s="5"/>
      <c r="J440" s="7"/>
      <c r="K440" s="7"/>
      <c r="L440" s="7"/>
      <c r="M440" s="7"/>
      <c r="N440" s="7"/>
      <c r="O440" s="5"/>
      <c r="P440" s="7"/>
      <c r="R440" s="5"/>
    </row>
    <row r="441">
      <c r="E441" s="5"/>
      <c r="H441" s="5"/>
      <c r="I441" s="5"/>
      <c r="J441" s="7"/>
      <c r="K441" s="7"/>
      <c r="L441" s="7"/>
      <c r="M441" s="7"/>
      <c r="N441" s="7"/>
      <c r="O441" s="5"/>
      <c r="P441" s="7"/>
      <c r="R441" s="5"/>
    </row>
    <row r="442">
      <c r="E442" s="5"/>
      <c r="H442" s="5"/>
      <c r="I442" s="5"/>
      <c r="J442" s="7"/>
      <c r="K442" s="7"/>
      <c r="L442" s="7"/>
      <c r="M442" s="7"/>
      <c r="N442" s="7"/>
      <c r="O442" s="5"/>
      <c r="P442" s="7"/>
      <c r="R442" s="5"/>
    </row>
    <row r="443">
      <c r="E443" s="5"/>
      <c r="H443" s="5"/>
      <c r="I443" s="5"/>
      <c r="J443" s="7"/>
      <c r="K443" s="7"/>
      <c r="L443" s="7"/>
      <c r="M443" s="7"/>
      <c r="N443" s="7"/>
      <c r="O443" s="5"/>
      <c r="P443" s="7"/>
      <c r="R443" s="5"/>
    </row>
    <row r="444">
      <c r="E444" s="5"/>
      <c r="H444" s="5"/>
      <c r="I444" s="5"/>
      <c r="J444" s="7"/>
      <c r="K444" s="7"/>
      <c r="L444" s="7"/>
      <c r="M444" s="7"/>
      <c r="N444" s="7"/>
      <c r="O444" s="5"/>
      <c r="P444" s="7"/>
      <c r="R444" s="5"/>
    </row>
    <row r="445">
      <c r="E445" s="5"/>
      <c r="H445" s="5"/>
      <c r="I445" s="5"/>
      <c r="J445" s="7"/>
      <c r="K445" s="7"/>
      <c r="L445" s="7"/>
      <c r="M445" s="7"/>
      <c r="N445" s="7"/>
      <c r="O445" s="5"/>
      <c r="P445" s="7"/>
      <c r="R445" s="5"/>
    </row>
    <row r="446">
      <c r="E446" s="5"/>
      <c r="H446" s="5"/>
      <c r="I446" s="5"/>
      <c r="J446" s="7"/>
      <c r="K446" s="7"/>
      <c r="L446" s="7"/>
      <c r="M446" s="7"/>
      <c r="N446" s="7"/>
      <c r="O446" s="5"/>
      <c r="P446" s="7"/>
      <c r="R446" s="5"/>
    </row>
    <row r="447">
      <c r="E447" s="5"/>
      <c r="H447" s="5"/>
      <c r="I447" s="5"/>
      <c r="J447" s="7"/>
      <c r="K447" s="7"/>
      <c r="L447" s="7"/>
      <c r="M447" s="7"/>
      <c r="N447" s="7"/>
      <c r="O447" s="5"/>
      <c r="P447" s="7"/>
      <c r="R447" s="5"/>
    </row>
    <row r="448">
      <c r="E448" s="5"/>
      <c r="H448" s="5"/>
      <c r="I448" s="5"/>
      <c r="J448" s="7"/>
      <c r="K448" s="7"/>
      <c r="L448" s="7"/>
      <c r="M448" s="7"/>
      <c r="N448" s="7"/>
      <c r="O448" s="5"/>
      <c r="P448" s="7"/>
      <c r="R448" s="5"/>
    </row>
    <row r="449">
      <c r="E449" s="5"/>
      <c r="H449" s="5"/>
      <c r="I449" s="5"/>
      <c r="J449" s="7"/>
      <c r="K449" s="7"/>
      <c r="L449" s="7"/>
      <c r="M449" s="7"/>
      <c r="N449" s="7"/>
      <c r="O449" s="5"/>
      <c r="P449" s="7"/>
      <c r="R449" s="5"/>
    </row>
    <row r="450">
      <c r="E450" s="5"/>
      <c r="H450" s="5"/>
      <c r="I450" s="5"/>
      <c r="J450" s="7"/>
      <c r="K450" s="7"/>
      <c r="L450" s="7"/>
      <c r="M450" s="7"/>
      <c r="N450" s="7"/>
      <c r="O450" s="5"/>
      <c r="P450" s="7"/>
      <c r="R450" s="5"/>
    </row>
    <row r="451">
      <c r="E451" s="5"/>
      <c r="H451" s="5"/>
      <c r="I451" s="5"/>
      <c r="J451" s="7"/>
      <c r="K451" s="7"/>
      <c r="L451" s="7"/>
      <c r="M451" s="7"/>
      <c r="N451" s="7"/>
      <c r="O451" s="5"/>
      <c r="P451" s="7"/>
      <c r="R451" s="5"/>
    </row>
    <row r="452">
      <c r="E452" s="5"/>
      <c r="H452" s="5"/>
      <c r="I452" s="5"/>
      <c r="J452" s="7"/>
      <c r="K452" s="7"/>
      <c r="L452" s="7"/>
      <c r="M452" s="7"/>
      <c r="N452" s="7"/>
      <c r="O452" s="5"/>
      <c r="P452" s="7"/>
      <c r="R452" s="5"/>
    </row>
    <row r="453">
      <c r="E453" s="5"/>
      <c r="H453" s="5"/>
      <c r="I453" s="5"/>
      <c r="J453" s="7"/>
      <c r="K453" s="7"/>
      <c r="L453" s="7"/>
      <c r="M453" s="7"/>
      <c r="N453" s="7"/>
      <c r="O453" s="5"/>
      <c r="P453" s="7"/>
      <c r="R453" s="5"/>
    </row>
    <row r="454">
      <c r="E454" s="5"/>
      <c r="H454" s="5"/>
      <c r="I454" s="5"/>
      <c r="J454" s="7"/>
      <c r="K454" s="7"/>
      <c r="L454" s="7"/>
      <c r="M454" s="7"/>
      <c r="N454" s="7"/>
      <c r="O454" s="5"/>
      <c r="P454" s="7"/>
      <c r="R454" s="5"/>
    </row>
    <row r="455">
      <c r="E455" s="5"/>
      <c r="H455" s="5"/>
      <c r="I455" s="5"/>
      <c r="J455" s="7"/>
      <c r="K455" s="7"/>
      <c r="L455" s="7"/>
      <c r="M455" s="7"/>
      <c r="N455" s="7"/>
      <c r="O455" s="5"/>
      <c r="P455" s="7"/>
      <c r="R455" s="5"/>
    </row>
    <row r="456">
      <c r="E456" s="5"/>
      <c r="H456" s="5"/>
      <c r="I456" s="5"/>
      <c r="J456" s="7"/>
      <c r="K456" s="7"/>
      <c r="L456" s="7"/>
      <c r="M456" s="7"/>
      <c r="N456" s="7"/>
      <c r="O456" s="5"/>
      <c r="P456" s="7"/>
      <c r="R456" s="5"/>
    </row>
    <row r="457">
      <c r="E457" s="5"/>
      <c r="H457" s="5"/>
      <c r="I457" s="5"/>
      <c r="J457" s="7"/>
      <c r="K457" s="7"/>
      <c r="L457" s="7"/>
      <c r="M457" s="7"/>
      <c r="N457" s="7"/>
      <c r="O457" s="5"/>
      <c r="P457" s="7"/>
      <c r="R457" s="5"/>
    </row>
    <row r="458">
      <c r="E458" s="5"/>
      <c r="H458" s="5"/>
      <c r="I458" s="5"/>
      <c r="J458" s="7"/>
      <c r="K458" s="7"/>
      <c r="L458" s="7"/>
      <c r="M458" s="7"/>
      <c r="N458" s="7"/>
      <c r="O458" s="5"/>
      <c r="P458" s="7"/>
      <c r="R458" s="5"/>
    </row>
    <row r="459">
      <c r="E459" s="5"/>
      <c r="H459" s="5"/>
      <c r="I459" s="5"/>
      <c r="J459" s="7"/>
      <c r="K459" s="7"/>
      <c r="L459" s="7"/>
      <c r="M459" s="7"/>
      <c r="N459" s="7"/>
      <c r="O459" s="5"/>
      <c r="P459" s="7"/>
      <c r="R459" s="5"/>
    </row>
    <row r="460">
      <c r="E460" s="5"/>
      <c r="H460" s="5"/>
      <c r="I460" s="5"/>
      <c r="J460" s="7"/>
      <c r="K460" s="7"/>
      <c r="L460" s="7"/>
      <c r="M460" s="7"/>
      <c r="N460" s="7"/>
      <c r="O460" s="5"/>
      <c r="P460" s="7"/>
      <c r="R460" s="5"/>
    </row>
    <row r="461">
      <c r="E461" s="5"/>
      <c r="H461" s="5"/>
      <c r="I461" s="5"/>
      <c r="J461" s="7"/>
      <c r="K461" s="7"/>
      <c r="L461" s="7"/>
      <c r="M461" s="7"/>
      <c r="N461" s="7"/>
      <c r="O461" s="5"/>
      <c r="P461" s="7"/>
      <c r="R461" s="5"/>
    </row>
    <row r="462">
      <c r="E462" s="5"/>
      <c r="H462" s="5"/>
      <c r="I462" s="5"/>
      <c r="J462" s="7"/>
      <c r="K462" s="7"/>
      <c r="L462" s="7"/>
      <c r="M462" s="7"/>
      <c r="N462" s="7"/>
      <c r="O462" s="5"/>
      <c r="P462" s="7"/>
      <c r="R462" s="5"/>
    </row>
    <row r="463">
      <c r="E463" s="5"/>
      <c r="H463" s="5"/>
      <c r="I463" s="5"/>
      <c r="J463" s="7"/>
      <c r="K463" s="7"/>
      <c r="L463" s="7"/>
      <c r="M463" s="7"/>
      <c r="N463" s="7"/>
      <c r="O463" s="5"/>
      <c r="P463" s="7"/>
      <c r="R463" s="5"/>
    </row>
    <row r="464">
      <c r="E464" s="5"/>
      <c r="H464" s="5"/>
      <c r="I464" s="5"/>
      <c r="J464" s="7"/>
      <c r="K464" s="7"/>
      <c r="L464" s="7"/>
      <c r="M464" s="7"/>
      <c r="N464" s="7"/>
      <c r="O464" s="5"/>
      <c r="P464" s="7"/>
      <c r="R464" s="5"/>
    </row>
    <row r="465">
      <c r="E465" s="5"/>
      <c r="H465" s="5"/>
      <c r="I465" s="5"/>
      <c r="J465" s="7"/>
      <c r="K465" s="7"/>
      <c r="L465" s="7"/>
      <c r="M465" s="7"/>
      <c r="N465" s="7"/>
      <c r="O465" s="5"/>
      <c r="P465" s="7"/>
      <c r="R465" s="5"/>
    </row>
    <row r="466">
      <c r="E466" s="5"/>
      <c r="H466" s="5"/>
      <c r="I466" s="5"/>
      <c r="J466" s="7"/>
      <c r="K466" s="7"/>
      <c r="L466" s="7"/>
      <c r="M466" s="7"/>
      <c r="N466" s="7"/>
      <c r="O466" s="5"/>
      <c r="P466" s="7"/>
      <c r="R466" s="5"/>
    </row>
    <row r="467">
      <c r="E467" s="5"/>
      <c r="H467" s="5"/>
      <c r="I467" s="5"/>
      <c r="J467" s="7"/>
      <c r="K467" s="7"/>
      <c r="L467" s="7"/>
      <c r="M467" s="7"/>
      <c r="N467" s="7"/>
      <c r="O467" s="5"/>
      <c r="P467" s="7"/>
      <c r="R467" s="5"/>
    </row>
    <row r="468">
      <c r="E468" s="5"/>
      <c r="H468" s="5"/>
      <c r="I468" s="5"/>
      <c r="J468" s="7"/>
      <c r="K468" s="7"/>
      <c r="L468" s="7"/>
      <c r="M468" s="7"/>
      <c r="N468" s="7"/>
      <c r="O468" s="5"/>
      <c r="P468" s="7"/>
      <c r="R468" s="5"/>
    </row>
    <row r="469">
      <c r="E469" s="5"/>
      <c r="H469" s="5"/>
      <c r="I469" s="5"/>
      <c r="J469" s="7"/>
      <c r="K469" s="7"/>
      <c r="L469" s="7"/>
      <c r="M469" s="7"/>
      <c r="N469" s="7"/>
      <c r="O469" s="5"/>
      <c r="P469" s="7"/>
      <c r="R469" s="5"/>
    </row>
    <row r="470">
      <c r="E470" s="5"/>
      <c r="H470" s="5"/>
      <c r="I470" s="5"/>
      <c r="J470" s="7"/>
      <c r="K470" s="7"/>
      <c r="L470" s="7"/>
      <c r="M470" s="7"/>
      <c r="N470" s="7"/>
      <c r="O470" s="5"/>
      <c r="P470" s="7"/>
      <c r="R470" s="5"/>
    </row>
    <row r="471">
      <c r="E471" s="5"/>
      <c r="H471" s="5"/>
      <c r="I471" s="5"/>
      <c r="J471" s="7"/>
      <c r="K471" s="7"/>
      <c r="L471" s="7"/>
      <c r="M471" s="7"/>
      <c r="N471" s="7"/>
      <c r="O471" s="5"/>
      <c r="P471" s="7"/>
      <c r="R471" s="5"/>
    </row>
    <row r="472">
      <c r="E472" s="5"/>
      <c r="H472" s="5"/>
      <c r="I472" s="5"/>
      <c r="J472" s="7"/>
      <c r="K472" s="7"/>
      <c r="L472" s="7"/>
      <c r="M472" s="7"/>
      <c r="N472" s="7"/>
      <c r="O472" s="5"/>
      <c r="P472" s="7"/>
      <c r="R472" s="5"/>
    </row>
    <row r="473">
      <c r="E473" s="5"/>
      <c r="H473" s="5"/>
      <c r="I473" s="5"/>
      <c r="J473" s="7"/>
      <c r="K473" s="7"/>
      <c r="L473" s="7"/>
      <c r="M473" s="7"/>
      <c r="N473" s="7"/>
      <c r="O473" s="5"/>
      <c r="P473" s="7"/>
      <c r="R473" s="5"/>
    </row>
    <row r="474">
      <c r="E474" s="5"/>
      <c r="H474" s="5"/>
      <c r="I474" s="5"/>
      <c r="J474" s="7"/>
      <c r="K474" s="7"/>
      <c r="L474" s="7"/>
      <c r="M474" s="7"/>
      <c r="N474" s="7"/>
      <c r="O474" s="5"/>
      <c r="P474" s="7"/>
      <c r="R474" s="5"/>
    </row>
    <row r="475">
      <c r="E475" s="5"/>
      <c r="H475" s="5"/>
      <c r="I475" s="5"/>
      <c r="J475" s="7"/>
      <c r="K475" s="7"/>
      <c r="L475" s="7"/>
      <c r="M475" s="7"/>
      <c r="N475" s="7"/>
      <c r="O475" s="5"/>
      <c r="P475" s="7"/>
      <c r="R475" s="5"/>
    </row>
    <row r="476">
      <c r="E476" s="5"/>
      <c r="H476" s="5"/>
      <c r="I476" s="5"/>
      <c r="J476" s="7"/>
      <c r="K476" s="7"/>
      <c r="L476" s="7"/>
      <c r="M476" s="7"/>
      <c r="N476" s="7"/>
      <c r="O476" s="5"/>
      <c r="P476" s="7"/>
      <c r="R476" s="5"/>
    </row>
    <row r="477">
      <c r="E477" s="5"/>
      <c r="H477" s="5"/>
      <c r="I477" s="5"/>
      <c r="J477" s="7"/>
      <c r="K477" s="7"/>
      <c r="L477" s="7"/>
      <c r="M477" s="7"/>
      <c r="N477" s="7"/>
      <c r="O477" s="5"/>
      <c r="P477" s="7"/>
      <c r="R477" s="5"/>
    </row>
    <row r="478">
      <c r="E478" s="5"/>
      <c r="H478" s="5"/>
      <c r="I478" s="5"/>
      <c r="J478" s="7"/>
      <c r="K478" s="7"/>
      <c r="L478" s="7"/>
      <c r="M478" s="7"/>
      <c r="N478" s="7"/>
      <c r="O478" s="5"/>
      <c r="P478" s="7"/>
      <c r="R478" s="5"/>
    </row>
    <row r="479">
      <c r="E479" s="5"/>
      <c r="H479" s="5"/>
      <c r="I479" s="5"/>
      <c r="J479" s="7"/>
      <c r="K479" s="7"/>
      <c r="L479" s="7"/>
      <c r="M479" s="7"/>
      <c r="N479" s="7"/>
      <c r="O479" s="5"/>
      <c r="P479" s="7"/>
      <c r="R479" s="5"/>
    </row>
    <row r="480">
      <c r="E480" s="5"/>
      <c r="H480" s="5"/>
      <c r="I480" s="5"/>
      <c r="J480" s="7"/>
      <c r="K480" s="7"/>
      <c r="L480" s="7"/>
      <c r="M480" s="7"/>
      <c r="N480" s="7"/>
      <c r="O480" s="5"/>
      <c r="P480" s="7"/>
      <c r="R480" s="5"/>
    </row>
    <row r="481">
      <c r="E481" s="5"/>
      <c r="H481" s="5"/>
      <c r="I481" s="5"/>
      <c r="J481" s="7"/>
      <c r="K481" s="7"/>
      <c r="L481" s="7"/>
      <c r="M481" s="7"/>
      <c r="N481" s="7"/>
      <c r="O481" s="5"/>
      <c r="P481" s="7"/>
      <c r="R481" s="5"/>
    </row>
    <row r="482">
      <c r="E482" s="5"/>
      <c r="H482" s="5"/>
      <c r="I482" s="5"/>
      <c r="J482" s="7"/>
      <c r="K482" s="7"/>
      <c r="L482" s="7"/>
      <c r="M482" s="7"/>
      <c r="N482" s="7"/>
      <c r="O482" s="5"/>
      <c r="P482" s="7"/>
      <c r="R482" s="5"/>
    </row>
    <row r="483">
      <c r="E483" s="5"/>
      <c r="H483" s="5"/>
      <c r="I483" s="5"/>
      <c r="J483" s="7"/>
      <c r="K483" s="7"/>
      <c r="L483" s="7"/>
      <c r="M483" s="7"/>
      <c r="N483" s="7"/>
      <c r="O483" s="5"/>
      <c r="P483" s="7"/>
      <c r="R483" s="5"/>
    </row>
    <row r="484">
      <c r="E484" s="5"/>
      <c r="H484" s="5"/>
      <c r="I484" s="5"/>
      <c r="J484" s="7"/>
      <c r="K484" s="7"/>
      <c r="L484" s="7"/>
      <c r="M484" s="7"/>
      <c r="N484" s="7"/>
      <c r="O484" s="5"/>
      <c r="P484" s="7"/>
      <c r="R484" s="5"/>
    </row>
    <row r="485">
      <c r="E485" s="5"/>
      <c r="H485" s="5"/>
      <c r="I485" s="5"/>
      <c r="J485" s="7"/>
      <c r="K485" s="7"/>
      <c r="L485" s="7"/>
      <c r="M485" s="7"/>
      <c r="N485" s="7"/>
      <c r="O485" s="5"/>
      <c r="P485" s="7"/>
      <c r="R485" s="5"/>
    </row>
    <row r="486">
      <c r="E486" s="5"/>
      <c r="H486" s="5"/>
      <c r="I486" s="5"/>
      <c r="J486" s="7"/>
      <c r="K486" s="7"/>
      <c r="L486" s="7"/>
      <c r="M486" s="7"/>
      <c r="N486" s="7"/>
      <c r="O486" s="5"/>
      <c r="P486" s="7"/>
      <c r="R486" s="5"/>
    </row>
    <row r="487">
      <c r="E487" s="5"/>
      <c r="H487" s="5"/>
      <c r="I487" s="5"/>
      <c r="J487" s="7"/>
      <c r="K487" s="7"/>
      <c r="L487" s="7"/>
      <c r="M487" s="7"/>
      <c r="N487" s="7"/>
      <c r="O487" s="5"/>
      <c r="P487" s="7"/>
      <c r="R487" s="5"/>
    </row>
    <row r="488">
      <c r="E488" s="5"/>
      <c r="H488" s="5"/>
      <c r="I488" s="5"/>
      <c r="J488" s="7"/>
      <c r="K488" s="7"/>
      <c r="L488" s="7"/>
      <c r="M488" s="7"/>
      <c r="N488" s="7"/>
      <c r="O488" s="5"/>
      <c r="P488" s="7"/>
      <c r="R488" s="5"/>
    </row>
    <row r="489">
      <c r="E489" s="5"/>
      <c r="H489" s="5"/>
      <c r="I489" s="5"/>
      <c r="J489" s="7"/>
      <c r="K489" s="7"/>
      <c r="L489" s="7"/>
      <c r="M489" s="7"/>
      <c r="N489" s="7"/>
      <c r="O489" s="5"/>
      <c r="P489" s="7"/>
      <c r="R489" s="5"/>
    </row>
    <row r="490">
      <c r="E490" s="5"/>
      <c r="H490" s="5"/>
      <c r="I490" s="5"/>
      <c r="J490" s="7"/>
      <c r="K490" s="7"/>
      <c r="L490" s="7"/>
      <c r="M490" s="7"/>
      <c r="N490" s="7"/>
      <c r="O490" s="5"/>
      <c r="P490" s="7"/>
      <c r="R490" s="5"/>
    </row>
    <row r="491">
      <c r="E491" s="5"/>
      <c r="H491" s="5"/>
      <c r="I491" s="5"/>
      <c r="J491" s="7"/>
      <c r="K491" s="7"/>
      <c r="L491" s="7"/>
      <c r="M491" s="7"/>
      <c r="N491" s="7"/>
      <c r="O491" s="5"/>
      <c r="P491" s="7"/>
      <c r="R491" s="5"/>
    </row>
    <row r="492">
      <c r="E492" s="5"/>
      <c r="H492" s="5"/>
      <c r="I492" s="5"/>
      <c r="J492" s="7"/>
      <c r="K492" s="7"/>
      <c r="L492" s="7"/>
      <c r="M492" s="7"/>
      <c r="N492" s="7"/>
      <c r="O492" s="5"/>
      <c r="P492" s="7"/>
      <c r="R492" s="5"/>
    </row>
    <row r="493">
      <c r="E493" s="5"/>
      <c r="H493" s="5"/>
      <c r="I493" s="5"/>
      <c r="J493" s="7"/>
      <c r="K493" s="7"/>
      <c r="L493" s="7"/>
      <c r="M493" s="7"/>
      <c r="N493" s="7"/>
      <c r="O493" s="5"/>
      <c r="P493" s="7"/>
      <c r="R493" s="5"/>
    </row>
    <row r="494">
      <c r="E494" s="5"/>
      <c r="H494" s="5"/>
      <c r="I494" s="5"/>
      <c r="J494" s="7"/>
      <c r="K494" s="7"/>
      <c r="L494" s="7"/>
      <c r="M494" s="7"/>
      <c r="N494" s="7"/>
      <c r="O494" s="5"/>
      <c r="P494" s="7"/>
      <c r="R494" s="5"/>
    </row>
    <row r="495">
      <c r="E495" s="5"/>
      <c r="H495" s="5"/>
      <c r="I495" s="5"/>
      <c r="J495" s="7"/>
      <c r="K495" s="7"/>
      <c r="L495" s="7"/>
      <c r="M495" s="7"/>
      <c r="N495" s="7"/>
      <c r="O495" s="5"/>
      <c r="P495" s="7"/>
      <c r="R495" s="5"/>
    </row>
    <row r="496">
      <c r="E496" s="5"/>
      <c r="H496" s="5"/>
      <c r="I496" s="5"/>
      <c r="J496" s="7"/>
      <c r="K496" s="7"/>
      <c r="L496" s="7"/>
      <c r="M496" s="7"/>
      <c r="N496" s="7"/>
      <c r="O496" s="5"/>
      <c r="P496" s="7"/>
      <c r="R496" s="5"/>
    </row>
    <row r="497">
      <c r="E497" s="5"/>
      <c r="H497" s="5"/>
      <c r="I497" s="5"/>
      <c r="J497" s="7"/>
      <c r="K497" s="7"/>
      <c r="L497" s="7"/>
      <c r="M497" s="7"/>
      <c r="N497" s="7"/>
      <c r="O497" s="5"/>
      <c r="P497" s="7"/>
      <c r="R497" s="5"/>
    </row>
    <row r="498">
      <c r="E498" s="5"/>
      <c r="H498" s="5"/>
      <c r="I498" s="5"/>
      <c r="J498" s="7"/>
      <c r="K498" s="7"/>
      <c r="L498" s="7"/>
      <c r="M498" s="7"/>
      <c r="N498" s="7"/>
      <c r="O498" s="5"/>
      <c r="P498" s="7"/>
      <c r="R498" s="5"/>
    </row>
    <row r="499">
      <c r="E499" s="5"/>
      <c r="H499" s="5"/>
      <c r="I499" s="5"/>
      <c r="J499" s="7"/>
      <c r="K499" s="7"/>
      <c r="L499" s="7"/>
      <c r="M499" s="7"/>
      <c r="N499" s="7"/>
      <c r="O499" s="5"/>
      <c r="P499" s="7"/>
      <c r="R499" s="5"/>
    </row>
    <row r="500">
      <c r="E500" s="5"/>
      <c r="H500" s="5"/>
      <c r="I500" s="5"/>
      <c r="J500" s="7"/>
      <c r="K500" s="7"/>
      <c r="L500" s="7"/>
      <c r="M500" s="7"/>
      <c r="N500" s="7"/>
      <c r="O500" s="5"/>
      <c r="P500" s="7"/>
      <c r="R500" s="5"/>
    </row>
    <row r="501">
      <c r="E501" s="5"/>
      <c r="H501" s="5"/>
      <c r="I501" s="5"/>
      <c r="J501" s="7"/>
      <c r="K501" s="7"/>
      <c r="L501" s="7"/>
      <c r="M501" s="7"/>
      <c r="N501" s="7"/>
      <c r="O501" s="5"/>
      <c r="P501" s="7"/>
      <c r="R501" s="5"/>
    </row>
    <row r="502">
      <c r="E502" s="5"/>
      <c r="H502" s="5"/>
      <c r="I502" s="5"/>
      <c r="J502" s="7"/>
      <c r="K502" s="7"/>
      <c r="L502" s="7"/>
      <c r="M502" s="7"/>
      <c r="N502" s="7"/>
      <c r="O502" s="5"/>
      <c r="P502" s="7"/>
      <c r="R502" s="5"/>
    </row>
    <row r="503">
      <c r="E503" s="5"/>
      <c r="H503" s="5"/>
      <c r="I503" s="5"/>
      <c r="J503" s="7"/>
      <c r="K503" s="7"/>
      <c r="L503" s="7"/>
      <c r="M503" s="7"/>
      <c r="N503" s="7"/>
      <c r="O503" s="5"/>
      <c r="P503" s="7"/>
      <c r="R503" s="5"/>
    </row>
    <row r="504">
      <c r="E504" s="5"/>
      <c r="H504" s="5"/>
      <c r="I504" s="5"/>
      <c r="J504" s="7"/>
      <c r="K504" s="7"/>
      <c r="L504" s="7"/>
      <c r="M504" s="7"/>
      <c r="N504" s="7"/>
      <c r="O504" s="5"/>
      <c r="P504" s="7"/>
      <c r="R504" s="5"/>
    </row>
    <row r="505">
      <c r="E505" s="5"/>
      <c r="H505" s="5"/>
      <c r="I505" s="5"/>
      <c r="J505" s="7"/>
      <c r="K505" s="7"/>
      <c r="L505" s="7"/>
      <c r="M505" s="7"/>
      <c r="N505" s="7"/>
      <c r="O505" s="5"/>
      <c r="P505" s="7"/>
      <c r="R505" s="5"/>
    </row>
    <row r="506">
      <c r="E506" s="5"/>
      <c r="H506" s="5"/>
      <c r="I506" s="5"/>
      <c r="J506" s="7"/>
      <c r="K506" s="7"/>
      <c r="L506" s="7"/>
      <c r="M506" s="7"/>
      <c r="N506" s="7"/>
      <c r="O506" s="5"/>
      <c r="P506" s="7"/>
      <c r="R506" s="5"/>
    </row>
    <row r="507">
      <c r="E507" s="5"/>
      <c r="H507" s="5"/>
      <c r="I507" s="5"/>
      <c r="J507" s="7"/>
      <c r="K507" s="7"/>
      <c r="L507" s="7"/>
      <c r="M507" s="7"/>
      <c r="N507" s="7"/>
      <c r="O507" s="5"/>
      <c r="P507" s="7"/>
      <c r="R507" s="5"/>
    </row>
    <row r="508">
      <c r="E508" s="5"/>
      <c r="H508" s="5"/>
      <c r="I508" s="5"/>
      <c r="J508" s="7"/>
      <c r="K508" s="7"/>
      <c r="L508" s="7"/>
      <c r="M508" s="7"/>
      <c r="N508" s="7"/>
      <c r="O508" s="5"/>
      <c r="P508" s="7"/>
      <c r="R508" s="5"/>
    </row>
    <row r="509">
      <c r="E509" s="5"/>
      <c r="H509" s="5"/>
      <c r="I509" s="5"/>
      <c r="J509" s="7"/>
      <c r="K509" s="7"/>
      <c r="L509" s="7"/>
      <c r="M509" s="7"/>
      <c r="N509" s="7"/>
      <c r="O509" s="5"/>
      <c r="P509" s="7"/>
      <c r="R509" s="5"/>
    </row>
    <row r="510">
      <c r="E510" s="5"/>
      <c r="H510" s="5"/>
      <c r="I510" s="5"/>
      <c r="J510" s="7"/>
      <c r="K510" s="7"/>
      <c r="L510" s="7"/>
      <c r="M510" s="7"/>
      <c r="N510" s="7"/>
      <c r="O510" s="5"/>
      <c r="P510" s="7"/>
      <c r="R510" s="5"/>
    </row>
    <row r="511">
      <c r="E511" s="5"/>
      <c r="H511" s="5"/>
      <c r="I511" s="5"/>
      <c r="J511" s="7"/>
      <c r="K511" s="7"/>
      <c r="L511" s="7"/>
      <c r="M511" s="7"/>
      <c r="N511" s="7"/>
      <c r="O511" s="5"/>
      <c r="P511" s="7"/>
      <c r="R511" s="5"/>
    </row>
    <row r="512">
      <c r="E512" s="5"/>
      <c r="H512" s="5"/>
      <c r="I512" s="5"/>
      <c r="J512" s="7"/>
      <c r="K512" s="7"/>
      <c r="L512" s="7"/>
      <c r="M512" s="7"/>
      <c r="N512" s="7"/>
      <c r="O512" s="5"/>
      <c r="P512" s="7"/>
      <c r="R512" s="5"/>
    </row>
    <row r="513">
      <c r="E513" s="5"/>
      <c r="H513" s="5"/>
      <c r="I513" s="5"/>
      <c r="J513" s="7"/>
      <c r="K513" s="7"/>
      <c r="L513" s="7"/>
      <c r="M513" s="7"/>
      <c r="N513" s="7"/>
      <c r="O513" s="5"/>
      <c r="P513" s="7"/>
      <c r="R513" s="5"/>
    </row>
    <row r="514">
      <c r="E514" s="5"/>
      <c r="H514" s="5"/>
      <c r="I514" s="5"/>
      <c r="J514" s="7"/>
      <c r="K514" s="7"/>
      <c r="L514" s="7"/>
      <c r="M514" s="7"/>
      <c r="N514" s="7"/>
      <c r="O514" s="5"/>
      <c r="P514" s="7"/>
      <c r="R514" s="5"/>
    </row>
    <row r="515">
      <c r="E515" s="5"/>
      <c r="H515" s="5"/>
      <c r="I515" s="5"/>
      <c r="J515" s="7"/>
      <c r="K515" s="7"/>
      <c r="L515" s="7"/>
      <c r="M515" s="7"/>
      <c r="N515" s="7"/>
      <c r="O515" s="5"/>
      <c r="P515" s="7"/>
      <c r="R515" s="5"/>
    </row>
    <row r="516">
      <c r="E516" s="5"/>
      <c r="H516" s="5"/>
      <c r="I516" s="5"/>
      <c r="J516" s="7"/>
      <c r="K516" s="7"/>
      <c r="L516" s="7"/>
      <c r="M516" s="7"/>
      <c r="N516" s="7"/>
      <c r="O516" s="5"/>
      <c r="P516" s="7"/>
      <c r="R516" s="5"/>
    </row>
    <row r="517">
      <c r="E517" s="5"/>
      <c r="H517" s="5"/>
      <c r="I517" s="5"/>
      <c r="J517" s="7"/>
      <c r="K517" s="7"/>
      <c r="L517" s="7"/>
      <c r="M517" s="7"/>
      <c r="N517" s="7"/>
      <c r="O517" s="5"/>
      <c r="P517" s="7"/>
      <c r="R517" s="5"/>
    </row>
    <row r="518">
      <c r="E518" s="5"/>
      <c r="H518" s="5"/>
      <c r="I518" s="5"/>
      <c r="J518" s="7"/>
      <c r="K518" s="7"/>
      <c r="L518" s="7"/>
      <c r="M518" s="7"/>
      <c r="N518" s="7"/>
      <c r="O518" s="5"/>
      <c r="P518" s="7"/>
      <c r="R518" s="5"/>
    </row>
    <row r="519">
      <c r="E519" s="5"/>
      <c r="H519" s="5"/>
      <c r="I519" s="5"/>
      <c r="J519" s="7"/>
      <c r="K519" s="7"/>
      <c r="L519" s="7"/>
      <c r="M519" s="7"/>
      <c r="N519" s="7"/>
      <c r="O519" s="5"/>
      <c r="P519" s="7"/>
      <c r="R519" s="5"/>
    </row>
    <row r="520">
      <c r="E520" s="5"/>
      <c r="H520" s="5"/>
      <c r="I520" s="5"/>
      <c r="J520" s="7"/>
      <c r="K520" s="7"/>
      <c r="L520" s="7"/>
      <c r="M520" s="7"/>
      <c r="N520" s="7"/>
      <c r="O520" s="5"/>
      <c r="P520" s="7"/>
      <c r="R520" s="5"/>
    </row>
    <row r="521">
      <c r="E521" s="5"/>
      <c r="H521" s="5"/>
      <c r="I521" s="5"/>
      <c r="J521" s="7"/>
      <c r="K521" s="7"/>
      <c r="L521" s="7"/>
      <c r="M521" s="7"/>
      <c r="N521" s="7"/>
      <c r="O521" s="5"/>
      <c r="P521" s="7"/>
      <c r="R521" s="5"/>
    </row>
    <row r="522">
      <c r="E522" s="5"/>
      <c r="H522" s="5"/>
      <c r="I522" s="5"/>
      <c r="J522" s="7"/>
      <c r="K522" s="7"/>
      <c r="L522" s="7"/>
      <c r="M522" s="7"/>
      <c r="N522" s="7"/>
      <c r="O522" s="5"/>
      <c r="P522" s="7"/>
      <c r="R522" s="5"/>
    </row>
    <row r="523">
      <c r="E523" s="5"/>
      <c r="H523" s="5"/>
      <c r="I523" s="5"/>
      <c r="J523" s="7"/>
      <c r="K523" s="7"/>
      <c r="L523" s="7"/>
      <c r="M523" s="7"/>
      <c r="N523" s="7"/>
      <c r="O523" s="5"/>
      <c r="P523" s="7"/>
      <c r="R523" s="5"/>
    </row>
    <row r="524">
      <c r="E524" s="5"/>
      <c r="H524" s="5"/>
      <c r="I524" s="5"/>
      <c r="J524" s="7"/>
      <c r="K524" s="7"/>
      <c r="L524" s="7"/>
      <c r="M524" s="7"/>
      <c r="N524" s="7"/>
      <c r="O524" s="5"/>
      <c r="P524" s="7"/>
      <c r="R524" s="5"/>
    </row>
    <row r="525">
      <c r="E525" s="5"/>
      <c r="H525" s="5"/>
      <c r="I525" s="5"/>
      <c r="J525" s="7"/>
      <c r="K525" s="7"/>
      <c r="L525" s="7"/>
      <c r="M525" s="7"/>
      <c r="N525" s="7"/>
      <c r="O525" s="5"/>
      <c r="P525" s="7"/>
      <c r="R525" s="5"/>
    </row>
    <row r="526">
      <c r="E526" s="5"/>
      <c r="H526" s="5"/>
      <c r="I526" s="5"/>
      <c r="J526" s="7"/>
      <c r="K526" s="7"/>
      <c r="L526" s="7"/>
      <c r="M526" s="7"/>
      <c r="N526" s="7"/>
      <c r="O526" s="5"/>
      <c r="P526" s="7"/>
      <c r="R526" s="5"/>
    </row>
    <row r="527">
      <c r="E527" s="5"/>
      <c r="H527" s="5"/>
      <c r="I527" s="5"/>
      <c r="J527" s="7"/>
      <c r="K527" s="7"/>
      <c r="L527" s="7"/>
      <c r="M527" s="7"/>
      <c r="N527" s="7"/>
      <c r="O527" s="5"/>
      <c r="P527" s="7"/>
      <c r="R527" s="5"/>
    </row>
    <row r="528">
      <c r="E528" s="5"/>
      <c r="H528" s="5"/>
      <c r="I528" s="5"/>
      <c r="J528" s="7"/>
      <c r="K528" s="7"/>
      <c r="L528" s="7"/>
      <c r="M528" s="7"/>
      <c r="N528" s="7"/>
      <c r="O528" s="5"/>
      <c r="P528" s="7"/>
      <c r="R528" s="5"/>
    </row>
    <row r="529">
      <c r="E529" s="5"/>
      <c r="H529" s="5"/>
      <c r="I529" s="5"/>
      <c r="J529" s="7"/>
      <c r="K529" s="7"/>
      <c r="L529" s="7"/>
      <c r="M529" s="7"/>
      <c r="N529" s="7"/>
      <c r="O529" s="5"/>
      <c r="P529" s="7"/>
      <c r="R529" s="5"/>
    </row>
    <row r="530">
      <c r="E530" s="5"/>
      <c r="H530" s="5"/>
      <c r="I530" s="5"/>
      <c r="J530" s="7"/>
      <c r="K530" s="7"/>
      <c r="L530" s="7"/>
      <c r="M530" s="7"/>
      <c r="N530" s="7"/>
      <c r="O530" s="5"/>
      <c r="P530" s="7"/>
      <c r="R530" s="5"/>
    </row>
    <row r="531">
      <c r="E531" s="5"/>
      <c r="H531" s="5"/>
      <c r="I531" s="5"/>
      <c r="J531" s="7"/>
      <c r="K531" s="7"/>
      <c r="L531" s="7"/>
      <c r="M531" s="7"/>
      <c r="N531" s="7"/>
      <c r="O531" s="5"/>
      <c r="P531" s="7"/>
      <c r="R531" s="5"/>
    </row>
    <row r="532">
      <c r="E532" s="5"/>
      <c r="H532" s="5"/>
      <c r="I532" s="5"/>
      <c r="J532" s="7"/>
      <c r="K532" s="7"/>
      <c r="L532" s="7"/>
      <c r="M532" s="7"/>
      <c r="N532" s="7"/>
      <c r="O532" s="5"/>
      <c r="P532" s="7"/>
      <c r="R532" s="5"/>
    </row>
    <row r="533">
      <c r="E533" s="5"/>
      <c r="H533" s="5"/>
      <c r="I533" s="5"/>
      <c r="J533" s="7"/>
      <c r="K533" s="7"/>
      <c r="L533" s="7"/>
      <c r="M533" s="7"/>
      <c r="N533" s="7"/>
      <c r="O533" s="5"/>
      <c r="P533" s="7"/>
      <c r="R533" s="5"/>
    </row>
    <row r="534">
      <c r="E534" s="5"/>
      <c r="H534" s="5"/>
      <c r="I534" s="5"/>
      <c r="J534" s="7"/>
      <c r="K534" s="7"/>
      <c r="L534" s="7"/>
      <c r="M534" s="7"/>
      <c r="N534" s="7"/>
      <c r="O534" s="5"/>
      <c r="P534" s="7"/>
      <c r="R534" s="5"/>
    </row>
    <row r="535">
      <c r="E535" s="5"/>
      <c r="H535" s="5"/>
      <c r="I535" s="5"/>
      <c r="J535" s="7"/>
      <c r="K535" s="7"/>
      <c r="L535" s="7"/>
      <c r="M535" s="7"/>
      <c r="N535" s="7"/>
      <c r="O535" s="5"/>
      <c r="P535" s="7"/>
      <c r="R535" s="5"/>
    </row>
    <row r="536">
      <c r="E536" s="5"/>
      <c r="H536" s="5"/>
      <c r="I536" s="5"/>
      <c r="J536" s="7"/>
      <c r="K536" s="7"/>
      <c r="L536" s="7"/>
      <c r="M536" s="7"/>
      <c r="N536" s="7"/>
      <c r="O536" s="5"/>
      <c r="P536" s="7"/>
      <c r="R536" s="5"/>
    </row>
    <row r="537">
      <c r="E537" s="5"/>
      <c r="H537" s="5"/>
      <c r="I537" s="5"/>
      <c r="J537" s="7"/>
      <c r="K537" s="7"/>
      <c r="L537" s="7"/>
      <c r="M537" s="7"/>
      <c r="N537" s="7"/>
      <c r="O537" s="5"/>
      <c r="P537" s="7"/>
      <c r="R537" s="5"/>
    </row>
    <row r="538">
      <c r="E538" s="5"/>
      <c r="H538" s="5"/>
      <c r="I538" s="5"/>
      <c r="J538" s="7"/>
      <c r="K538" s="7"/>
      <c r="L538" s="7"/>
      <c r="M538" s="7"/>
      <c r="N538" s="7"/>
      <c r="O538" s="5"/>
      <c r="P538" s="7"/>
      <c r="R538" s="5"/>
    </row>
    <row r="539">
      <c r="E539" s="5"/>
      <c r="H539" s="5"/>
      <c r="I539" s="5"/>
      <c r="J539" s="7"/>
      <c r="K539" s="7"/>
      <c r="L539" s="7"/>
      <c r="M539" s="7"/>
      <c r="N539" s="7"/>
      <c r="O539" s="5"/>
      <c r="P539" s="7"/>
      <c r="R539" s="5"/>
    </row>
    <row r="540">
      <c r="E540" s="5"/>
      <c r="H540" s="5"/>
      <c r="I540" s="5"/>
      <c r="J540" s="7"/>
      <c r="K540" s="7"/>
      <c r="L540" s="7"/>
      <c r="M540" s="7"/>
      <c r="N540" s="7"/>
      <c r="O540" s="5"/>
      <c r="P540" s="7"/>
      <c r="R540" s="5"/>
    </row>
    <row r="541">
      <c r="E541" s="5"/>
      <c r="H541" s="5"/>
      <c r="I541" s="5"/>
      <c r="J541" s="7"/>
      <c r="K541" s="7"/>
      <c r="L541" s="7"/>
      <c r="M541" s="7"/>
      <c r="N541" s="7"/>
      <c r="O541" s="5"/>
      <c r="P541" s="7"/>
      <c r="R541" s="5"/>
    </row>
    <row r="542">
      <c r="E542" s="5"/>
      <c r="H542" s="5"/>
      <c r="I542" s="5"/>
      <c r="J542" s="7"/>
      <c r="K542" s="7"/>
      <c r="L542" s="7"/>
      <c r="M542" s="7"/>
      <c r="N542" s="7"/>
      <c r="O542" s="5"/>
      <c r="P542" s="7"/>
      <c r="R542" s="5"/>
    </row>
    <row r="543">
      <c r="E543" s="5"/>
      <c r="H543" s="5"/>
      <c r="I543" s="5"/>
      <c r="J543" s="7"/>
      <c r="K543" s="7"/>
      <c r="L543" s="7"/>
      <c r="M543" s="7"/>
      <c r="N543" s="7"/>
      <c r="O543" s="5"/>
      <c r="P543" s="7"/>
      <c r="R543" s="5"/>
    </row>
    <row r="544">
      <c r="E544" s="5"/>
      <c r="H544" s="5"/>
      <c r="I544" s="5"/>
      <c r="J544" s="7"/>
      <c r="K544" s="7"/>
      <c r="L544" s="7"/>
      <c r="M544" s="7"/>
      <c r="N544" s="7"/>
      <c r="O544" s="5"/>
      <c r="P544" s="7"/>
      <c r="R544" s="5"/>
    </row>
    <row r="545">
      <c r="E545" s="5"/>
      <c r="H545" s="5"/>
      <c r="I545" s="5"/>
      <c r="J545" s="7"/>
      <c r="K545" s="7"/>
      <c r="L545" s="7"/>
      <c r="M545" s="7"/>
      <c r="N545" s="7"/>
      <c r="O545" s="5"/>
      <c r="P545" s="7"/>
      <c r="R545" s="5"/>
    </row>
    <row r="546">
      <c r="E546" s="5"/>
      <c r="H546" s="5"/>
      <c r="I546" s="5"/>
      <c r="J546" s="7"/>
      <c r="K546" s="7"/>
      <c r="L546" s="7"/>
      <c r="M546" s="7"/>
      <c r="N546" s="7"/>
      <c r="O546" s="5"/>
      <c r="P546" s="7"/>
      <c r="R546" s="5"/>
    </row>
    <row r="547">
      <c r="E547" s="5"/>
      <c r="H547" s="5"/>
      <c r="I547" s="5"/>
      <c r="J547" s="7"/>
      <c r="K547" s="7"/>
      <c r="L547" s="7"/>
      <c r="M547" s="7"/>
      <c r="N547" s="7"/>
      <c r="O547" s="5"/>
      <c r="P547" s="7"/>
      <c r="R547" s="5"/>
    </row>
    <row r="548">
      <c r="E548" s="5"/>
      <c r="H548" s="5"/>
      <c r="I548" s="5"/>
      <c r="J548" s="7"/>
      <c r="K548" s="7"/>
      <c r="L548" s="7"/>
      <c r="M548" s="7"/>
      <c r="N548" s="7"/>
      <c r="O548" s="5"/>
      <c r="P548" s="7"/>
      <c r="R548" s="5"/>
    </row>
    <row r="549">
      <c r="E549" s="5"/>
      <c r="H549" s="5"/>
      <c r="I549" s="5"/>
      <c r="J549" s="7"/>
      <c r="K549" s="7"/>
      <c r="L549" s="7"/>
      <c r="M549" s="7"/>
      <c r="N549" s="7"/>
      <c r="O549" s="5"/>
      <c r="P549" s="7"/>
      <c r="R549" s="5"/>
    </row>
    <row r="550">
      <c r="E550" s="5"/>
      <c r="H550" s="5"/>
      <c r="I550" s="5"/>
      <c r="J550" s="7"/>
      <c r="K550" s="7"/>
      <c r="L550" s="7"/>
      <c r="M550" s="7"/>
      <c r="N550" s="7"/>
      <c r="O550" s="5"/>
      <c r="P550" s="7"/>
      <c r="R550" s="5"/>
    </row>
    <row r="551">
      <c r="E551" s="5"/>
      <c r="H551" s="5"/>
      <c r="I551" s="5"/>
      <c r="J551" s="7"/>
      <c r="K551" s="7"/>
      <c r="L551" s="7"/>
      <c r="M551" s="7"/>
      <c r="N551" s="7"/>
      <c r="O551" s="5"/>
      <c r="P551" s="7"/>
      <c r="R551" s="5"/>
    </row>
    <row r="552">
      <c r="E552" s="5"/>
      <c r="H552" s="5"/>
      <c r="I552" s="5"/>
      <c r="J552" s="7"/>
      <c r="K552" s="7"/>
      <c r="L552" s="7"/>
      <c r="M552" s="7"/>
      <c r="N552" s="7"/>
      <c r="O552" s="5"/>
      <c r="P552" s="7"/>
      <c r="R552" s="5"/>
    </row>
    <row r="553">
      <c r="E553" s="5"/>
      <c r="H553" s="5"/>
      <c r="I553" s="5"/>
      <c r="J553" s="7"/>
      <c r="K553" s="7"/>
      <c r="L553" s="7"/>
      <c r="M553" s="7"/>
      <c r="N553" s="7"/>
      <c r="O553" s="5"/>
      <c r="P553" s="7"/>
      <c r="R553" s="5"/>
    </row>
    <row r="554">
      <c r="E554" s="5"/>
      <c r="H554" s="5"/>
      <c r="I554" s="5"/>
      <c r="J554" s="7"/>
      <c r="K554" s="7"/>
      <c r="L554" s="7"/>
      <c r="M554" s="7"/>
      <c r="N554" s="7"/>
      <c r="O554" s="5"/>
      <c r="P554" s="7"/>
      <c r="R554" s="5"/>
    </row>
    <row r="555">
      <c r="E555" s="5"/>
      <c r="H555" s="5"/>
      <c r="I555" s="5"/>
      <c r="J555" s="7"/>
      <c r="K555" s="7"/>
      <c r="L555" s="7"/>
      <c r="M555" s="7"/>
      <c r="N555" s="7"/>
      <c r="O555" s="5"/>
      <c r="P555" s="7"/>
      <c r="R555" s="5"/>
    </row>
    <row r="556">
      <c r="E556" s="5"/>
      <c r="H556" s="5"/>
      <c r="I556" s="5"/>
      <c r="J556" s="7"/>
      <c r="K556" s="7"/>
      <c r="L556" s="7"/>
      <c r="M556" s="7"/>
      <c r="N556" s="7"/>
      <c r="O556" s="5"/>
      <c r="P556" s="7"/>
      <c r="R556" s="5"/>
    </row>
    <row r="557">
      <c r="E557" s="5"/>
      <c r="H557" s="5"/>
      <c r="I557" s="5"/>
      <c r="J557" s="7"/>
      <c r="K557" s="7"/>
      <c r="L557" s="7"/>
      <c r="M557" s="7"/>
      <c r="N557" s="7"/>
      <c r="O557" s="5"/>
      <c r="P557" s="7"/>
      <c r="R557" s="5"/>
    </row>
    <row r="558">
      <c r="E558" s="5"/>
      <c r="H558" s="5"/>
      <c r="I558" s="5"/>
      <c r="J558" s="7"/>
      <c r="K558" s="7"/>
      <c r="L558" s="7"/>
      <c r="M558" s="7"/>
      <c r="N558" s="7"/>
      <c r="O558" s="5"/>
      <c r="P558" s="7"/>
      <c r="R558" s="5"/>
    </row>
    <row r="559">
      <c r="E559" s="5"/>
      <c r="H559" s="5"/>
      <c r="I559" s="5"/>
      <c r="J559" s="7"/>
      <c r="K559" s="7"/>
      <c r="L559" s="7"/>
      <c r="M559" s="7"/>
      <c r="N559" s="7"/>
      <c r="O559" s="5"/>
      <c r="P559" s="7"/>
      <c r="R559" s="5"/>
    </row>
    <row r="560">
      <c r="E560" s="5"/>
      <c r="H560" s="5"/>
      <c r="I560" s="5"/>
      <c r="J560" s="7"/>
      <c r="K560" s="7"/>
      <c r="L560" s="7"/>
      <c r="M560" s="7"/>
      <c r="N560" s="7"/>
      <c r="O560" s="5"/>
      <c r="P560" s="7"/>
      <c r="R560" s="5"/>
    </row>
    <row r="561">
      <c r="E561" s="5"/>
      <c r="H561" s="5"/>
      <c r="I561" s="5"/>
      <c r="J561" s="7"/>
      <c r="K561" s="7"/>
      <c r="L561" s="7"/>
      <c r="M561" s="7"/>
      <c r="N561" s="7"/>
      <c r="O561" s="5"/>
      <c r="P561" s="7"/>
      <c r="R561" s="5"/>
    </row>
    <row r="562">
      <c r="E562" s="5"/>
      <c r="H562" s="5"/>
      <c r="I562" s="5"/>
      <c r="J562" s="7"/>
      <c r="K562" s="7"/>
      <c r="L562" s="7"/>
      <c r="M562" s="7"/>
      <c r="N562" s="7"/>
      <c r="O562" s="5"/>
      <c r="P562" s="7"/>
      <c r="R562" s="5"/>
    </row>
    <row r="563">
      <c r="E563" s="5"/>
      <c r="H563" s="5"/>
      <c r="I563" s="5"/>
      <c r="J563" s="7"/>
      <c r="K563" s="7"/>
      <c r="L563" s="7"/>
      <c r="M563" s="7"/>
      <c r="N563" s="7"/>
      <c r="O563" s="5"/>
      <c r="P563" s="7"/>
      <c r="R563" s="5"/>
    </row>
    <row r="564">
      <c r="E564" s="5"/>
      <c r="H564" s="5"/>
      <c r="I564" s="5"/>
      <c r="J564" s="7"/>
      <c r="K564" s="7"/>
      <c r="L564" s="7"/>
      <c r="M564" s="7"/>
      <c r="N564" s="7"/>
      <c r="O564" s="5"/>
      <c r="P564" s="7"/>
      <c r="R564" s="5"/>
    </row>
    <row r="565">
      <c r="E565" s="5"/>
      <c r="H565" s="5"/>
      <c r="I565" s="5"/>
      <c r="J565" s="7"/>
      <c r="K565" s="7"/>
      <c r="L565" s="7"/>
      <c r="M565" s="7"/>
      <c r="N565" s="7"/>
      <c r="O565" s="5"/>
      <c r="P565" s="7"/>
      <c r="R565" s="5"/>
    </row>
    <row r="566">
      <c r="E566" s="5"/>
      <c r="H566" s="5"/>
      <c r="I566" s="5"/>
      <c r="J566" s="7"/>
      <c r="K566" s="7"/>
      <c r="L566" s="7"/>
      <c r="M566" s="7"/>
      <c r="N566" s="7"/>
      <c r="O566" s="5"/>
      <c r="P566" s="7"/>
      <c r="R566" s="5"/>
    </row>
    <row r="567">
      <c r="E567" s="5"/>
      <c r="H567" s="5"/>
      <c r="I567" s="5"/>
      <c r="J567" s="7"/>
      <c r="K567" s="7"/>
      <c r="L567" s="7"/>
      <c r="M567" s="7"/>
      <c r="N567" s="7"/>
      <c r="O567" s="5"/>
      <c r="P567" s="7"/>
      <c r="R567" s="5"/>
    </row>
    <row r="568">
      <c r="E568" s="5"/>
      <c r="H568" s="5"/>
      <c r="I568" s="5"/>
      <c r="J568" s="7"/>
      <c r="K568" s="7"/>
      <c r="L568" s="7"/>
      <c r="M568" s="7"/>
      <c r="N568" s="7"/>
      <c r="O568" s="5"/>
      <c r="P568" s="7"/>
      <c r="R568" s="5"/>
    </row>
    <row r="569">
      <c r="E569" s="5"/>
      <c r="H569" s="5"/>
      <c r="I569" s="5"/>
      <c r="J569" s="7"/>
      <c r="K569" s="7"/>
      <c r="L569" s="7"/>
      <c r="M569" s="7"/>
      <c r="N569" s="7"/>
      <c r="O569" s="5"/>
      <c r="P569" s="7"/>
      <c r="R569" s="5"/>
    </row>
    <row r="570">
      <c r="E570" s="5"/>
      <c r="H570" s="5"/>
      <c r="I570" s="5"/>
      <c r="J570" s="7"/>
      <c r="K570" s="7"/>
      <c r="L570" s="7"/>
      <c r="M570" s="7"/>
      <c r="N570" s="7"/>
      <c r="O570" s="5"/>
      <c r="P570" s="7"/>
      <c r="R570" s="5"/>
    </row>
    <row r="571">
      <c r="E571" s="5"/>
      <c r="H571" s="5"/>
      <c r="I571" s="5"/>
      <c r="J571" s="7"/>
      <c r="K571" s="7"/>
      <c r="L571" s="7"/>
      <c r="M571" s="7"/>
      <c r="N571" s="7"/>
      <c r="O571" s="5"/>
      <c r="P571" s="7"/>
      <c r="R571" s="5"/>
    </row>
    <row r="572">
      <c r="E572" s="5"/>
      <c r="H572" s="5"/>
      <c r="I572" s="5"/>
      <c r="J572" s="7"/>
      <c r="K572" s="7"/>
      <c r="L572" s="7"/>
      <c r="M572" s="7"/>
      <c r="N572" s="7"/>
      <c r="O572" s="5"/>
      <c r="P572" s="7"/>
      <c r="R572" s="5"/>
    </row>
    <row r="573">
      <c r="E573" s="5"/>
      <c r="H573" s="5"/>
      <c r="I573" s="5"/>
      <c r="J573" s="7"/>
      <c r="K573" s="7"/>
      <c r="L573" s="7"/>
      <c r="M573" s="7"/>
      <c r="N573" s="7"/>
      <c r="O573" s="5"/>
      <c r="P573" s="7"/>
      <c r="R573" s="5"/>
    </row>
    <row r="574">
      <c r="E574" s="5"/>
      <c r="H574" s="5"/>
      <c r="I574" s="5"/>
      <c r="J574" s="7"/>
      <c r="K574" s="7"/>
      <c r="L574" s="7"/>
      <c r="M574" s="7"/>
      <c r="N574" s="7"/>
      <c r="O574" s="5"/>
      <c r="P574" s="7"/>
      <c r="R574" s="5"/>
    </row>
    <row r="575">
      <c r="E575" s="5"/>
      <c r="H575" s="5"/>
      <c r="I575" s="5"/>
      <c r="J575" s="7"/>
      <c r="K575" s="7"/>
      <c r="L575" s="7"/>
      <c r="M575" s="7"/>
      <c r="N575" s="7"/>
      <c r="O575" s="5"/>
      <c r="P575" s="7"/>
      <c r="R575" s="5"/>
    </row>
    <row r="576">
      <c r="E576" s="5"/>
      <c r="H576" s="5"/>
      <c r="I576" s="5"/>
      <c r="J576" s="7"/>
      <c r="K576" s="7"/>
      <c r="L576" s="7"/>
      <c r="M576" s="7"/>
      <c r="N576" s="7"/>
      <c r="O576" s="5"/>
      <c r="P576" s="7"/>
      <c r="R576" s="5"/>
    </row>
    <row r="577">
      <c r="E577" s="5"/>
      <c r="H577" s="5"/>
      <c r="I577" s="5"/>
      <c r="J577" s="7"/>
      <c r="K577" s="7"/>
      <c r="L577" s="7"/>
      <c r="M577" s="7"/>
      <c r="N577" s="7"/>
      <c r="O577" s="5"/>
      <c r="P577" s="7"/>
      <c r="R577" s="5"/>
    </row>
    <row r="578">
      <c r="E578" s="5"/>
      <c r="H578" s="5"/>
      <c r="I578" s="5"/>
      <c r="J578" s="7"/>
      <c r="K578" s="7"/>
      <c r="L578" s="7"/>
      <c r="M578" s="7"/>
      <c r="N578" s="7"/>
      <c r="O578" s="5"/>
      <c r="P578" s="7"/>
      <c r="R578" s="5"/>
    </row>
    <row r="579">
      <c r="E579" s="5"/>
      <c r="H579" s="5"/>
      <c r="I579" s="5"/>
      <c r="J579" s="7"/>
      <c r="K579" s="7"/>
      <c r="L579" s="7"/>
      <c r="M579" s="7"/>
      <c r="N579" s="7"/>
      <c r="O579" s="5"/>
      <c r="P579" s="7"/>
      <c r="R579" s="5"/>
    </row>
    <row r="580">
      <c r="E580" s="5"/>
      <c r="H580" s="5"/>
      <c r="I580" s="5"/>
      <c r="J580" s="7"/>
      <c r="K580" s="7"/>
      <c r="L580" s="7"/>
      <c r="M580" s="7"/>
      <c r="N580" s="7"/>
      <c r="O580" s="5"/>
      <c r="P580" s="7"/>
      <c r="R580" s="5"/>
    </row>
    <row r="581">
      <c r="E581" s="5"/>
      <c r="H581" s="5"/>
      <c r="I581" s="5"/>
      <c r="J581" s="7"/>
      <c r="K581" s="7"/>
      <c r="L581" s="7"/>
      <c r="M581" s="7"/>
      <c r="N581" s="7"/>
      <c r="O581" s="5"/>
      <c r="P581" s="7"/>
      <c r="R581" s="5"/>
    </row>
    <row r="582">
      <c r="E582" s="5"/>
      <c r="H582" s="5"/>
      <c r="I582" s="5"/>
      <c r="J582" s="7"/>
      <c r="K582" s="7"/>
      <c r="L582" s="7"/>
      <c r="M582" s="7"/>
      <c r="N582" s="7"/>
      <c r="O582" s="5"/>
      <c r="P582" s="7"/>
      <c r="R582" s="5"/>
    </row>
    <row r="583">
      <c r="E583" s="5"/>
      <c r="H583" s="5"/>
      <c r="I583" s="5"/>
      <c r="J583" s="7"/>
      <c r="K583" s="7"/>
      <c r="L583" s="7"/>
      <c r="M583" s="7"/>
      <c r="N583" s="7"/>
      <c r="O583" s="5"/>
      <c r="P583" s="7"/>
      <c r="R583" s="5"/>
    </row>
    <row r="584">
      <c r="E584" s="5"/>
      <c r="H584" s="5"/>
      <c r="I584" s="5"/>
      <c r="J584" s="7"/>
      <c r="K584" s="7"/>
      <c r="L584" s="7"/>
      <c r="M584" s="7"/>
      <c r="N584" s="7"/>
      <c r="O584" s="5"/>
      <c r="P584" s="7"/>
      <c r="R584" s="5"/>
    </row>
    <row r="585">
      <c r="E585" s="5"/>
      <c r="H585" s="5"/>
      <c r="I585" s="5"/>
      <c r="J585" s="7"/>
      <c r="K585" s="7"/>
      <c r="L585" s="7"/>
      <c r="M585" s="7"/>
      <c r="N585" s="7"/>
      <c r="O585" s="5"/>
      <c r="P585" s="7"/>
      <c r="R585" s="5"/>
    </row>
    <row r="586">
      <c r="E586" s="5"/>
      <c r="H586" s="5"/>
      <c r="I586" s="5"/>
      <c r="J586" s="7"/>
      <c r="K586" s="7"/>
      <c r="L586" s="7"/>
      <c r="M586" s="7"/>
      <c r="N586" s="7"/>
      <c r="O586" s="5"/>
      <c r="P586" s="7"/>
      <c r="R586" s="5"/>
    </row>
    <row r="587">
      <c r="E587" s="5"/>
      <c r="H587" s="5"/>
      <c r="I587" s="5"/>
      <c r="J587" s="7"/>
      <c r="K587" s="7"/>
      <c r="L587" s="7"/>
      <c r="M587" s="7"/>
      <c r="N587" s="7"/>
      <c r="O587" s="5"/>
      <c r="P587" s="7"/>
      <c r="R587" s="5"/>
    </row>
    <row r="588">
      <c r="E588" s="5"/>
      <c r="H588" s="5"/>
      <c r="I588" s="5"/>
      <c r="J588" s="7"/>
      <c r="K588" s="7"/>
      <c r="L588" s="7"/>
      <c r="M588" s="7"/>
      <c r="N588" s="7"/>
      <c r="O588" s="5"/>
      <c r="P588" s="7"/>
      <c r="R588" s="5"/>
    </row>
    <row r="589">
      <c r="E589" s="5"/>
      <c r="H589" s="5"/>
      <c r="I589" s="5"/>
      <c r="J589" s="7"/>
      <c r="K589" s="7"/>
      <c r="L589" s="7"/>
      <c r="M589" s="7"/>
      <c r="N589" s="7"/>
      <c r="O589" s="5"/>
      <c r="P589" s="7"/>
      <c r="R589" s="5"/>
    </row>
    <row r="590">
      <c r="E590" s="5"/>
      <c r="H590" s="5"/>
      <c r="I590" s="5"/>
      <c r="J590" s="7"/>
      <c r="K590" s="7"/>
      <c r="L590" s="7"/>
      <c r="M590" s="7"/>
      <c r="N590" s="7"/>
      <c r="O590" s="5"/>
      <c r="P590" s="7"/>
      <c r="R590" s="5"/>
    </row>
    <row r="591">
      <c r="E591" s="5"/>
      <c r="H591" s="5"/>
      <c r="I591" s="5"/>
      <c r="J591" s="7"/>
      <c r="K591" s="7"/>
      <c r="L591" s="7"/>
      <c r="M591" s="7"/>
      <c r="N591" s="7"/>
      <c r="O591" s="5"/>
      <c r="P591" s="7"/>
      <c r="R591" s="5"/>
    </row>
    <row r="592">
      <c r="E592" s="5"/>
      <c r="H592" s="5"/>
      <c r="I592" s="5"/>
      <c r="J592" s="7"/>
      <c r="K592" s="7"/>
      <c r="L592" s="7"/>
      <c r="M592" s="7"/>
      <c r="N592" s="7"/>
      <c r="O592" s="5"/>
      <c r="P592" s="7"/>
      <c r="R592" s="5"/>
    </row>
    <row r="593">
      <c r="E593" s="5"/>
      <c r="H593" s="5"/>
      <c r="I593" s="5"/>
      <c r="J593" s="7"/>
      <c r="K593" s="7"/>
      <c r="L593" s="7"/>
      <c r="M593" s="7"/>
      <c r="N593" s="7"/>
      <c r="O593" s="5"/>
      <c r="P593" s="7"/>
      <c r="R593" s="5"/>
    </row>
    <row r="594">
      <c r="E594" s="5"/>
      <c r="H594" s="5"/>
      <c r="I594" s="5"/>
      <c r="J594" s="7"/>
      <c r="K594" s="7"/>
      <c r="L594" s="7"/>
      <c r="M594" s="7"/>
      <c r="N594" s="7"/>
      <c r="O594" s="5"/>
      <c r="P594" s="7"/>
      <c r="R594" s="5"/>
    </row>
    <row r="595">
      <c r="E595" s="5"/>
      <c r="H595" s="5"/>
      <c r="I595" s="5"/>
      <c r="J595" s="7"/>
      <c r="K595" s="7"/>
      <c r="L595" s="7"/>
      <c r="M595" s="7"/>
      <c r="N595" s="7"/>
      <c r="O595" s="5"/>
      <c r="P595" s="7"/>
      <c r="R595" s="5"/>
    </row>
    <row r="596">
      <c r="E596" s="5"/>
      <c r="H596" s="5"/>
      <c r="I596" s="5"/>
      <c r="J596" s="7"/>
      <c r="K596" s="7"/>
      <c r="L596" s="7"/>
      <c r="M596" s="7"/>
      <c r="N596" s="7"/>
      <c r="O596" s="5"/>
      <c r="P596" s="7"/>
      <c r="R596" s="5"/>
    </row>
    <row r="597">
      <c r="E597" s="5"/>
      <c r="H597" s="5"/>
      <c r="I597" s="5"/>
      <c r="J597" s="7"/>
      <c r="K597" s="7"/>
      <c r="L597" s="7"/>
      <c r="M597" s="7"/>
      <c r="N597" s="7"/>
      <c r="O597" s="5"/>
      <c r="P597" s="7"/>
      <c r="R597" s="5"/>
    </row>
    <row r="598">
      <c r="E598" s="5"/>
      <c r="H598" s="5"/>
      <c r="I598" s="5"/>
      <c r="J598" s="7"/>
      <c r="K598" s="7"/>
      <c r="L598" s="7"/>
      <c r="M598" s="7"/>
      <c r="N598" s="7"/>
      <c r="O598" s="5"/>
      <c r="P598" s="7"/>
      <c r="R598" s="5"/>
    </row>
    <row r="599">
      <c r="E599" s="5"/>
      <c r="H599" s="5"/>
      <c r="I599" s="5"/>
      <c r="J599" s="7"/>
      <c r="K599" s="7"/>
      <c r="L599" s="7"/>
      <c r="M599" s="7"/>
      <c r="N599" s="7"/>
      <c r="O599" s="5"/>
      <c r="P599" s="7"/>
      <c r="R599" s="5"/>
    </row>
    <row r="600">
      <c r="E600" s="5"/>
      <c r="H600" s="5"/>
      <c r="I600" s="5"/>
      <c r="J600" s="7"/>
      <c r="K600" s="7"/>
      <c r="L600" s="7"/>
      <c r="M600" s="7"/>
      <c r="N600" s="7"/>
      <c r="O600" s="5"/>
      <c r="P600" s="7"/>
      <c r="R600" s="5"/>
    </row>
    <row r="601">
      <c r="E601" s="5"/>
      <c r="H601" s="5"/>
      <c r="I601" s="5"/>
      <c r="J601" s="7"/>
      <c r="K601" s="7"/>
      <c r="L601" s="7"/>
      <c r="M601" s="7"/>
      <c r="N601" s="7"/>
      <c r="O601" s="5"/>
      <c r="P601" s="7"/>
      <c r="R601" s="5"/>
    </row>
    <row r="602">
      <c r="E602" s="5"/>
      <c r="H602" s="5"/>
      <c r="I602" s="5"/>
      <c r="J602" s="7"/>
      <c r="K602" s="7"/>
      <c r="L602" s="7"/>
      <c r="M602" s="7"/>
      <c r="N602" s="7"/>
      <c r="O602" s="5"/>
      <c r="P602" s="7"/>
      <c r="R602" s="5"/>
    </row>
    <row r="603">
      <c r="E603" s="5"/>
      <c r="H603" s="5"/>
      <c r="I603" s="5"/>
      <c r="J603" s="7"/>
      <c r="K603" s="7"/>
      <c r="L603" s="7"/>
      <c r="M603" s="7"/>
      <c r="N603" s="7"/>
      <c r="O603" s="5"/>
      <c r="P603" s="7"/>
      <c r="R603" s="5"/>
    </row>
    <row r="604">
      <c r="E604" s="5"/>
      <c r="H604" s="5"/>
      <c r="I604" s="5"/>
      <c r="J604" s="7"/>
      <c r="K604" s="7"/>
      <c r="L604" s="7"/>
      <c r="M604" s="7"/>
      <c r="N604" s="7"/>
      <c r="O604" s="5"/>
      <c r="P604" s="7"/>
      <c r="R604" s="5"/>
    </row>
    <row r="605">
      <c r="E605" s="5"/>
      <c r="H605" s="5"/>
      <c r="I605" s="5"/>
      <c r="J605" s="7"/>
      <c r="K605" s="7"/>
      <c r="L605" s="7"/>
      <c r="M605" s="7"/>
      <c r="N605" s="7"/>
      <c r="O605" s="5"/>
      <c r="P605" s="7"/>
      <c r="R605" s="5"/>
    </row>
    <row r="606">
      <c r="E606" s="5"/>
      <c r="H606" s="5"/>
      <c r="I606" s="5"/>
      <c r="J606" s="7"/>
      <c r="K606" s="7"/>
      <c r="L606" s="7"/>
      <c r="M606" s="7"/>
      <c r="N606" s="7"/>
      <c r="O606" s="5"/>
      <c r="P606" s="7"/>
      <c r="R606" s="5"/>
    </row>
    <row r="607">
      <c r="E607" s="5"/>
      <c r="H607" s="5"/>
      <c r="I607" s="5"/>
      <c r="J607" s="7"/>
      <c r="K607" s="7"/>
      <c r="L607" s="7"/>
      <c r="M607" s="7"/>
      <c r="N607" s="7"/>
      <c r="O607" s="5"/>
      <c r="P607" s="7"/>
      <c r="R607" s="5"/>
    </row>
    <row r="608">
      <c r="E608" s="5"/>
      <c r="H608" s="5"/>
      <c r="I608" s="5"/>
      <c r="J608" s="7"/>
      <c r="K608" s="7"/>
      <c r="L608" s="7"/>
      <c r="M608" s="7"/>
      <c r="N608" s="7"/>
      <c r="O608" s="5"/>
      <c r="P608" s="7"/>
      <c r="R608" s="5"/>
    </row>
    <row r="609">
      <c r="E609" s="5"/>
      <c r="H609" s="5"/>
      <c r="I609" s="5"/>
      <c r="J609" s="7"/>
      <c r="K609" s="7"/>
      <c r="L609" s="7"/>
      <c r="M609" s="7"/>
      <c r="N609" s="7"/>
      <c r="O609" s="5"/>
      <c r="P609" s="7"/>
      <c r="R609" s="5"/>
    </row>
    <row r="610">
      <c r="E610" s="5"/>
      <c r="H610" s="5"/>
      <c r="I610" s="5"/>
      <c r="J610" s="7"/>
      <c r="K610" s="7"/>
      <c r="L610" s="7"/>
      <c r="M610" s="7"/>
      <c r="N610" s="7"/>
      <c r="O610" s="5"/>
      <c r="P610" s="7"/>
      <c r="R610" s="5"/>
    </row>
    <row r="611">
      <c r="E611" s="5"/>
      <c r="H611" s="5"/>
      <c r="I611" s="5"/>
      <c r="J611" s="7"/>
      <c r="K611" s="7"/>
      <c r="L611" s="7"/>
      <c r="M611" s="7"/>
      <c r="N611" s="7"/>
      <c r="O611" s="5"/>
      <c r="P611" s="7"/>
      <c r="R611" s="5"/>
    </row>
    <row r="612">
      <c r="E612" s="5"/>
      <c r="H612" s="5"/>
      <c r="I612" s="5"/>
      <c r="J612" s="7"/>
      <c r="K612" s="7"/>
      <c r="L612" s="7"/>
      <c r="M612" s="7"/>
      <c r="N612" s="7"/>
      <c r="O612" s="5"/>
      <c r="P612" s="7"/>
      <c r="R612" s="5"/>
    </row>
    <row r="613">
      <c r="E613" s="5"/>
      <c r="H613" s="5"/>
      <c r="I613" s="5"/>
      <c r="J613" s="7"/>
      <c r="K613" s="7"/>
      <c r="L613" s="7"/>
      <c r="M613" s="7"/>
      <c r="N613" s="7"/>
      <c r="O613" s="5"/>
      <c r="P613" s="7"/>
      <c r="R613" s="5"/>
    </row>
    <row r="614">
      <c r="E614" s="5"/>
      <c r="H614" s="5"/>
      <c r="I614" s="5"/>
      <c r="J614" s="7"/>
      <c r="K614" s="7"/>
      <c r="L614" s="7"/>
      <c r="M614" s="7"/>
      <c r="N614" s="7"/>
      <c r="O614" s="5"/>
      <c r="P614" s="7"/>
      <c r="R614" s="5"/>
    </row>
    <row r="615">
      <c r="E615" s="5"/>
      <c r="H615" s="5"/>
      <c r="I615" s="5"/>
      <c r="J615" s="7"/>
      <c r="K615" s="7"/>
      <c r="L615" s="7"/>
      <c r="M615" s="7"/>
      <c r="N615" s="7"/>
      <c r="O615" s="5"/>
      <c r="P615" s="7"/>
      <c r="R615" s="5"/>
    </row>
    <row r="616">
      <c r="E616" s="5"/>
      <c r="H616" s="5"/>
      <c r="I616" s="5"/>
      <c r="J616" s="7"/>
      <c r="K616" s="7"/>
      <c r="L616" s="7"/>
      <c r="M616" s="7"/>
      <c r="N616" s="7"/>
      <c r="O616" s="5"/>
      <c r="P616" s="7"/>
      <c r="R616" s="5"/>
    </row>
    <row r="617">
      <c r="E617" s="5"/>
      <c r="H617" s="5"/>
      <c r="I617" s="5"/>
      <c r="J617" s="7"/>
      <c r="K617" s="7"/>
      <c r="L617" s="7"/>
      <c r="M617" s="7"/>
      <c r="N617" s="7"/>
      <c r="O617" s="5"/>
      <c r="P617" s="7"/>
      <c r="R617" s="5"/>
    </row>
    <row r="618">
      <c r="E618" s="5"/>
      <c r="H618" s="5"/>
      <c r="I618" s="5"/>
      <c r="J618" s="7"/>
      <c r="K618" s="7"/>
      <c r="L618" s="7"/>
      <c r="M618" s="7"/>
      <c r="N618" s="7"/>
      <c r="O618" s="5"/>
      <c r="P618" s="7"/>
      <c r="R618" s="5"/>
    </row>
    <row r="619">
      <c r="E619" s="5"/>
      <c r="H619" s="5"/>
      <c r="I619" s="5"/>
      <c r="J619" s="7"/>
      <c r="K619" s="7"/>
      <c r="L619" s="7"/>
      <c r="M619" s="7"/>
      <c r="N619" s="7"/>
      <c r="O619" s="5"/>
      <c r="P619" s="7"/>
      <c r="R619" s="5"/>
    </row>
    <row r="620">
      <c r="E620" s="5"/>
      <c r="H620" s="5"/>
      <c r="I620" s="5"/>
      <c r="J620" s="7"/>
      <c r="K620" s="7"/>
      <c r="L620" s="7"/>
      <c r="M620" s="7"/>
      <c r="N620" s="7"/>
      <c r="O620" s="5"/>
      <c r="P620" s="7"/>
      <c r="R620" s="5"/>
    </row>
    <row r="621">
      <c r="E621" s="5"/>
      <c r="H621" s="5"/>
      <c r="I621" s="5"/>
      <c r="J621" s="7"/>
      <c r="K621" s="7"/>
      <c r="L621" s="7"/>
      <c r="M621" s="7"/>
      <c r="N621" s="7"/>
      <c r="O621" s="5"/>
      <c r="P621" s="7"/>
      <c r="R621" s="5"/>
    </row>
    <row r="622">
      <c r="E622" s="5"/>
      <c r="H622" s="5"/>
      <c r="I622" s="5"/>
      <c r="J622" s="7"/>
      <c r="K622" s="7"/>
      <c r="L622" s="7"/>
      <c r="M622" s="7"/>
      <c r="N622" s="7"/>
      <c r="O622" s="5"/>
      <c r="P622" s="7"/>
      <c r="R622" s="5"/>
    </row>
    <row r="623">
      <c r="E623" s="5"/>
      <c r="H623" s="5"/>
      <c r="I623" s="5"/>
      <c r="J623" s="7"/>
      <c r="K623" s="7"/>
      <c r="L623" s="7"/>
      <c r="M623" s="7"/>
      <c r="N623" s="7"/>
      <c r="O623" s="5"/>
      <c r="P623" s="7"/>
      <c r="R623" s="5"/>
    </row>
    <row r="624">
      <c r="E624" s="5"/>
      <c r="H624" s="5"/>
      <c r="I624" s="5"/>
      <c r="J624" s="7"/>
      <c r="K624" s="7"/>
      <c r="L624" s="7"/>
      <c r="M624" s="7"/>
      <c r="N624" s="7"/>
      <c r="O624" s="5"/>
      <c r="P624" s="7"/>
      <c r="R624" s="5"/>
    </row>
    <row r="625">
      <c r="E625" s="5"/>
      <c r="H625" s="5"/>
      <c r="I625" s="5"/>
      <c r="J625" s="7"/>
      <c r="K625" s="7"/>
      <c r="L625" s="7"/>
      <c r="M625" s="7"/>
      <c r="N625" s="7"/>
      <c r="O625" s="5"/>
      <c r="P625" s="7"/>
      <c r="R625" s="5"/>
    </row>
    <row r="626">
      <c r="E626" s="5"/>
      <c r="H626" s="5"/>
      <c r="I626" s="5"/>
      <c r="J626" s="7"/>
      <c r="K626" s="7"/>
      <c r="L626" s="7"/>
      <c r="M626" s="7"/>
      <c r="N626" s="7"/>
      <c r="O626" s="5"/>
      <c r="P626" s="7"/>
      <c r="R626" s="5"/>
    </row>
    <row r="627">
      <c r="E627" s="5"/>
      <c r="H627" s="5"/>
      <c r="I627" s="5"/>
      <c r="J627" s="7"/>
      <c r="K627" s="7"/>
      <c r="L627" s="7"/>
      <c r="M627" s="7"/>
      <c r="N627" s="7"/>
      <c r="O627" s="5"/>
      <c r="P627" s="7"/>
      <c r="R627" s="5"/>
    </row>
    <row r="628">
      <c r="E628" s="5"/>
      <c r="H628" s="5"/>
      <c r="I628" s="5"/>
      <c r="J628" s="7"/>
      <c r="K628" s="7"/>
      <c r="L628" s="7"/>
      <c r="M628" s="7"/>
      <c r="N628" s="7"/>
      <c r="O628" s="5"/>
      <c r="P628" s="7"/>
      <c r="R628" s="5"/>
    </row>
    <row r="629">
      <c r="E629" s="5"/>
      <c r="H629" s="5"/>
      <c r="I629" s="5"/>
      <c r="J629" s="7"/>
      <c r="K629" s="7"/>
      <c r="L629" s="7"/>
      <c r="M629" s="7"/>
      <c r="N629" s="7"/>
      <c r="O629" s="5"/>
      <c r="P629" s="7"/>
      <c r="R629" s="5"/>
    </row>
    <row r="630">
      <c r="E630" s="5"/>
      <c r="H630" s="5"/>
      <c r="I630" s="5"/>
      <c r="J630" s="7"/>
      <c r="K630" s="7"/>
      <c r="L630" s="7"/>
      <c r="M630" s="7"/>
      <c r="N630" s="7"/>
      <c r="O630" s="5"/>
      <c r="P630" s="7"/>
      <c r="R630" s="5"/>
    </row>
    <row r="631">
      <c r="E631" s="5"/>
      <c r="H631" s="5"/>
      <c r="I631" s="5"/>
      <c r="J631" s="7"/>
      <c r="K631" s="7"/>
      <c r="L631" s="7"/>
      <c r="M631" s="7"/>
      <c r="N631" s="7"/>
      <c r="O631" s="5"/>
      <c r="P631" s="7"/>
      <c r="R631" s="5"/>
    </row>
    <row r="632">
      <c r="E632" s="5"/>
      <c r="H632" s="5"/>
      <c r="I632" s="5"/>
      <c r="J632" s="7"/>
      <c r="K632" s="7"/>
      <c r="L632" s="7"/>
      <c r="M632" s="7"/>
      <c r="N632" s="7"/>
      <c r="O632" s="5"/>
      <c r="P632" s="7"/>
      <c r="R632" s="5"/>
    </row>
    <row r="633">
      <c r="E633" s="5"/>
      <c r="H633" s="5"/>
      <c r="I633" s="5"/>
      <c r="J633" s="7"/>
      <c r="K633" s="7"/>
      <c r="L633" s="7"/>
      <c r="M633" s="7"/>
      <c r="N633" s="7"/>
      <c r="O633" s="5"/>
      <c r="P633" s="7"/>
      <c r="R633" s="5"/>
    </row>
    <row r="634">
      <c r="E634" s="5"/>
      <c r="H634" s="5"/>
      <c r="I634" s="5"/>
      <c r="J634" s="7"/>
      <c r="K634" s="7"/>
      <c r="L634" s="7"/>
      <c r="M634" s="7"/>
      <c r="N634" s="7"/>
      <c r="O634" s="5"/>
      <c r="P634" s="7"/>
      <c r="R634" s="5"/>
    </row>
    <row r="635">
      <c r="E635" s="5"/>
      <c r="H635" s="5"/>
      <c r="I635" s="5"/>
      <c r="J635" s="7"/>
      <c r="K635" s="7"/>
      <c r="L635" s="7"/>
      <c r="M635" s="7"/>
      <c r="N635" s="7"/>
      <c r="O635" s="5"/>
      <c r="P635" s="7"/>
      <c r="R635" s="5"/>
    </row>
    <row r="636">
      <c r="E636" s="5"/>
      <c r="H636" s="5"/>
      <c r="I636" s="5"/>
      <c r="J636" s="7"/>
      <c r="K636" s="7"/>
      <c r="L636" s="7"/>
      <c r="M636" s="7"/>
      <c r="N636" s="7"/>
      <c r="O636" s="5"/>
      <c r="P636" s="7"/>
      <c r="R636" s="5"/>
    </row>
    <row r="637">
      <c r="E637" s="5"/>
      <c r="H637" s="5"/>
      <c r="I637" s="5"/>
      <c r="J637" s="7"/>
      <c r="K637" s="7"/>
      <c r="L637" s="7"/>
      <c r="M637" s="7"/>
      <c r="N637" s="7"/>
      <c r="O637" s="5"/>
      <c r="P637" s="7"/>
      <c r="R637" s="5"/>
    </row>
    <row r="638">
      <c r="E638" s="5"/>
      <c r="H638" s="5"/>
      <c r="I638" s="5"/>
      <c r="J638" s="7"/>
      <c r="K638" s="7"/>
      <c r="L638" s="7"/>
      <c r="M638" s="7"/>
      <c r="N638" s="7"/>
      <c r="O638" s="5"/>
      <c r="P638" s="7"/>
      <c r="R638" s="5"/>
    </row>
    <row r="639">
      <c r="E639" s="5"/>
      <c r="H639" s="5"/>
      <c r="I639" s="5"/>
      <c r="J639" s="7"/>
      <c r="K639" s="7"/>
      <c r="L639" s="7"/>
      <c r="M639" s="7"/>
      <c r="N639" s="7"/>
      <c r="O639" s="5"/>
      <c r="P639" s="7"/>
      <c r="R639" s="5"/>
    </row>
    <row r="640">
      <c r="E640" s="5"/>
      <c r="H640" s="5"/>
      <c r="I640" s="5"/>
      <c r="J640" s="7"/>
      <c r="K640" s="7"/>
      <c r="L640" s="7"/>
      <c r="M640" s="7"/>
      <c r="N640" s="7"/>
      <c r="O640" s="5"/>
      <c r="P640" s="7"/>
      <c r="R640" s="5"/>
    </row>
    <row r="641">
      <c r="E641" s="5"/>
      <c r="H641" s="5"/>
      <c r="I641" s="5"/>
      <c r="J641" s="7"/>
      <c r="K641" s="7"/>
      <c r="L641" s="7"/>
      <c r="M641" s="7"/>
      <c r="N641" s="7"/>
      <c r="O641" s="5"/>
      <c r="P641" s="7"/>
      <c r="R641" s="5"/>
    </row>
    <row r="642">
      <c r="E642" s="5"/>
      <c r="H642" s="5"/>
      <c r="I642" s="5"/>
      <c r="J642" s="7"/>
      <c r="K642" s="7"/>
      <c r="L642" s="7"/>
      <c r="M642" s="7"/>
      <c r="N642" s="7"/>
      <c r="O642" s="5"/>
      <c r="P642" s="7"/>
      <c r="R642" s="5"/>
    </row>
    <row r="643">
      <c r="E643" s="5"/>
      <c r="H643" s="5"/>
      <c r="I643" s="5"/>
      <c r="J643" s="7"/>
      <c r="K643" s="7"/>
      <c r="L643" s="7"/>
      <c r="M643" s="7"/>
      <c r="N643" s="7"/>
      <c r="O643" s="5"/>
      <c r="P643" s="7"/>
      <c r="R643" s="5"/>
    </row>
    <row r="644">
      <c r="E644" s="5"/>
      <c r="H644" s="5"/>
      <c r="I644" s="5"/>
      <c r="J644" s="7"/>
      <c r="K644" s="7"/>
      <c r="L644" s="7"/>
      <c r="M644" s="7"/>
      <c r="N644" s="7"/>
      <c r="O644" s="5"/>
      <c r="P644" s="7"/>
      <c r="R644" s="5"/>
    </row>
    <row r="645">
      <c r="E645" s="5"/>
      <c r="H645" s="5"/>
      <c r="I645" s="5"/>
      <c r="J645" s="7"/>
      <c r="K645" s="7"/>
      <c r="L645" s="7"/>
      <c r="M645" s="7"/>
      <c r="N645" s="7"/>
      <c r="O645" s="5"/>
      <c r="P645" s="7"/>
      <c r="R645" s="5"/>
    </row>
    <row r="646">
      <c r="E646" s="5"/>
      <c r="H646" s="5"/>
      <c r="I646" s="5"/>
      <c r="J646" s="7"/>
      <c r="K646" s="7"/>
      <c r="L646" s="7"/>
      <c r="M646" s="7"/>
      <c r="N646" s="7"/>
      <c r="O646" s="5"/>
      <c r="P646" s="7"/>
      <c r="R646" s="5"/>
    </row>
    <row r="647">
      <c r="E647" s="5"/>
      <c r="H647" s="5"/>
      <c r="I647" s="5"/>
      <c r="J647" s="7"/>
      <c r="K647" s="7"/>
      <c r="L647" s="7"/>
      <c r="M647" s="7"/>
      <c r="N647" s="7"/>
      <c r="O647" s="5"/>
      <c r="P647" s="7"/>
      <c r="R647" s="5"/>
    </row>
    <row r="648">
      <c r="E648" s="5"/>
      <c r="H648" s="5"/>
      <c r="I648" s="5"/>
      <c r="J648" s="7"/>
      <c r="K648" s="7"/>
      <c r="L648" s="7"/>
      <c r="M648" s="7"/>
      <c r="N648" s="7"/>
      <c r="O648" s="5"/>
      <c r="P648" s="7"/>
      <c r="R648" s="5"/>
    </row>
    <row r="649">
      <c r="E649" s="5"/>
      <c r="H649" s="5"/>
      <c r="I649" s="5"/>
      <c r="J649" s="7"/>
      <c r="K649" s="7"/>
      <c r="L649" s="7"/>
      <c r="M649" s="7"/>
      <c r="N649" s="7"/>
      <c r="O649" s="5"/>
      <c r="P649" s="7"/>
      <c r="R649" s="5"/>
    </row>
    <row r="650">
      <c r="E650" s="5"/>
      <c r="H650" s="5"/>
      <c r="I650" s="5"/>
      <c r="J650" s="7"/>
      <c r="K650" s="7"/>
      <c r="L650" s="7"/>
      <c r="M650" s="7"/>
      <c r="N650" s="7"/>
      <c r="O650" s="5"/>
      <c r="P650" s="7"/>
      <c r="R650" s="5"/>
    </row>
    <row r="651">
      <c r="E651" s="5"/>
      <c r="H651" s="5"/>
      <c r="I651" s="5"/>
      <c r="J651" s="7"/>
      <c r="K651" s="7"/>
      <c r="L651" s="7"/>
      <c r="M651" s="7"/>
      <c r="N651" s="7"/>
      <c r="O651" s="5"/>
      <c r="P651" s="7"/>
      <c r="R651" s="5"/>
    </row>
    <row r="652">
      <c r="E652" s="5"/>
      <c r="H652" s="5"/>
      <c r="I652" s="5"/>
      <c r="J652" s="7"/>
      <c r="K652" s="7"/>
      <c r="L652" s="7"/>
      <c r="M652" s="7"/>
      <c r="N652" s="7"/>
      <c r="O652" s="5"/>
      <c r="P652" s="7"/>
      <c r="R652" s="5"/>
    </row>
    <row r="653">
      <c r="E653" s="5"/>
      <c r="H653" s="5"/>
      <c r="I653" s="5"/>
      <c r="J653" s="7"/>
      <c r="K653" s="7"/>
      <c r="L653" s="7"/>
      <c r="M653" s="7"/>
      <c r="N653" s="7"/>
      <c r="O653" s="5"/>
      <c r="P653" s="7"/>
      <c r="R653" s="5"/>
    </row>
    <row r="654">
      <c r="E654" s="5"/>
      <c r="H654" s="5"/>
      <c r="I654" s="5"/>
      <c r="J654" s="7"/>
      <c r="K654" s="7"/>
      <c r="L654" s="7"/>
      <c r="M654" s="7"/>
      <c r="N654" s="7"/>
      <c r="O654" s="5"/>
      <c r="P654" s="7"/>
      <c r="R654" s="5"/>
    </row>
    <row r="655">
      <c r="E655" s="5"/>
      <c r="H655" s="5"/>
      <c r="I655" s="5"/>
      <c r="J655" s="7"/>
      <c r="K655" s="7"/>
      <c r="L655" s="7"/>
      <c r="M655" s="7"/>
      <c r="N655" s="7"/>
      <c r="O655" s="5"/>
      <c r="P655" s="7"/>
      <c r="R655" s="5"/>
    </row>
    <row r="656">
      <c r="E656" s="5"/>
      <c r="H656" s="5"/>
      <c r="I656" s="5"/>
      <c r="J656" s="7"/>
      <c r="K656" s="7"/>
      <c r="L656" s="7"/>
      <c r="M656" s="7"/>
      <c r="N656" s="7"/>
      <c r="O656" s="5"/>
      <c r="P656" s="7"/>
      <c r="R656" s="5"/>
    </row>
    <row r="657">
      <c r="E657" s="5"/>
      <c r="H657" s="5"/>
      <c r="I657" s="5"/>
      <c r="J657" s="7"/>
      <c r="K657" s="7"/>
      <c r="L657" s="7"/>
      <c r="M657" s="7"/>
      <c r="N657" s="7"/>
      <c r="O657" s="5"/>
      <c r="P657" s="7"/>
      <c r="R657" s="5"/>
    </row>
    <row r="658">
      <c r="E658" s="5"/>
      <c r="H658" s="5"/>
      <c r="I658" s="5"/>
      <c r="J658" s="7"/>
      <c r="K658" s="7"/>
      <c r="L658" s="7"/>
      <c r="M658" s="7"/>
      <c r="N658" s="7"/>
      <c r="O658" s="5"/>
      <c r="P658" s="7"/>
      <c r="R658" s="5"/>
    </row>
    <row r="659">
      <c r="E659" s="5"/>
      <c r="H659" s="5"/>
      <c r="I659" s="5"/>
      <c r="J659" s="7"/>
      <c r="K659" s="7"/>
      <c r="L659" s="7"/>
      <c r="M659" s="7"/>
      <c r="N659" s="7"/>
      <c r="O659" s="5"/>
      <c r="P659" s="7"/>
      <c r="R659" s="5"/>
    </row>
    <row r="660">
      <c r="E660" s="5"/>
      <c r="H660" s="5"/>
      <c r="I660" s="5"/>
      <c r="J660" s="7"/>
      <c r="K660" s="7"/>
      <c r="L660" s="7"/>
      <c r="M660" s="7"/>
      <c r="N660" s="7"/>
      <c r="O660" s="5"/>
      <c r="P660" s="7"/>
      <c r="R660" s="5"/>
    </row>
    <row r="661">
      <c r="E661" s="5"/>
      <c r="H661" s="5"/>
      <c r="I661" s="5"/>
      <c r="J661" s="7"/>
      <c r="K661" s="7"/>
      <c r="L661" s="7"/>
      <c r="M661" s="7"/>
      <c r="N661" s="7"/>
      <c r="O661" s="5"/>
      <c r="P661" s="7"/>
      <c r="R661" s="5"/>
    </row>
    <row r="662">
      <c r="E662" s="5"/>
      <c r="H662" s="5"/>
      <c r="I662" s="5"/>
      <c r="J662" s="7"/>
      <c r="K662" s="7"/>
      <c r="L662" s="7"/>
      <c r="M662" s="7"/>
      <c r="N662" s="7"/>
      <c r="O662" s="5"/>
      <c r="P662" s="7"/>
      <c r="R662" s="5"/>
    </row>
    <row r="663">
      <c r="E663" s="5"/>
      <c r="H663" s="5"/>
      <c r="I663" s="5"/>
      <c r="J663" s="7"/>
      <c r="K663" s="7"/>
      <c r="L663" s="7"/>
      <c r="M663" s="7"/>
      <c r="N663" s="7"/>
      <c r="O663" s="5"/>
      <c r="P663" s="7"/>
      <c r="R663" s="5"/>
    </row>
    <row r="664">
      <c r="E664" s="5"/>
      <c r="H664" s="5"/>
      <c r="I664" s="5"/>
      <c r="J664" s="7"/>
      <c r="K664" s="7"/>
      <c r="L664" s="7"/>
      <c r="M664" s="7"/>
      <c r="N664" s="7"/>
      <c r="O664" s="5"/>
      <c r="P664" s="7"/>
      <c r="R664" s="5"/>
    </row>
    <row r="665">
      <c r="E665" s="5"/>
      <c r="H665" s="5"/>
      <c r="I665" s="5"/>
      <c r="J665" s="7"/>
      <c r="K665" s="7"/>
      <c r="L665" s="7"/>
      <c r="M665" s="7"/>
      <c r="N665" s="7"/>
      <c r="O665" s="5"/>
      <c r="P665" s="7"/>
      <c r="R665" s="5"/>
    </row>
    <row r="666">
      <c r="E666" s="5"/>
      <c r="H666" s="5"/>
      <c r="I666" s="5"/>
      <c r="J666" s="7"/>
      <c r="K666" s="7"/>
      <c r="L666" s="7"/>
      <c r="M666" s="7"/>
      <c r="N666" s="7"/>
      <c r="O666" s="5"/>
      <c r="P666" s="7"/>
      <c r="R666" s="5"/>
    </row>
    <row r="667">
      <c r="E667" s="5"/>
      <c r="H667" s="5"/>
      <c r="I667" s="5"/>
      <c r="J667" s="7"/>
      <c r="K667" s="7"/>
      <c r="L667" s="7"/>
      <c r="M667" s="7"/>
      <c r="N667" s="7"/>
      <c r="O667" s="5"/>
      <c r="P667" s="7"/>
      <c r="R667" s="5"/>
    </row>
    <row r="668">
      <c r="E668" s="5"/>
      <c r="H668" s="5"/>
      <c r="I668" s="5"/>
      <c r="J668" s="7"/>
      <c r="K668" s="7"/>
      <c r="L668" s="7"/>
      <c r="M668" s="7"/>
      <c r="N668" s="7"/>
      <c r="O668" s="5"/>
      <c r="P668" s="7"/>
      <c r="R668" s="5"/>
    </row>
    <row r="669">
      <c r="E669" s="5"/>
      <c r="H669" s="5"/>
      <c r="I669" s="5"/>
      <c r="J669" s="7"/>
      <c r="K669" s="7"/>
      <c r="L669" s="7"/>
      <c r="M669" s="7"/>
      <c r="N669" s="7"/>
      <c r="O669" s="5"/>
      <c r="P669" s="7"/>
      <c r="R669" s="5"/>
    </row>
    <row r="670">
      <c r="E670" s="5"/>
      <c r="H670" s="5"/>
      <c r="I670" s="5"/>
      <c r="J670" s="7"/>
      <c r="K670" s="7"/>
      <c r="L670" s="7"/>
      <c r="M670" s="7"/>
      <c r="N670" s="7"/>
      <c r="O670" s="5"/>
      <c r="P670" s="7"/>
      <c r="R670" s="5"/>
    </row>
    <row r="671">
      <c r="E671" s="5"/>
      <c r="H671" s="5"/>
      <c r="I671" s="5"/>
      <c r="J671" s="7"/>
      <c r="K671" s="7"/>
      <c r="L671" s="7"/>
      <c r="M671" s="7"/>
      <c r="N671" s="7"/>
      <c r="O671" s="5"/>
      <c r="P671" s="7"/>
      <c r="R671" s="5"/>
    </row>
    <row r="672">
      <c r="E672" s="5"/>
      <c r="H672" s="5"/>
      <c r="I672" s="5"/>
      <c r="J672" s="7"/>
      <c r="K672" s="7"/>
      <c r="L672" s="7"/>
      <c r="M672" s="7"/>
      <c r="N672" s="7"/>
      <c r="O672" s="5"/>
      <c r="P672" s="7"/>
      <c r="R672" s="5"/>
    </row>
    <row r="673">
      <c r="E673" s="5"/>
      <c r="H673" s="5"/>
      <c r="I673" s="5"/>
      <c r="J673" s="7"/>
      <c r="K673" s="7"/>
      <c r="L673" s="7"/>
      <c r="M673" s="7"/>
      <c r="N673" s="7"/>
      <c r="O673" s="5"/>
      <c r="P673" s="7"/>
      <c r="R673" s="5"/>
    </row>
    <row r="674">
      <c r="E674" s="5"/>
      <c r="H674" s="5"/>
      <c r="I674" s="5"/>
      <c r="J674" s="7"/>
      <c r="K674" s="7"/>
      <c r="L674" s="7"/>
      <c r="M674" s="7"/>
      <c r="N674" s="7"/>
      <c r="O674" s="5"/>
      <c r="P674" s="7"/>
      <c r="R674" s="5"/>
    </row>
    <row r="675">
      <c r="E675" s="5"/>
      <c r="H675" s="5"/>
      <c r="I675" s="5"/>
      <c r="J675" s="7"/>
      <c r="K675" s="7"/>
      <c r="L675" s="7"/>
      <c r="M675" s="7"/>
      <c r="N675" s="7"/>
      <c r="O675" s="5"/>
      <c r="P675" s="7"/>
      <c r="R675" s="5"/>
    </row>
    <row r="676">
      <c r="E676" s="5"/>
      <c r="H676" s="5"/>
      <c r="I676" s="5"/>
      <c r="J676" s="7"/>
      <c r="K676" s="7"/>
      <c r="L676" s="7"/>
      <c r="M676" s="7"/>
      <c r="N676" s="7"/>
      <c r="O676" s="5"/>
      <c r="P676" s="7"/>
      <c r="R676" s="5"/>
    </row>
    <row r="677">
      <c r="E677" s="5"/>
      <c r="H677" s="5"/>
      <c r="I677" s="5"/>
      <c r="J677" s="7"/>
      <c r="K677" s="7"/>
      <c r="L677" s="7"/>
      <c r="M677" s="7"/>
      <c r="N677" s="7"/>
      <c r="O677" s="5"/>
      <c r="P677" s="7"/>
      <c r="R677" s="5"/>
    </row>
    <row r="678">
      <c r="E678" s="5"/>
      <c r="H678" s="5"/>
      <c r="I678" s="5"/>
      <c r="J678" s="7"/>
      <c r="K678" s="7"/>
      <c r="L678" s="7"/>
      <c r="M678" s="7"/>
      <c r="N678" s="7"/>
      <c r="O678" s="5"/>
      <c r="P678" s="7"/>
      <c r="R678" s="5"/>
    </row>
    <row r="679">
      <c r="E679" s="5"/>
      <c r="H679" s="5"/>
      <c r="I679" s="5"/>
      <c r="J679" s="7"/>
      <c r="K679" s="7"/>
      <c r="L679" s="7"/>
      <c r="M679" s="7"/>
      <c r="N679" s="7"/>
      <c r="O679" s="5"/>
      <c r="P679" s="7"/>
      <c r="R679" s="5"/>
    </row>
    <row r="680">
      <c r="E680" s="5"/>
      <c r="H680" s="5"/>
      <c r="I680" s="5"/>
      <c r="J680" s="7"/>
      <c r="K680" s="7"/>
      <c r="L680" s="7"/>
      <c r="M680" s="7"/>
      <c r="N680" s="7"/>
      <c r="O680" s="5"/>
      <c r="P680" s="7"/>
      <c r="R680" s="5"/>
    </row>
    <row r="681">
      <c r="E681" s="5"/>
      <c r="H681" s="5"/>
      <c r="I681" s="5"/>
      <c r="J681" s="7"/>
      <c r="K681" s="7"/>
      <c r="L681" s="7"/>
      <c r="M681" s="7"/>
      <c r="N681" s="7"/>
      <c r="O681" s="5"/>
      <c r="P681" s="7"/>
      <c r="R681" s="5"/>
    </row>
    <row r="682">
      <c r="E682" s="5"/>
      <c r="H682" s="5"/>
      <c r="I682" s="5"/>
      <c r="J682" s="7"/>
      <c r="K682" s="7"/>
      <c r="L682" s="7"/>
      <c r="M682" s="7"/>
      <c r="N682" s="7"/>
      <c r="O682" s="5"/>
      <c r="P682" s="7"/>
      <c r="R682" s="5"/>
    </row>
    <row r="683">
      <c r="E683" s="5"/>
      <c r="H683" s="5"/>
      <c r="I683" s="5"/>
      <c r="J683" s="7"/>
      <c r="K683" s="7"/>
      <c r="L683" s="7"/>
      <c r="M683" s="7"/>
      <c r="N683" s="7"/>
      <c r="O683" s="5"/>
      <c r="P683" s="7"/>
      <c r="R683" s="5"/>
    </row>
    <row r="684">
      <c r="E684" s="5"/>
      <c r="H684" s="5"/>
      <c r="I684" s="5"/>
      <c r="J684" s="7"/>
      <c r="K684" s="7"/>
      <c r="L684" s="7"/>
      <c r="M684" s="7"/>
      <c r="N684" s="7"/>
      <c r="O684" s="5"/>
      <c r="P684" s="7"/>
      <c r="R684" s="5"/>
    </row>
    <row r="685">
      <c r="E685" s="5"/>
      <c r="H685" s="5"/>
      <c r="I685" s="5"/>
      <c r="J685" s="7"/>
      <c r="K685" s="7"/>
      <c r="L685" s="7"/>
      <c r="M685" s="7"/>
      <c r="N685" s="7"/>
      <c r="O685" s="5"/>
      <c r="P685" s="7"/>
      <c r="R685" s="5"/>
    </row>
    <row r="686">
      <c r="E686" s="5"/>
      <c r="H686" s="5"/>
      <c r="I686" s="5"/>
      <c r="J686" s="7"/>
      <c r="K686" s="7"/>
      <c r="L686" s="7"/>
      <c r="M686" s="7"/>
      <c r="N686" s="7"/>
      <c r="O686" s="5"/>
      <c r="P686" s="7"/>
      <c r="R686" s="5"/>
    </row>
    <row r="687">
      <c r="E687" s="5"/>
      <c r="H687" s="5"/>
      <c r="I687" s="5"/>
      <c r="J687" s="7"/>
      <c r="K687" s="7"/>
      <c r="L687" s="7"/>
      <c r="M687" s="7"/>
      <c r="N687" s="7"/>
      <c r="O687" s="5"/>
      <c r="P687" s="7"/>
      <c r="R687" s="5"/>
    </row>
    <row r="688">
      <c r="E688" s="5"/>
      <c r="H688" s="5"/>
      <c r="I688" s="5"/>
      <c r="J688" s="7"/>
      <c r="K688" s="7"/>
      <c r="L688" s="7"/>
      <c r="M688" s="7"/>
      <c r="N688" s="7"/>
      <c r="O688" s="5"/>
      <c r="P688" s="7"/>
      <c r="R688" s="5"/>
    </row>
    <row r="689">
      <c r="E689" s="5"/>
      <c r="H689" s="5"/>
      <c r="I689" s="5"/>
      <c r="J689" s="7"/>
      <c r="K689" s="7"/>
      <c r="L689" s="7"/>
      <c r="M689" s="7"/>
      <c r="N689" s="7"/>
      <c r="O689" s="5"/>
      <c r="P689" s="7"/>
      <c r="R689" s="5"/>
    </row>
    <row r="690">
      <c r="E690" s="5"/>
      <c r="H690" s="5"/>
      <c r="I690" s="5"/>
      <c r="J690" s="7"/>
      <c r="K690" s="7"/>
      <c r="L690" s="7"/>
      <c r="M690" s="7"/>
      <c r="N690" s="7"/>
      <c r="O690" s="5"/>
      <c r="P690" s="7"/>
      <c r="R690" s="5"/>
    </row>
    <row r="691">
      <c r="E691" s="5"/>
      <c r="H691" s="5"/>
      <c r="I691" s="5"/>
      <c r="J691" s="7"/>
      <c r="K691" s="7"/>
      <c r="L691" s="7"/>
      <c r="M691" s="7"/>
      <c r="N691" s="7"/>
      <c r="O691" s="5"/>
      <c r="P691" s="7"/>
      <c r="R691" s="5"/>
    </row>
    <row r="692">
      <c r="E692" s="5"/>
      <c r="H692" s="5"/>
      <c r="I692" s="5"/>
      <c r="J692" s="7"/>
      <c r="K692" s="7"/>
      <c r="L692" s="7"/>
      <c r="M692" s="7"/>
      <c r="N692" s="7"/>
      <c r="O692" s="5"/>
      <c r="P692" s="7"/>
      <c r="R692" s="5"/>
    </row>
    <row r="693">
      <c r="E693" s="5"/>
      <c r="H693" s="5"/>
      <c r="I693" s="5"/>
      <c r="J693" s="7"/>
      <c r="K693" s="7"/>
      <c r="L693" s="7"/>
      <c r="M693" s="7"/>
      <c r="N693" s="7"/>
      <c r="O693" s="5"/>
      <c r="P693" s="7"/>
      <c r="R693" s="5"/>
    </row>
    <row r="694">
      <c r="E694" s="5"/>
      <c r="H694" s="5"/>
      <c r="I694" s="5"/>
      <c r="J694" s="7"/>
      <c r="K694" s="7"/>
      <c r="L694" s="7"/>
      <c r="M694" s="7"/>
      <c r="N694" s="7"/>
      <c r="O694" s="5"/>
      <c r="P694" s="7"/>
      <c r="R694" s="5"/>
    </row>
    <row r="695">
      <c r="E695" s="5"/>
      <c r="H695" s="5"/>
      <c r="I695" s="5"/>
      <c r="J695" s="7"/>
      <c r="K695" s="7"/>
      <c r="L695" s="7"/>
      <c r="M695" s="7"/>
      <c r="N695" s="7"/>
      <c r="O695" s="5"/>
      <c r="P695" s="7"/>
      <c r="R695" s="5"/>
    </row>
    <row r="696">
      <c r="E696" s="5"/>
      <c r="H696" s="5"/>
      <c r="I696" s="5"/>
      <c r="J696" s="7"/>
      <c r="K696" s="7"/>
      <c r="L696" s="7"/>
      <c r="M696" s="7"/>
      <c r="N696" s="7"/>
      <c r="O696" s="5"/>
      <c r="P696" s="7"/>
      <c r="R696" s="5"/>
    </row>
    <row r="697">
      <c r="E697" s="5"/>
      <c r="H697" s="5"/>
      <c r="I697" s="5"/>
      <c r="J697" s="7"/>
      <c r="K697" s="7"/>
      <c r="L697" s="7"/>
      <c r="M697" s="7"/>
      <c r="N697" s="7"/>
      <c r="O697" s="5"/>
      <c r="P697" s="7"/>
      <c r="R697" s="5"/>
    </row>
    <row r="698">
      <c r="E698" s="5"/>
      <c r="H698" s="5"/>
      <c r="I698" s="5"/>
      <c r="J698" s="7"/>
      <c r="K698" s="7"/>
      <c r="L698" s="7"/>
      <c r="M698" s="7"/>
      <c r="N698" s="7"/>
      <c r="O698" s="5"/>
      <c r="P698" s="7"/>
      <c r="R698" s="5"/>
    </row>
    <row r="699">
      <c r="E699" s="5"/>
      <c r="H699" s="5"/>
      <c r="I699" s="5"/>
      <c r="J699" s="7"/>
      <c r="K699" s="7"/>
      <c r="L699" s="7"/>
      <c r="M699" s="7"/>
      <c r="N699" s="7"/>
      <c r="O699" s="5"/>
      <c r="P699" s="7"/>
      <c r="R699" s="5"/>
    </row>
    <row r="700">
      <c r="E700" s="5"/>
      <c r="H700" s="5"/>
      <c r="I700" s="5"/>
      <c r="J700" s="7"/>
      <c r="K700" s="7"/>
      <c r="L700" s="7"/>
      <c r="M700" s="7"/>
      <c r="N700" s="7"/>
      <c r="O700" s="5"/>
      <c r="P700" s="7"/>
      <c r="R700" s="5"/>
    </row>
    <row r="701">
      <c r="E701" s="5"/>
      <c r="H701" s="5"/>
      <c r="I701" s="5"/>
      <c r="J701" s="7"/>
      <c r="K701" s="7"/>
      <c r="L701" s="7"/>
      <c r="M701" s="7"/>
      <c r="N701" s="7"/>
      <c r="O701" s="5"/>
      <c r="P701" s="7"/>
      <c r="R701" s="5"/>
    </row>
    <row r="702">
      <c r="E702" s="5"/>
      <c r="H702" s="5"/>
      <c r="I702" s="5"/>
      <c r="J702" s="7"/>
      <c r="K702" s="7"/>
      <c r="L702" s="7"/>
      <c r="M702" s="7"/>
      <c r="N702" s="7"/>
      <c r="O702" s="5"/>
      <c r="P702" s="7"/>
      <c r="R702" s="5"/>
    </row>
    <row r="703">
      <c r="E703" s="5"/>
      <c r="H703" s="5"/>
      <c r="I703" s="5"/>
      <c r="J703" s="7"/>
      <c r="K703" s="7"/>
      <c r="L703" s="7"/>
      <c r="M703" s="7"/>
      <c r="N703" s="7"/>
      <c r="O703" s="5"/>
      <c r="P703" s="7"/>
      <c r="R703" s="5"/>
    </row>
    <row r="704">
      <c r="E704" s="5"/>
      <c r="H704" s="5"/>
      <c r="I704" s="5"/>
      <c r="J704" s="7"/>
      <c r="K704" s="7"/>
      <c r="L704" s="7"/>
      <c r="M704" s="7"/>
      <c r="N704" s="7"/>
      <c r="O704" s="5"/>
      <c r="P704" s="7"/>
      <c r="R704" s="5"/>
    </row>
    <row r="705">
      <c r="E705" s="5"/>
      <c r="H705" s="5"/>
      <c r="I705" s="5"/>
      <c r="J705" s="7"/>
      <c r="K705" s="7"/>
      <c r="L705" s="7"/>
      <c r="M705" s="7"/>
      <c r="N705" s="7"/>
      <c r="O705" s="5"/>
      <c r="P705" s="7"/>
      <c r="R705" s="5"/>
    </row>
    <row r="706">
      <c r="E706" s="5"/>
      <c r="H706" s="5"/>
      <c r="I706" s="5"/>
      <c r="J706" s="7"/>
      <c r="K706" s="7"/>
      <c r="L706" s="7"/>
      <c r="M706" s="7"/>
      <c r="N706" s="7"/>
      <c r="O706" s="5"/>
      <c r="P706" s="7"/>
      <c r="R706" s="5"/>
    </row>
    <row r="707">
      <c r="E707" s="5"/>
      <c r="H707" s="5"/>
      <c r="I707" s="5"/>
      <c r="J707" s="7"/>
      <c r="K707" s="7"/>
      <c r="L707" s="7"/>
      <c r="M707" s="7"/>
      <c r="N707" s="7"/>
      <c r="O707" s="5"/>
      <c r="P707" s="7"/>
      <c r="R707" s="5"/>
    </row>
    <row r="708">
      <c r="E708" s="5"/>
      <c r="H708" s="5"/>
      <c r="I708" s="5"/>
      <c r="J708" s="7"/>
      <c r="K708" s="7"/>
      <c r="L708" s="7"/>
      <c r="M708" s="7"/>
      <c r="N708" s="7"/>
      <c r="O708" s="5"/>
      <c r="P708" s="7"/>
      <c r="R708" s="5"/>
    </row>
    <row r="709">
      <c r="E709" s="5"/>
      <c r="H709" s="5"/>
      <c r="I709" s="5"/>
      <c r="J709" s="7"/>
      <c r="K709" s="7"/>
      <c r="L709" s="7"/>
      <c r="M709" s="7"/>
      <c r="N709" s="7"/>
      <c r="O709" s="5"/>
      <c r="P709" s="7"/>
      <c r="R709" s="5"/>
    </row>
    <row r="710">
      <c r="E710" s="5"/>
      <c r="H710" s="5"/>
      <c r="I710" s="5"/>
      <c r="J710" s="7"/>
      <c r="K710" s="7"/>
      <c r="L710" s="7"/>
      <c r="M710" s="7"/>
      <c r="N710" s="7"/>
      <c r="O710" s="5"/>
      <c r="P710" s="7"/>
      <c r="R710" s="5"/>
    </row>
    <row r="711">
      <c r="E711" s="5"/>
      <c r="H711" s="5"/>
      <c r="I711" s="5"/>
      <c r="J711" s="7"/>
      <c r="K711" s="7"/>
      <c r="L711" s="7"/>
      <c r="M711" s="7"/>
      <c r="N711" s="7"/>
      <c r="O711" s="5"/>
      <c r="P711" s="7"/>
      <c r="R711" s="5"/>
    </row>
    <row r="712">
      <c r="E712" s="5"/>
      <c r="H712" s="5"/>
      <c r="I712" s="5"/>
      <c r="J712" s="7"/>
      <c r="K712" s="7"/>
      <c r="L712" s="7"/>
      <c r="M712" s="7"/>
      <c r="N712" s="7"/>
      <c r="O712" s="5"/>
      <c r="P712" s="7"/>
      <c r="R712" s="5"/>
    </row>
    <row r="713">
      <c r="E713" s="5"/>
      <c r="H713" s="5"/>
      <c r="I713" s="5"/>
      <c r="J713" s="7"/>
      <c r="K713" s="7"/>
      <c r="L713" s="7"/>
      <c r="M713" s="7"/>
      <c r="N713" s="7"/>
      <c r="O713" s="5"/>
      <c r="P713" s="7"/>
      <c r="R713" s="5"/>
    </row>
    <row r="714">
      <c r="E714" s="5"/>
      <c r="H714" s="5"/>
      <c r="I714" s="5"/>
      <c r="J714" s="7"/>
      <c r="K714" s="7"/>
      <c r="L714" s="7"/>
      <c r="M714" s="7"/>
      <c r="N714" s="7"/>
      <c r="O714" s="5"/>
      <c r="P714" s="7"/>
      <c r="R714" s="5"/>
    </row>
    <row r="715">
      <c r="E715" s="5"/>
      <c r="H715" s="5"/>
      <c r="I715" s="5"/>
      <c r="J715" s="7"/>
      <c r="K715" s="7"/>
      <c r="L715" s="7"/>
      <c r="M715" s="7"/>
      <c r="N715" s="7"/>
      <c r="O715" s="5"/>
      <c r="P715" s="7"/>
      <c r="R715" s="5"/>
    </row>
    <row r="716">
      <c r="E716" s="5"/>
      <c r="H716" s="5"/>
      <c r="I716" s="5"/>
      <c r="J716" s="7"/>
      <c r="K716" s="7"/>
      <c r="L716" s="7"/>
      <c r="M716" s="7"/>
      <c r="N716" s="7"/>
      <c r="O716" s="5"/>
      <c r="P716" s="7"/>
      <c r="R716" s="5"/>
    </row>
    <row r="717">
      <c r="E717" s="5"/>
      <c r="H717" s="5"/>
      <c r="I717" s="5"/>
      <c r="J717" s="7"/>
      <c r="K717" s="7"/>
      <c r="L717" s="7"/>
      <c r="M717" s="7"/>
      <c r="N717" s="7"/>
      <c r="O717" s="5"/>
      <c r="P717" s="7"/>
      <c r="R717" s="5"/>
    </row>
    <row r="718">
      <c r="E718" s="5"/>
      <c r="H718" s="5"/>
      <c r="I718" s="5"/>
      <c r="J718" s="7"/>
      <c r="K718" s="7"/>
      <c r="L718" s="7"/>
      <c r="M718" s="7"/>
      <c r="N718" s="7"/>
      <c r="O718" s="5"/>
      <c r="P718" s="7"/>
      <c r="R718" s="5"/>
    </row>
    <row r="719">
      <c r="E719" s="5"/>
      <c r="H719" s="5"/>
      <c r="I719" s="5"/>
      <c r="J719" s="7"/>
      <c r="K719" s="7"/>
      <c r="L719" s="7"/>
      <c r="M719" s="7"/>
      <c r="N719" s="7"/>
      <c r="O719" s="5"/>
      <c r="P719" s="7"/>
      <c r="R719" s="5"/>
    </row>
    <row r="720">
      <c r="E720" s="5"/>
      <c r="H720" s="5"/>
      <c r="I720" s="5"/>
      <c r="J720" s="7"/>
      <c r="K720" s="7"/>
      <c r="L720" s="7"/>
      <c r="M720" s="7"/>
      <c r="N720" s="7"/>
      <c r="O720" s="5"/>
      <c r="P720" s="7"/>
      <c r="R720" s="5"/>
    </row>
    <row r="721">
      <c r="E721" s="5"/>
      <c r="H721" s="5"/>
      <c r="I721" s="5"/>
      <c r="J721" s="7"/>
      <c r="K721" s="7"/>
      <c r="L721" s="7"/>
      <c r="M721" s="7"/>
      <c r="N721" s="7"/>
      <c r="O721" s="5"/>
      <c r="P721" s="7"/>
      <c r="R721" s="5"/>
    </row>
    <row r="722">
      <c r="E722" s="5"/>
      <c r="H722" s="5"/>
      <c r="I722" s="5"/>
      <c r="J722" s="7"/>
      <c r="K722" s="7"/>
      <c r="L722" s="7"/>
      <c r="M722" s="7"/>
      <c r="N722" s="7"/>
      <c r="O722" s="5"/>
      <c r="P722" s="7"/>
      <c r="R722" s="5"/>
    </row>
    <row r="723">
      <c r="E723" s="5"/>
      <c r="H723" s="5"/>
      <c r="I723" s="5"/>
      <c r="J723" s="7"/>
      <c r="K723" s="7"/>
      <c r="L723" s="7"/>
      <c r="M723" s="7"/>
      <c r="N723" s="7"/>
      <c r="O723" s="5"/>
      <c r="P723" s="7"/>
      <c r="R723" s="5"/>
    </row>
    <row r="724">
      <c r="E724" s="5"/>
      <c r="H724" s="5"/>
      <c r="I724" s="5"/>
      <c r="J724" s="7"/>
      <c r="K724" s="7"/>
      <c r="L724" s="7"/>
      <c r="M724" s="7"/>
      <c r="N724" s="7"/>
      <c r="O724" s="5"/>
      <c r="P724" s="7"/>
      <c r="R724" s="5"/>
    </row>
    <row r="725">
      <c r="E725" s="5"/>
      <c r="H725" s="5"/>
      <c r="I725" s="5"/>
      <c r="J725" s="7"/>
      <c r="K725" s="7"/>
      <c r="L725" s="7"/>
      <c r="M725" s="7"/>
      <c r="N725" s="7"/>
      <c r="O725" s="5"/>
      <c r="P725" s="7"/>
      <c r="R725" s="5"/>
    </row>
    <row r="726">
      <c r="E726" s="5"/>
      <c r="H726" s="5"/>
      <c r="I726" s="5"/>
      <c r="J726" s="7"/>
      <c r="K726" s="7"/>
      <c r="L726" s="7"/>
      <c r="M726" s="7"/>
      <c r="N726" s="7"/>
      <c r="O726" s="5"/>
      <c r="P726" s="7"/>
      <c r="R726" s="5"/>
    </row>
    <row r="727">
      <c r="E727" s="5"/>
      <c r="H727" s="5"/>
      <c r="I727" s="5"/>
      <c r="J727" s="7"/>
      <c r="K727" s="7"/>
      <c r="L727" s="7"/>
      <c r="M727" s="7"/>
      <c r="N727" s="7"/>
      <c r="O727" s="5"/>
      <c r="P727" s="7"/>
      <c r="R727" s="5"/>
    </row>
    <row r="728">
      <c r="E728" s="5"/>
      <c r="H728" s="5"/>
      <c r="I728" s="5"/>
      <c r="J728" s="7"/>
      <c r="K728" s="7"/>
      <c r="L728" s="7"/>
      <c r="M728" s="7"/>
      <c r="N728" s="7"/>
      <c r="O728" s="5"/>
      <c r="P728" s="7"/>
      <c r="R728" s="5"/>
    </row>
    <row r="729">
      <c r="E729" s="5"/>
      <c r="H729" s="5"/>
      <c r="I729" s="5"/>
      <c r="J729" s="7"/>
      <c r="K729" s="7"/>
      <c r="L729" s="7"/>
      <c r="M729" s="7"/>
      <c r="N729" s="7"/>
      <c r="O729" s="5"/>
      <c r="P729" s="7"/>
      <c r="R729" s="5"/>
    </row>
    <row r="730">
      <c r="E730" s="5"/>
      <c r="H730" s="5"/>
      <c r="I730" s="5"/>
      <c r="J730" s="7"/>
      <c r="K730" s="7"/>
      <c r="L730" s="7"/>
      <c r="M730" s="7"/>
      <c r="N730" s="7"/>
      <c r="O730" s="5"/>
      <c r="P730" s="7"/>
      <c r="R730" s="5"/>
    </row>
    <row r="731">
      <c r="E731" s="5"/>
      <c r="H731" s="5"/>
      <c r="I731" s="5"/>
      <c r="J731" s="7"/>
      <c r="K731" s="7"/>
      <c r="L731" s="7"/>
      <c r="M731" s="7"/>
      <c r="N731" s="7"/>
      <c r="O731" s="5"/>
      <c r="P731" s="7"/>
      <c r="R731" s="5"/>
    </row>
    <row r="732">
      <c r="E732" s="5"/>
      <c r="H732" s="5"/>
      <c r="I732" s="5"/>
      <c r="J732" s="7"/>
      <c r="K732" s="7"/>
      <c r="L732" s="7"/>
      <c r="M732" s="7"/>
      <c r="N732" s="7"/>
      <c r="O732" s="5"/>
      <c r="P732" s="7"/>
      <c r="R732" s="5"/>
    </row>
    <row r="733">
      <c r="E733" s="5"/>
      <c r="H733" s="5"/>
      <c r="I733" s="5"/>
      <c r="J733" s="7"/>
      <c r="K733" s="7"/>
      <c r="L733" s="7"/>
      <c r="M733" s="7"/>
      <c r="N733" s="7"/>
      <c r="O733" s="5"/>
      <c r="P733" s="7"/>
      <c r="R733" s="5"/>
    </row>
    <row r="734">
      <c r="E734" s="5"/>
      <c r="H734" s="5"/>
      <c r="I734" s="5"/>
      <c r="J734" s="7"/>
      <c r="K734" s="7"/>
      <c r="L734" s="7"/>
      <c r="M734" s="7"/>
      <c r="N734" s="7"/>
      <c r="O734" s="5"/>
      <c r="P734" s="7"/>
      <c r="R734" s="5"/>
    </row>
    <row r="735">
      <c r="E735" s="5"/>
      <c r="H735" s="5"/>
      <c r="I735" s="5"/>
      <c r="J735" s="7"/>
      <c r="K735" s="7"/>
      <c r="L735" s="7"/>
      <c r="M735" s="7"/>
      <c r="N735" s="7"/>
      <c r="O735" s="5"/>
      <c r="P735" s="7"/>
      <c r="R735" s="5"/>
    </row>
    <row r="736">
      <c r="E736" s="5"/>
      <c r="H736" s="5"/>
      <c r="I736" s="5"/>
      <c r="J736" s="7"/>
      <c r="K736" s="7"/>
      <c r="L736" s="7"/>
      <c r="M736" s="7"/>
      <c r="N736" s="7"/>
      <c r="O736" s="5"/>
      <c r="P736" s="7"/>
      <c r="R736" s="5"/>
    </row>
    <row r="737">
      <c r="E737" s="5"/>
      <c r="H737" s="5"/>
      <c r="I737" s="5"/>
      <c r="J737" s="7"/>
      <c r="K737" s="7"/>
      <c r="L737" s="7"/>
      <c r="M737" s="7"/>
      <c r="N737" s="7"/>
      <c r="O737" s="5"/>
      <c r="P737" s="7"/>
      <c r="R737" s="5"/>
    </row>
    <row r="738">
      <c r="E738" s="5"/>
      <c r="H738" s="5"/>
      <c r="I738" s="5"/>
      <c r="J738" s="7"/>
      <c r="K738" s="7"/>
      <c r="L738" s="7"/>
      <c r="M738" s="7"/>
      <c r="N738" s="7"/>
      <c r="O738" s="5"/>
      <c r="P738" s="7"/>
      <c r="R738" s="5"/>
    </row>
    <row r="739">
      <c r="E739" s="5"/>
      <c r="H739" s="5"/>
      <c r="I739" s="5"/>
      <c r="J739" s="7"/>
      <c r="K739" s="7"/>
      <c r="L739" s="7"/>
      <c r="M739" s="7"/>
      <c r="N739" s="7"/>
      <c r="O739" s="5"/>
      <c r="P739" s="7"/>
      <c r="R739" s="5"/>
    </row>
    <row r="740">
      <c r="E740" s="5"/>
      <c r="H740" s="5"/>
      <c r="I740" s="5"/>
      <c r="J740" s="7"/>
      <c r="K740" s="7"/>
      <c r="L740" s="7"/>
      <c r="M740" s="7"/>
      <c r="N740" s="7"/>
      <c r="O740" s="5"/>
      <c r="P740" s="7"/>
      <c r="R740" s="5"/>
    </row>
    <row r="741">
      <c r="E741" s="5"/>
      <c r="H741" s="5"/>
      <c r="I741" s="5"/>
      <c r="J741" s="7"/>
      <c r="K741" s="7"/>
      <c r="L741" s="7"/>
      <c r="M741" s="7"/>
      <c r="N741" s="7"/>
      <c r="O741" s="5"/>
      <c r="P741" s="7"/>
      <c r="R741" s="5"/>
    </row>
    <row r="742">
      <c r="E742" s="5"/>
      <c r="H742" s="5"/>
      <c r="I742" s="5"/>
      <c r="J742" s="7"/>
      <c r="K742" s="7"/>
      <c r="L742" s="7"/>
      <c r="M742" s="7"/>
      <c r="N742" s="7"/>
      <c r="O742" s="5"/>
      <c r="P742" s="7"/>
      <c r="R742" s="5"/>
    </row>
    <row r="743">
      <c r="E743" s="5"/>
      <c r="H743" s="5"/>
      <c r="I743" s="5"/>
      <c r="J743" s="7"/>
      <c r="K743" s="7"/>
      <c r="L743" s="7"/>
      <c r="M743" s="7"/>
      <c r="N743" s="7"/>
      <c r="O743" s="5"/>
      <c r="P743" s="7"/>
      <c r="R743" s="5"/>
    </row>
    <row r="744">
      <c r="E744" s="5"/>
      <c r="H744" s="5"/>
      <c r="I744" s="5"/>
      <c r="J744" s="7"/>
      <c r="K744" s="7"/>
      <c r="L744" s="7"/>
      <c r="M744" s="7"/>
      <c r="N744" s="7"/>
      <c r="O744" s="5"/>
      <c r="P744" s="7"/>
      <c r="R744" s="5"/>
    </row>
    <row r="745">
      <c r="E745" s="5"/>
      <c r="H745" s="5"/>
      <c r="I745" s="5"/>
      <c r="J745" s="7"/>
      <c r="K745" s="7"/>
      <c r="L745" s="7"/>
      <c r="M745" s="7"/>
      <c r="N745" s="7"/>
      <c r="O745" s="5"/>
      <c r="P745" s="7"/>
      <c r="R745" s="5"/>
    </row>
    <row r="746">
      <c r="E746" s="5"/>
      <c r="H746" s="5"/>
      <c r="I746" s="5"/>
      <c r="J746" s="7"/>
      <c r="K746" s="7"/>
      <c r="L746" s="7"/>
      <c r="M746" s="7"/>
      <c r="N746" s="7"/>
      <c r="O746" s="5"/>
      <c r="P746" s="7"/>
      <c r="R746" s="5"/>
    </row>
    <row r="747">
      <c r="E747" s="5"/>
      <c r="H747" s="5"/>
      <c r="I747" s="5"/>
      <c r="J747" s="7"/>
      <c r="K747" s="7"/>
      <c r="L747" s="7"/>
      <c r="M747" s="7"/>
      <c r="N747" s="7"/>
      <c r="O747" s="5"/>
      <c r="P747" s="7"/>
      <c r="R747" s="5"/>
    </row>
    <row r="748">
      <c r="E748" s="5"/>
      <c r="H748" s="5"/>
      <c r="I748" s="5"/>
      <c r="J748" s="7"/>
      <c r="K748" s="7"/>
      <c r="L748" s="7"/>
      <c r="M748" s="7"/>
      <c r="N748" s="7"/>
      <c r="O748" s="5"/>
      <c r="P748" s="7"/>
      <c r="R748" s="5"/>
    </row>
    <row r="749">
      <c r="E749" s="5"/>
      <c r="H749" s="5"/>
      <c r="I749" s="5"/>
      <c r="J749" s="7"/>
      <c r="K749" s="7"/>
      <c r="L749" s="7"/>
      <c r="M749" s="7"/>
      <c r="N749" s="7"/>
      <c r="O749" s="5"/>
      <c r="P749" s="7"/>
      <c r="R749" s="5"/>
    </row>
    <row r="750">
      <c r="E750" s="5"/>
      <c r="H750" s="5"/>
      <c r="I750" s="5"/>
      <c r="J750" s="7"/>
      <c r="K750" s="7"/>
      <c r="L750" s="7"/>
      <c r="M750" s="7"/>
      <c r="N750" s="7"/>
      <c r="O750" s="5"/>
      <c r="P750" s="7"/>
      <c r="R750" s="5"/>
    </row>
    <row r="751">
      <c r="E751" s="5"/>
      <c r="H751" s="5"/>
      <c r="I751" s="5"/>
      <c r="J751" s="7"/>
      <c r="K751" s="7"/>
      <c r="L751" s="7"/>
      <c r="M751" s="7"/>
      <c r="N751" s="7"/>
      <c r="O751" s="5"/>
      <c r="P751" s="7"/>
      <c r="R751" s="5"/>
    </row>
    <row r="752">
      <c r="E752" s="5"/>
      <c r="H752" s="5"/>
      <c r="I752" s="5"/>
      <c r="J752" s="7"/>
      <c r="K752" s="7"/>
      <c r="L752" s="7"/>
      <c r="M752" s="7"/>
      <c r="N752" s="7"/>
      <c r="O752" s="5"/>
      <c r="P752" s="7"/>
      <c r="R752" s="5"/>
    </row>
    <row r="753">
      <c r="E753" s="5"/>
      <c r="H753" s="5"/>
      <c r="I753" s="5"/>
      <c r="J753" s="7"/>
      <c r="K753" s="7"/>
      <c r="L753" s="7"/>
      <c r="M753" s="7"/>
      <c r="N753" s="7"/>
      <c r="O753" s="5"/>
      <c r="P753" s="7"/>
      <c r="R753" s="5"/>
    </row>
    <row r="754">
      <c r="E754" s="5"/>
      <c r="H754" s="5"/>
      <c r="I754" s="5"/>
      <c r="J754" s="7"/>
      <c r="K754" s="7"/>
      <c r="L754" s="7"/>
      <c r="M754" s="7"/>
      <c r="N754" s="7"/>
      <c r="O754" s="5"/>
      <c r="P754" s="7"/>
      <c r="R754" s="5"/>
    </row>
    <row r="755">
      <c r="E755" s="5"/>
      <c r="H755" s="5"/>
      <c r="I755" s="5"/>
      <c r="J755" s="7"/>
      <c r="K755" s="7"/>
      <c r="L755" s="7"/>
      <c r="M755" s="7"/>
      <c r="N755" s="7"/>
      <c r="O755" s="5"/>
      <c r="P755" s="7"/>
      <c r="R755" s="5"/>
    </row>
    <row r="756">
      <c r="E756" s="5"/>
      <c r="H756" s="5"/>
      <c r="I756" s="5"/>
      <c r="J756" s="7"/>
      <c r="K756" s="7"/>
      <c r="L756" s="7"/>
      <c r="M756" s="7"/>
      <c r="N756" s="7"/>
      <c r="O756" s="5"/>
      <c r="P756" s="7"/>
      <c r="R756" s="5"/>
    </row>
    <row r="757">
      <c r="E757" s="5"/>
      <c r="H757" s="5"/>
      <c r="I757" s="5"/>
      <c r="J757" s="7"/>
      <c r="K757" s="7"/>
      <c r="L757" s="7"/>
      <c r="M757" s="7"/>
      <c r="N757" s="7"/>
      <c r="O757" s="5"/>
      <c r="P757" s="7"/>
      <c r="R757" s="5"/>
    </row>
    <row r="758">
      <c r="E758" s="5"/>
      <c r="H758" s="5"/>
      <c r="I758" s="5"/>
      <c r="J758" s="7"/>
      <c r="K758" s="7"/>
      <c r="L758" s="7"/>
      <c r="M758" s="7"/>
      <c r="N758" s="7"/>
      <c r="O758" s="5"/>
      <c r="P758" s="7"/>
      <c r="R758" s="5"/>
    </row>
    <row r="759">
      <c r="E759" s="5"/>
      <c r="H759" s="5"/>
      <c r="I759" s="5"/>
      <c r="J759" s="7"/>
      <c r="K759" s="7"/>
      <c r="L759" s="7"/>
      <c r="M759" s="7"/>
      <c r="N759" s="7"/>
      <c r="O759" s="5"/>
      <c r="P759" s="7"/>
      <c r="R759" s="5"/>
    </row>
    <row r="760">
      <c r="E760" s="5"/>
      <c r="H760" s="5"/>
      <c r="I760" s="5"/>
      <c r="J760" s="7"/>
      <c r="K760" s="7"/>
      <c r="L760" s="7"/>
      <c r="M760" s="7"/>
      <c r="N760" s="7"/>
      <c r="O760" s="5"/>
      <c r="P760" s="7"/>
      <c r="R760" s="5"/>
    </row>
    <row r="761">
      <c r="E761" s="5"/>
      <c r="H761" s="5"/>
      <c r="I761" s="5"/>
      <c r="J761" s="7"/>
      <c r="K761" s="7"/>
      <c r="L761" s="7"/>
      <c r="M761" s="7"/>
      <c r="N761" s="7"/>
      <c r="O761" s="5"/>
      <c r="P761" s="7"/>
      <c r="R761" s="5"/>
    </row>
    <row r="762">
      <c r="E762" s="5"/>
      <c r="H762" s="5"/>
      <c r="I762" s="5"/>
      <c r="J762" s="7"/>
      <c r="K762" s="7"/>
      <c r="L762" s="7"/>
      <c r="M762" s="7"/>
      <c r="N762" s="7"/>
      <c r="O762" s="5"/>
      <c r="P762" s="7"/>
      <c r="R762" s="5"/>
    </row>
    <row r="763">
      <c r="E763" s="5"/>
      <c r="H763" s="5"/>
      <c r="I763" s="5"/>
      <c r="J763" s="7"/>
      <c r="K763" s="7"/>
      <c r="L763" s="7"/>
      <c r="M763" s="7"/>
      <c r="N763" s="7"/>
      <c r="O763" s="5"/>
      <c r="P763" s="7"/>
      <c r="R763" s="5"/>
    </row>
    <row r="764">
      <c r="E764" s="5"/>
      <c r="H764" s="5"/>
      <c r="I764" s="5"/>
      <c r="J764" s="7"/>
      <c r="K764" s="7"/>
      <c r="L764" s="7"/>
      <c r="M764" s="7"/>
      <c r="N764" s="7"/>
      <c r="O764" s="5"/>
      <c r="P764" s="7"/>
      <c r="R764" s="5"/>
    </row>
    <row r="765">
      <c r="E765" s="5"/>
      <c r="H765" s="5"/>
      <c r="I765" s="5"/>
      <c r="J765" s="7"/>
      <c r="K765" s="7"/>
      <c r="L765" s="7"/>
      <c r="M765" s="7"/>
      <c r="N765" s="7"/>
      <c r="O765" s="5"/>
      <c r="P765" s="7"/>
      <c r="R765" s="5"/>
    </row>
    <row r="766">
      <c r="E766" s="5"/>
      <c r="H766" s="5"/>
      <c r="I766" s="5"/>
      <c r="J766" s="7"/>
      <c r="K766" s="7"/>
      <c r="L766" s="7"/>
      <c r="M766" s="7"/>
      <c r="N766" s="7"/>
      <c r="O766" s="5"/>
      <c r="P766" s="7"/>
      <c r="R766" s="5"/>
    </row>
    <row r="767">
      <c r="E767" s="5"/>
      <c r="H767" s="5"/>
      <c r="I767" s="5"/>
      <c r="J767" s="7"/>
      <c r="K767" s="7"/>
      <c r="L767" s="7"/>
      <c r="M767" s="7"/>
      <c r="N767" s="7"/>
      <c r="O767" s="5"/>
      <c r="P767" s="7"/>
      <c r="R767" s="5"/>
    </row>
    <row r="768">
      <c r="E768" s="5"/>
      <c r="H768" s="5"/>
      <c r="I768" s="5"/>
      <c r="J768" s="7"/>
      <c r="K768" s="7"/>
      <c r="L768" s="7"/>
      <c r="M768" s="7"/>
      <c r="N768" s="7"/>
      <c r="O768" s="5"/>
      <c r="P768" s="7"/>
      <c r="R768" s="5"/>
    </row>
    <row r="769">
      <c r="E769" s="5"/>
      <c r="H769" s="5"/>
      <c r="I769" s="5"/>
      <c r="J769" s="7"/>
      <c r="K769" s="7"/>
      <c r="L769" s="7"/>
      <c r="M769" s="7"/>
      <c r="N769" s="7"/>
      <c r="O769" s="5"/>
      <c r="P769" s="7"/>
      <c r="R769" s="5"/>
    </row>
    <row r="770">
      <c r="E770" s="5"/>
      <c r="H770" s="5"/>
      <c r="I770" s="5"/>
      <c r="J770" s="7"/>
      <c r="K770" s="7"/>
      <c r="L770" s="7"/>
      <c r="M770" s="7"/>
      <c r="N770" s="7"/>
      <c r="O770" s="5"/>
      <c r="P770" s="7"/>
      <c r="R770" s="5"/>
    </row>
    <row r="771">
      <c r="E771" s="5"/>
      <c r="H771" s="5"/>
      <c r="I771" s="5"/>
      <c r="J771" s="7"/>
      <c r="K771" s="7"/>
      <c r="L771" s="7"/>
      <c r="M771" s="7"/>
      <c r="N771" s="7"/>
      <c r="O771" s="5"/>
      <c r="P771" s="7"/>
      <c r="R771" s="5"/>
    </row>
    <row r="772">
      <c r="E772" s="5"/>
      <c r="H772" s="5"/>
      <c r="I772" s="5"/>
      <c r="J772" s="7"/>
      <c r="K772" s="7"/>
      <c r="L772" s="7"/>
      <c r="M772" s="7"/>
      <c r="N772" s="7"/>
      <c r="O772" s="5"/>
      <c r="P772" s="7"/>
      <c r="R772" s="5"/>
    </row>
    <row r="773">
      <c r="E773" s="5"/>
      <c r="H773" s="5"/>
      <c r="I773" s="5"/>
      <c r="J773" s="7"/>
      <c r="K773" s="7"/>
      <c r="L773" s="7"/>
      <c r="M773" s="7"/>
      <c r="N773" s="7"/>
      <c r="O773" s="5"/>
      <c r="P773" s="7"/>
      <c r="R773" s="5"/>
    </row>
    <row r="774">
      <c r="E774" s="5"/>
      <c r="H774" s="5"/>
      <c r="I774" s="5"/>
      <c r="J774" s="7"/>
      <c r="K774" s="7"/>
      <c r="L774" s="7"/>
      <c r="M774" s="7"/>
      <c r="N774" s="7"/>
      <c r="O774" s="5"/>
      <c r="P774" s="7"/>
      <c r="R774" s="5"/>
    </row>
    <row r="775">
      <c r="E775" s="5"/>
      <c r="H775" s="5"/>
      <c r="I775" s="5"/>
      <c r="J775" s="7"/>
      <c r="K775" s="7"/>
      <c r="L775" s="7"/>
      <c r="M775" s="7"/>
      <c r="N775" s="7"/>
      <c r="O775" s="5"/>
      <c r="P775" s="7"/>
      <c r="R775" s="5"/>
    </row>
    <row r="776">
      <c r="E776" s="5"/>
      <c r="H776" s="5"/>
      <c r="I776" s="5"/>
      <c r="J776" s="7"/>
      <c r="K776" s="7"/>
      <c r="L776" s="7"/>
      <c r="M776" s="7"/>
      <c r="N776" s="7"/>
      <c r="O776" s="5"/>
      <c r="P776" s="7"/>
      <c r="R776" s="5"/>
    </row>
    <row r="777">
      <c r="E777" s="5"/>
      <c r="H777" s="5"/>
      <c r="I777" s="5"/>
      <c r="J777" s="7"/>
      <c r="K777" s="7"/>
      <c r="L777" s="7"/>
      <c r="M777" s="7"/>
      <c r="N777" s="7"/>
      <c r="O777" s="5"/>
      <c r="P777" s="7"/>
      <c r="R777" s="5"/>
    </row>
    <row r="778">
      <c r="E778" s="5"/>
      <c r="H778" s="5"/>
      <c r="I778" s="5"/>
      <c r="J778" s="7"/>
      <c r="K778" s="7"/>
      <c r="L778" s="7"/>
      <c r="M778" s="7"/>
      <c r="N778" s="7"/>
      <c r="O778" s="5"/>
      <c r="P778" s="7"/>
      <c r="R778" s="5"/>
    </row>
    <row r="779">
      <c r="E779" s="5"/>
      <c r="H779" s="5"/>
      <c r="I779" s="5"/>
      <c r="J779" s="7"/>
      <c r="K779" s="7"/>
      <c r="L779" s="7"/>
      <c r="M779" s="7"/>
      <c r="N779" s="7"/>
      <c r="O779" s="5"/>
      <c r="P779" s="7"/>
      <c r="R779" s="5"/>
    </row>
    <row r="780">
      <c r="E780" s="5"/>
      <c r="H780" s="5"/>
      <c r="I780" s="5"/>
      <c r="J780" s="7"/>
      <c r="K780" s="7"/>
      <c r="L780" s="7"/>
      <c r="M780" s="7"/>
      <c r="N780" s="7"/>
      <c r="O780" s="5"/>
      <c r="P780" s="7"/>
      <c r="R780" s="5"/>
    </row>
    <row r="781">
      <c r="E781" s="5"/>
      <c r="H781" s="5"/>
      <c r="I781" s="5"/>
      <c r="J781" s="7"/>
      <c r="K781" s="7"/>
      <c r="L781" s="7"/>
      <c r="M781" s="7"/>
      <c r="N781" s="7"/>
      <c r="O781" s="5"/>
      <c r="P781" s="7"/>
      <c r="R781" s="5"/>
    </row>
    <row r="782">
      <c r="E782" s="5"/>
      <c r="H782" s="5"/>
      <c r="I782" s="5"/>
      <c r="J782" s="7"/>
      <c r="K782" s="7"/>
      <c r="L782" s="7"/>
      <c r="M782" s="7"/>
      <c r="N782" s="7"/>
      <c r="O782" s="5"/>
      <c r="P782" s="7"/>
      <c r="R782" s="5"/>
    </row>
    <row r="783">
      <c r="E783" s="5"/>
      <c r="H783" s="5"/>
      <c r="I783" s="5"/>
      <c r="J783" s="7"/>
      <c r="K783" s="7"/>
      <c r="L783" s="7"/>
      <c r="M783" s="7"/>
      <c r="N783" s="7"/>
      <c r="O783" s="5"/>
      <c r="P783" s="7"/>
      <c r="R783" s="5"/>
    </row>
    <row r="784">
      <c r="E784" s="5"/>
      <c r="H784" s="5"/>
      <c r="I784" s="5"/>
      <c r="J784" s="7"/>
      <c r="K784" s="7"/>
      <c r="L784" s="7"/>
      <c r="M784" s="7"/>
      <c r="N784" s="7"/>
      <c r="O784" s="5"/>
      <c r="P784" s="7"/>
      <c r="R784" s="5"/>
    </row>
    <row r="785">
      <c r="E785" s="5"/>
      <c r="H785" s="5"/>
      <c r="I785" s="5"/>
      <c r="J785" s="7"/>
      <c r="K785" s="7"/>
      <c r="L785" s="7"/>
      <c r="M785" s="7"/>
      <c r="N785" s="7"/>
      <c r="O785" s="5"/>
      <c r="P785" s="7"/>
      <c r="R785" s="5"/>
    </row>
    <row r="786">
      <c r="E786" s="5"/>
      <c r="H786" s="5"/>
      <c r="I786" s="5"/>
      <c r="J786" s="7"/>
      <c r="K786" s="7"/>
      <c r="L786" s="7"/>
      <c r="M786" s="7"/>
      <c r="N786" s="7"/>
      <c r="O786" s="5"/>
      <c r="P786" s="7"/>
      <c r="R786" s="5"/>
    </row>
    <row r="787">
      <c r="E787" s="5"/>
      <c r="H787" s="5"/>
      <c r="I787" s="5"/>
      <c r="J787" s="7"/>
      <c r="K787" s="7"/>
      <c r="L787" s="7"/>
      <c r="M787" s="7"/>
      <c r="N787" s="7"/>
      <c r="O787" s="5"/>
      <c r="P787" s="7"/>
      <c r="R787" s="5"/>
    </row>
    <row r="788">
      <c r="E788" s="5"/>
      <c r="H788" s="5"/>
      <c r="I788" s="5"/>
      <c r="J788" s="7"/>
      <c r="K788" s="7"/>
      <c r="L788" s="7"/>
      <c r="M788" s="7"/>
      <c r="N788" s="7"/>
      <c r="O788" s="5"/>
      <c r="P788" s="7"/>
      <c r="R788" s="5"/>
    </row>
    <row r="789">
      <c r="E789" s="5"/>
      <c r="H789" s="5"/>
      <c r="I789" s="5"/>
      <c r="J789" s="7"/>
      <c r="K789" s="7"/>
      <c r="L789" s="7"/>
      <c r="M789" s="7"/>
      <c r="N789" s="7"/>
      <c r="O789" s="5"/>
      <c r="P789" s="7"/>
      <c r="R789" s="5"/>
    </row>
    <row r="790">
      <c r="E790" s="5"/>
      <c r="H790" s="5"/>
      <c r="I790" s="5"/>
      <c r="J790" s="7"/>
      <c r="K790" s="7"/>
      <c r="L790" s="7"/>
      <c r="M790" s="7"/>
      <c r="N790" s="7"/>
      <c r="O790" s="5"/>
      <c r="P790" s="7"/>
      <c r="R790" s="5"/>
    </row>
    <row r="791">
      <c r="E791" s="5"/>
      <c r="H791" s="5"/>
      <c r="I791" s="5"/>
      <c r="J791" s="7"/>
      <c r="K791" s="7"/>
      <c r="L791" s="7"/>
      <c r="M791" s="7"/>
      <c r="N791" s="7"/>
      <c r="O791" s="5"/>
      <c r="P791" s="7"/>
      <c r="R791" s="5"/>
    </row>
    <row r="792">
      <c r="E792" s="5"/>
      <c r="H792" s="5"/>
      <c r="I792" s="5"/>
      <c r="J792" s="7"/>
      <c r="K792" s="7"/>
      <c r="L792" s="7"/>
      <c r="M792" s="7"/>
      <c r="N792" s="7"/>
      <c r="O792" s="5"/>
      <c r="P792" s="7"/>
      <c r="R792" s="5"/>
    </row>
    <row r="793">
      <c r="E793" s="5"/>
      <c r="H793" s="5"/>
      <c r="I793" s="5"/>
      <c r="J793" s="7"/>
      <c r="K793" s="7"/>
      <c r="L793" s="7"/>
      <c r="M793" s="7"/>
      <c r="N793" s="7"/>
      <c r="O793" s="5"/>
      <c r="P793" s="7"/>
      <c r="R793" s="5"/>
    </row>
    <row r="794">
      <c r="E794" s="5"/>
      <c r="H794" s="5"/>
      <c r="I794" s="5"/>
      <c r="J794" s="7"/>
      <c r="K794" s="7"/>
      <c r="L794" s="7"/>
      <c r="M794" s="7"/>
      <c r="N794" s="7"/>
      <c r="O794" s="5"/>
      <c r="P794" s="7"/>
      <c r="R794" s="5"/>
    </row>
    <row r="795">
      <c r="E795" s="5"/>
      <c r="H795" s="5"/>
      <c r="I795" s="5"/>
      <c r="J795" s="7"/>
      <c r="K795" s="7"/>
      <c r="L795" s="7"/>
      <c r="M795" s="7"/>
      <c r="N795" s="7"/>
      <c r="O795" s="5"/>
      <c r="P795" s="7"/>
      <c r="R795" s="5"/>
    </row>
    <row r="796">
      <c r="E796" s="5"/>
      <c r="H796" s="5"/>
      <c r="I796" s="5"/>
      <c r="J796" s="7"/>
      <c r="K796" s="7"/>
      <c r="L796" s="7"/>
      <c r="M796" s="7"/>
      <c r="N796" s="7"/>
      <c r="O796" s="5"/>
      <c r="P796" s="7"/>
      <c r="R796" s="5"/>
    </row>
    <row r="797">
      <c r="E797" s="5"/>
      <c r="H797" s="5"/>
      <c r="I797" s="5"/>
      <c r="J797" s="7"/>
      <c r="K797" s="7"/>
      <c r="L797" s="7"/>
      <c r="M797" s="7"/>
      <c r="N797" s="7"/>
      <c r="O797" s="5"/>
      <c r="P797" s="7"/>
      <c r="R797" s="5"/>
    </row>
    <row r="798">
      <c r="E798" s="5"/>
      <c r="H798" s="5"/>
      <c r="I798" s="5"/>
      <c r="J798" s="7"/>
      <c r="K798" s="7"/>
      <c r="L798" s="7"/>
      <c r="M798" s="7"/>
      <c r="N798" s="7"/>
      <c r="O798" s="5"/>
      <c r="P798" s="7"/>
      <c r="R798" s="5"/>
    </row>
    <row r="799">
      <c r="E799" s="5"/>
      <c r="H799" s="5"/>
      <c r="I799" s="5"/>
      <c r="J799" s="7"/>
      <c r="K799" s="7"/>
      <c r="L799" s="7"/>
      <c r="M799" s="7"/>
      <c r="N799" s="7"/>
      <c r="O799" s="5"/>
      <c r="P799" s="7"/>
      <c r="R799" s="5"/>
    </row>
    <row r="800">
      <c r="E800" s="5"/>
      <c r="H800" s="5"/>
      <c r="I800" s="5"/>
      <c r="J800" s="7"/>
      <c r="K800" s="7"/>
      <c r="L800" s="7"/>
      <c r="M800" s="7"/>
      <c r="N800" s="7"/>
      <c r="O800" s="5"/>
      <c r="P800" s="7"/>
      <c r="R800" s="5"/>
    </row>
    <row r="801">
      <c r="E801" s="5"/>
      <c r="H801" s="5"/>
      <c r="I801" s="5"/>
      <c r="J801" s="7"/>
      <c r="K801" s="7"/>
      <c r="L801" s="7"/>
      <c r="M801" s="7"/>
      <c r="N801" s="7"/>
      <c r="O801" s="5"/>
      <c r="P801" s="7"/>
      <c r="R801" s="5"/>
    </row>
    <row r="802">
      <c r="E802" s="5"/>
      <c r="H802" s="5"/>
      <c r="I802" s="5"/>
      <c r="J802" s="7"/>
      <c r="K802" s="7"/>
      <c r="L802" s="7"/>
      <c r="M802" s="7"/>
      <c r="N802" s="7"/>
      <c r="O802" s="5"/>
      <c r="P802" s="7"/>
      <c r="R802" s="5"/>
    </row>
    <row r="803">
      <c r="E803" s="5"/>
      <c r="H803" s="5"/>
      <c r="I803" s="5"/>
      <c r="J803" s="7"/>
      <c r="K803" s="7"/>
      <c r="L803" s="7"/>
      <c r="M803" s="7"/>
      <c r="N803" s="7"/>
      <c r="O803" s="5"/>
      <c r="P803" s="7"/>
      <c r="R803" s="5"/>
    </row>
    <row r="804">
      <c r="E804" s="5"/>
      <c r="H804" s="5"/>
      <c r="I804" s="5"/>
      <c r="J804" s="7"/>
      <c r="K804" s="7"/>
      <c r="L804" s="7"/>
      <c r="M804" s="7"/>
      <c r="N804" s="7"/>
      <c r="O804" s="5"/>
      <c r="P804" s="7"/>
      <c r="R804" s="5"/>
    </row>
    <row r="805">
      <c r="E805" s="5"/>
      <c r="H805" s="5"/>
      <c r="I805" s="5"/>
      <c r="J805" s="7"/>
      <c r="K805" s="7"/>
      <c r="L805" s="7"/>
      <c r="M805" s="7"/>
      <c r="N805" s="7"/>
      <c r="O805" s="5"/>
      <c r="P805" s="7"/>
      <c r="R805" s="5"/>
    </row>
    <row r="806">
      <c r="E806" s="5"/>
      <c r="H806" s="5"/>
      <c r="I806" s="5"/>
      <c r="J806" s="7"/>
      <c r="K806" s="7"/>
      <c r="L806" s="7"/>
      <c r="M806" s="7"/>
      <c r="N806" s="7"/>
      <c r="O806" s="5"/>
      <c r="P806" s="7"/>
      <c r="R806" s="5"/>
    </row>
    <row r="807">
      <c r="E807" s="5"/>
      <c r="H807" s="5"/>
      <c r="I807" s="5"/>
      <c r="J807" s="7"/>
      <c r="K807" s="7"/>
      <c r="L807" s="7"/>
      <c r="M807" s="7"/>
      <c r="N807" s="7"/>
      <c r="O807" s="5"/>
      <c r="P807" s="7"/>
      <c r="R807" s="5"/>
    </row>
    <row r="808">
      <c r="E808" s="5"/>
      <c r="H808" s="5"/>
      <c r="I808" s="5"/>
      <c r="J808" s="7"/>
      <c r="K808" s="7"/>
      <c r="L808" s="7"/>
      <c r="M808" s="7"/>
      <c r="N808" s="7"/>
      <c r="O808" s="5"/>
      <c r="P808" s="7"/>
      <c r="R808" s="5"/>
    </row>
    <row r="809">
      <c r="E809" s="5"/>
      <c r="H809" s="5"/>
      <c r="I809" s="5"/>
      <c r="J809" s="7"/>
      <c r="K809" s="7"/>
      <c r="L809" s="7"/>
      <c r="M809" s="7"/>
      <c r="N809" s="7"/>
      <c r="O809" s="5"/>
      <c r="P809" s="7"/>
      <c r="R809" s="5"/>
    </row>
    <row r="810">
      <c r="E810" s="5"/>
      <c r="H810" s="5"/>
      <c r="I810" s="5"/>
      <c r="J810" s="7"/>
      <c r="K810" s="7"/>
      <c r="L810" s="7"/>
      <c r="M810" s="7"/>
      <c r="N810" s="7"/>
      <c r="O810" s="5"/>
      <c r="P810" s="7"/>
      <c r="R810" s="5"/>
    </row>
    <row r="811">
      <c r="E811" s="5"/>
      <c r="H811" s="5"/>
      <c r="I811" s="5"/>
      <c r="J811" s="7"/>
      <c r="K811" s="7"/>
      <c r="L811" s="7"/>
      <c r="M811" s="7"/>
      <c r="N811" s="7"/>
      <c r="O811" s="5"/>
      <c r="P811" s="7"/>
      <c r="R811" s="5"/>
    </row>
    <row r="812">
      <c r="E812" s="5"/>
      <c r="H812" s="5"/>
      <c r="I812" s="5"/>
      <c r="J812" s="7"/>
      <c r="K812" s="7"/>
      <c r="L812" s="7"/>
      <c r="M812" s="7"/>
      <c r="N812" s="7"/>
      <c r="O812" s="5"/>
      <c r="P812" s="7"/>
      <c r="R812" s="5"/>
    </row>
    <row r="813">
      <c r="E813" s="5"/>
      <c r="H813" s="5"/>
      <c r="I813" s="5"/>
      <c r="J813" s="7"/>
      <c r="K813" s="7"/>
      <c r="L813" s="7"/>
      <c r="M813" s="7"/>
      <c r="N813" s="7"/>
      <c r="O813" s="5"/>
      <c r="P813" s="7"/>
      <c r="R813" s="5"/>
    </row>
    <row r="814">
      <c r="E814" s="5"/>
      <c r="H814" s="5"/>
      <c r="I814" s="5"/>
      <c r="J814" s="7"/>
      <c r="K814" s="7"/>
      <c r="L814" s="7"/>
      <c r="M814" s="7"/>
      <c r="N814" s="7"/>
      <c r="O814" s="5"/>
      <c r="P814" s="7"/>
      <c r="R814" s="5"/>
    </row>
    <row r="815">
      <c r="E815" s="5"/>
      <c r="H815" s="5"/>
      <c r="I815" s="5"/>
      <c r="J815" s="7"/>
      <c r="K815" s="7"/>
      <c r="L815" s="7"/>
      <c r="M815" s="7"/>
      <c r="N815" s="7"/>
      <c r="O815" s="5"/>
      <c r="P815" s="7"/>
      <c r="R815" s="5"/>
    </row>
    <row r="816">
      <c r="E816" s="5"/>
      <c r="H816" s="5"/>
      <c r="I816" s="5"/>
      <c r="J816" s="7"/>
      <c r="K816" s="7"/>
      <c r="L816" s="7"/>
      <c r="M816" s="7"/>
      <c r="N816" s="7"/>
      <c r="O816" s="5"/>
      <c r="P816" s="7"/>
      <c r="R816" s="5"/>
    </row>
    <row r="817">
      <c r="E817" s="5"/>
      <c r="H817" s="5"/>
      <c r="I817" s="5"/>
      <c r="J817" s="7"/>
      <c r="K817" s="7"/>
      <c r="L817" s="7"/>
      <c r="M817" s="7"/>
      <c r="N817" s="7"/>
      <c r="O817" s="5"/>
      <c r="P817" s="7"/>
      <c r="R817" s="5"/>
    </row>
    <row r="818">
      <c r="E818" s="5"/>
      <c r="H818" s="5"/>
      <c r="I818" s="5"/>
      <c r="J818" s="7"/>
      <c r="K818" s="7"/>
      <c r="L818" s="7"/>
      <c r="M818" s="7"/>
      <c r="N818" s="7"/>
      <c r="O818" s="5"/>
      <c r="P818" s="7"/>
      <c r="R818" s="5"/>
    </row>
    <row r="819">
      <c r="E819" s="5"/>
      <c r="H819" s="5"/>
      <c r="I819" s="5"/>
      <c r="J819" s="7"/>
      <c r="K819" s="7"/>
      <c r="L819" s="7"/>
      <c r="M819" s="7"/>
      <c r="N819" s="7"/>
      <c r="O819" s="5"/>
      <c r="P819" s="7"/>
      <c r="R819" s="5"/>
    </row>
    <row r="820">
      <c r="E820" s="5"/>
      <c r="H820" s="5"/>
      <c r="I820" s="5"/>
      <c r="J820" s="7"/>
      <c r="K820" s="7"/>
      <c r="L820" s="7"/>
      <c r="M820" s="7"/>
      <c r="N820" s="7"/>
      <c r="O820" s="5"/>
      <c r="P820" s="7"/>
      <c r="R820" s="5"/>
    </row>
    <row r="821">
      <c r="E821" s="5"/>
      <c r="H821" s="5"/>
      <c r="I821" s="5"/>
      <c r="J821" s="7"/>
      <c r="K821" s="7"/>
      <c r="L821" s="7"/>
      <c r="M821" s="7"/>
      <c r="N821" s="7"/>
      <c r="O821" s="5"/>
      <c r="P821" s="7"/>
      <c r="R821" s="5"/>
    </row>
    <row r="822">
      <c r="E822" s="5"/>
      <c r="H822" s="5"/>
      <c r="I822" s="5"/>
      <c r="J822" s="7"/>
      <c r="K822" s="7"/>
      <c r="L822" s="7"/>
      <c r="M822" s="7"/>
      <c r="N822" s="7"/>
      <c r="O822" s="5"/>
      <c r="P822" s="7"/>
      <c r="R822" s="5"/>
    </row>
    <row r="823">
      <c r="E823" s="5"/>
      <c r="H823" s="5"/>
      <c r="I823" s="5"/>
      <c r="J823" s="7"/>
      <c r="K823" s="7"/>
      <c r="L823" s="7"/>
      <c r="M823" s="7"/>
      <c r="N823" s="7"/>
      <c r="O823" s="5"/>
      <c r="P823" s="7"/>
      <c r="R823" s="5"/>
    </row>
    <row r="824">
      <c r="E824" s="5"/>
      <c r="H824" s="5"/>
      <c r="I824" s="5"/>
      <c r="J824" s="7"/>
      <c r="K824" s="7"/>
      <c r="L824" s="7"/>
      <c r="M824" s="7"/>
      <c r="N824" s="7"/>
      <c r="O824" s="5"/>
      <c r="P824" s="7"/>
      <c r="R824" s="5"/>
    </row>
    <row r="825">
      <c r="E825" s="5"/>
      <c r="H825" s="5"/>
      <c r="I825" s="5"/>
      <c r="J825" s="7"/>
      <c r="K825" s="7"/>
      <c r="L825" s="7"/>
      <c r="M825" s="7"/>
      <c r="N825" s="7"/>
      <c r="O825" s="5"/>
      <c r="P825" s="7"/>
      <c r="R825" s="5"/>
    </row>
    <row r="826">
      <c r="E826" s="5"/>
      <c r="H826" s="5"/>
      <c r="I826" s="5"/>
      <c r="J826" s="7"/>
      <c r="K826" s="7"/>
      <c r="L826" s="7"/>
      <c r="M826" s="7"/>
      <c r="N826" s="7"/>
      <c r="O826" s="5"/>
      <c r="P826" s="7"/>
      <c r="R826" s="5"/>
    </row>
    <row r="827">
      <c r="E827" s="5"/>
      <c r="H827" s="5"/>
      <c r="I827" s="5"/>
      <c r="J827" s="7"/>
      <c r="K827" s="7"/>
      <c r="L827" s="7"/>
      <c r="M827" s="7"/>
      <c r="N827" s="7"/>
      <c r="O827" s="5"/>
      <c r="P827" s="7"/>
      <c r="R827" s="5"/>
    </row>
    <row r="828">
      <c r="E828" s="5"/>
      <c r="H828" s="5"/>
      <c r="I828" s="5"/>
      <c r="J828" s="7"/>
      <c r="K828" s="7"/>
      <c r="L828" s="7"/>
      <c r="M828" s="7"/>
      <c r="N828" s="7"/>
      <c r="O828" s="5"/>
      <c r="P828" s="7"/>
      <c r="R828" s="5"/>
    </row>
    <row r="829">
      <c r="E829" s="5"/>
      <c r="H829" s="5"/>
      <c r="I829" s="5"/>
      <c r="J829" s="7"/>
      <c r="K829" s="7"/>
      <c r="L829" s="7"/>
      <c r="M829" s="7"/>
      <c r="N829" s="7"/>
      <c r="O829" s="5"/>
      <c r="P829" s="7"/>
      <c r="R829" s="5"/>
    </row>
    <row r="830">
      <c r="E830" s="5"/>
      <c r="H830" s="5"/>
      <c r="I830" s="5"/>
      <c r="J830" s="7"/>
      <c r="K830" s="7"/>
      <c r="L830" s="7"/>
      <c r="M830" s="7"/>
      <c r="N830" s="7"/>
      <c r="O830" s="5"/>
      <c r="P830" s="7"/>
      <c r="R830" s="5"/>
    </row>
    <row r="831">
      <c r="E831" s="5"/>
      <c r="H831" s="5"/>
      <c r="I831" s="5"/>
      <c r="J831" s="7"/>
      <c r="K831" s="7"/>
      <c r="L831" s="7"/>
      <c r="M831" s="7"/>
      <c r="N831" s="7"/>
      <c r="O831" s="5"/>
      <c r="P831" s="7"/>
      <c r="R831" s="5"/>
    </row>
    <row r="832">
      <c r="E832" s="5"/>
      <c r="H832" s="5"/>
      <c r="I832" s="5"/>
      <c r="J832" s="7"/>
      <c r="K832" s="7"/>
      <c r="L832" s="7"/>
      <c r="M832" s="7"/>
      <c r="N832" s="7"/>
      <c r="O832" s="5"/>
      <c r="P832" s="7"/>
      <c r="R832" s="5"/>
    </row>
    <row r="833">
      <c r="E833" s="5"/>
      <c r="H833" s="5"/>
      <c r="I833" s="5"/>
      <c r="J833" s="7"/>
      <c r="K833" s="7"/>
      <c r="L833" s="7"/>
      <c r="M833" s="7"/>
      <c r="N833" s="7"/>
      <c r="O833" s="5"/>
      <c r="P833" s="7"/>
      <c r="R833" s="5"/>
    </row>
    <row r="834">
      <c r="E834" s="5"/>
      <c r="H834" s="5"/>
      <c r="I834" s="5"/>
      <c r="J834" s="7"/>
      <c r="K834" s="7"/>
      <c r="L834" s="7"/>
      <c r="M834" s="7"/>
      <c r="N834" s="7"/>
      <c r="O834" s="5"/>
      <c r="P834" s="7"/>
      <c r="R834" s="5"/>
    </row>
    <row r="835">
      <c r="E835" s="5"/>
      <c r="H835" s="5"/>
      <c r="I835" s="5"/>
      <c r="J835" s="7"/>
      <c r="K835" s="7"/>
      <c r="L835" s="7"/>
      <c r="M835" s="7"/>
      <c r="N835" s="7"/>
      <c r="O835" s="5"/>
      <c r="P835" s="7"/>
      <c r="R835" s="5"/>
    </row>
    <row r="836">
      <c r="E836" s="5"/>
      <c r="H836" s="5"/>
      <c r="I836" s="5"/>
      <c r="J836" s="7"/>
      <c r="K836" s="7"/>
      <c r="L836" s="7"/>
      <c r="M836" s="7"/>
      <c r="N836" s="7"/>
      <c r="O836" s="5"/>
      <c r="P836" s="7"/>
      <c r="R836" s="5"/>
    </row>
    <row r="837">
      <c r="E837" s="5"/>
      <c r="H837" s="5"/>
      <c r="I837" s="5"/>
      <c r="J837" s="7"/>
      <c r="K837" s="7"/>
      <c r="L837" s="7"/>
      <c r="M837" s="7"/>
      <c r="N837" s="7"/>
      <c r="O837" s="5"/>
      <c r="P837" s="7"/>
      <c r="R837" s="5"/>
    </row>
    <row r="838">
      <c r="E838" s="5"/>
      <c r="H838" s="5"/>
      <c r="I838" s="5"/>
      <c r="J838" s="7"/>
      <c r="K838" s="7"/>
      <c r="L838" s="7"/>
      <c r="M838" s="7"/>
      <c r="N838" s="7"/>
      <c r="O838" s="5"/>
      <c r="P838" s="7"/>
      <c r="R838" s="5"/>
    </row>
    <row r="839">
      <c r="E839" s="5"/>
      <c r="H839" s="5"/>
      <c r="I839" s="5"/>
      <c r="J839" s="7"/>
      <c r="K839" s="7"/>
      <c r="L839" s="7"/>
      <c r="M839" s="7"/>
      <c r="N839" s="7"/>
      <c r="O839" s="5"/>
      <c r="P839" s="7"/>
      <c r="R839" s="5"/>
    </row>
    <row r="840">
      <c r="E840" s="5"/>
      <c r="H840" s="5"/>
      <c r="I840" s="5"/>
      <c r="J840" s="7"/>
      <c r="K840" s="7"/>
      <c r="L840" s="7"/>
      <c r="M840" s="7"/>
      <c r="N840" s="7"/>
      <c r="O840" s="5"/>
      <c r="P840" s="7"/>
      <c r="R840" s="5"/>
    </row>
    <row r="841">
      <c r="E841" s="5"/>
      <c r="H841" s="5"/>
      <c r="I841" s="5"/>
      <c r="J841" s="7"/>
      <c r="K841" s="7"/>
      <c r="L841" s="7"/>
      <c r="M841" s="7"/>
      <c r="N841" s="7"/>
      <c r="O841" s="5"/>
      <c r="P841" s="7"/>
      <c r="R841" s="5"/>
    </row>
    <row r="842">
      <c r="E842" s="5"/>
      <c r="H842" s="5"/>
      <c r="I842" s="5"/>
      <c r="J842" s="7"/>
      <c r="K842" s="7"/>
      <c r="L842" s="7"/>
      <c r="M842" s="7"/>
      <c r="N842" s="7"/>
      <c r="O842" s="5"/>
      <c r="P842" s="7"/>
      <c r="R842" s="5"/>
    </row>
    <row r="843">
      <c r="E843" s="5"/>
      <c r="H843" s="5"/>
      <c r="I843" s="5"/>
      <c r="J843" s="7"/>
      <c r="K843" s="7"/>
      <c r="L843" s="7"/>
      <c r="M843" s="7"/>
      <c r="N843" s="7"/>
      <c r="O843" s="5"/>
      <c r="P843" s="7"/>
      <c r="R843" s="5"/>
    </row>
    <row r="844">
      <c r="E844" s="5"/>
      <c r="H844" s="5"/>
      <c r="I844" s="5"/>
      <c r="J844" s="7"/>
      <c r="K844" s="7"/>
      <c r="L844" s="7"/>
      <c r="M844" s="7"/>
      <c r="N844" s="7"/>
      <c r="O844" s="5"/>
      <c r="P844" s="7"/>
      <c r="R844" s="5"/>
    </row>
    <row r="845">
      <c r="E845" s="5"/>
      <c r="H845" s="5"/>
      <c r="I845" s="5"/>
      <c r="J845" s="7"/>
      <c r="K845" s="7"/>
      <c r="L845" s="7"/>
      <c r="M845" s="7"/>
      <c r="N845" s="7"/>
      <c r="O845" s="5"/>
      <c r="P845" s="7"/>
      <c r="R845" s="5"/>
    </row>
    <row r="846">
      <c r="E846" s="5"/>
      <c r="H846" s="5"/>
      <c r="I846" s="5"/>
      <c r="J846" s="7"/>
      <c r="K846" s="7"/>
      <c r="L846" s="7"/>
      <c r="M846" s="7"/>
      <c r="N846" s="7"/>
      <c r="O846" s="5"/>
      <c r="P846" s="7"/>
      <c r="R846" s="5"/>
    </row>
    <row r="847">
      <c r="E847" s="5"/>
      <c r="H847" s="5"/>
      <c r="I847" s="5"/>
      <c r="J847" s="7"/>
      <c r="K847" s="7"/>
      <c r="L847" s="7"/>
      <c r="M847" s="7"/>
      <c r="N847" s="7"/>
      <c r="O847" s="5"/>
      <c r="P847" s="7"/>
      <c r="R847" s="5"/>
    </row>
    <row r="848">
      <c r="E848" s="5"/>
      <c r="H848" s="5"/>
      <c r="I848" s="5"/>
      <c r="J848" s="7"/>
      <c r="K848" s="7"/>
      <c r="L848" s="7"/>
      <c r="M848" s="7"/>
      <c r="N848" s="7"/>
      <c r="O848" s="5"/>
      <c r="P848" s="7"/>
      <c r="R848" s="5"/>
    </row>
    <row r="849">
      <c r="E849" s="5"/>
      <c r="H849" s="5"/>
      <c r="I849" s="5"/>
      <c r="J849" s="7"/>
      <c r="K849" s="7"/>
      <c r="L849" s="7"/>
      <c r="M849" s="7"/>
      <c r="N849" s="7"/>
      <c r="O849" s="5"/>
      <c r="P849" s="7"/>
      <c r="R849" s="5"/>
    </row>
    <row r="850">
      <c r="E850" s="5"/>
      <c r="H850" s="5"/>
      <c r="I850" s="5"/>
      <c r="J850" s="7"/>
      <c r="K850" s="7"/>
      <c r="L850" s="7"/>
      <c r="M850" s="7"/>
      <c r="N850" s="7"/>
      <c r="O850" s="5"/>
      <c r="P850" s="7"/>
      <c r="R850" s="5"/>
    </row>
    <row r="851">
      <c r="E851" s="5"/>
      <c r="H851" s="5"/>
      <c r="I851" s="5"/>
      <c r="J851" s="7"/>
      <c r="K851" s="7"/>
      <c r="L851" s="7"/>
      <c r="M851" s="7"/>
      <c r="N851" s="7"/>
      <c r="O851" s="5"/>
      <c r="P851" s="7"/>
      <c r="R851" s="5"/>
    </row>
    <row r="852">
      <c r="E852" s="5"/>
      <c r="H852" s="5"/>
      <c r="I852" s="5"/>
      <c r="J852" s="7"/>
      <c r="K852" s="7"/>
      <c r="L852" s="7"/>
      <c r="M852" s="7"/>
      <c r="N852" s="7"/>
      <c r="O852" s="5"/>
      <c r="P852" s="7"/>
      <c r="R852" s="5"/>
    </row>
    <row r="853">
      <c r="E853" s="5"/>
      <c r="H853" s="5"/>
      <c r="I853" s="5"/>
      <c r="J853" s="7"/>
      <c r="K853" s="7"/>
      <c r="L853" s="7"/>
      <c r="M853" s="7"/>
      <c r="N853" s="7"/>
      <c r="O853" s="5"/>
      <c r="P853" s="7"/>
      <c r="R853" s="5"/>
    </row>
    <row r="854">
      <c r="E854" s="5"/>
      <c r="H854" s="5"/>
      <c r="I854" s="5"/>
      <c r="J854" s="7"/>
      <c r="K854" s="7"/>
      <c r="L854" s="7"/>
      <c r="M854" s="7"/>
      <c r="N854" s="7"/>
      <c r="O854" s="5"/>
      <c r="P854" s="7"/>
      <c r="R854" s="5"/>
    </row>
    <row r="855">
      <c r="E855" s="5"/>
      <c r="H855" s="5"/>
      <c r="I855" s="5"/>
      <c r="J855" s="7"/>
      <c r="K855" s="7"/>
      <c r="L855" s="7"/>
      <c r="M855" s="7"/>
      <c r="N855" s="7"/>
      <c r="O855" s="5"/>
      <c r="P855" s="7"/>
      <c r="R855" s="5"/>
    </row>
    <row r="856">
      <c r="E856" s="5"/>
      <c r="H856" s="5"/>
      <c r="I856" s="5"/>
      <c r="J856" s="7"/>
      <c r="K856" s="7"/>
      <c r="L856" s="7"/>
      <c r="M856" s="7"/>
      <c r="N856" s="7"/>
      <c r="O856" s="5"/>
      <c r="P856" s="7"/>
      <c r="R856" s="5"/>
    </row>
    <row r="857">
      <c r="E857" s="5"/>
      <c r="H857" s="5"/>
      <c r="I857" s="5"/>
      <c r="J857" s="7"/>
      <c r="K857" s="7"/>
      <c r="L857" s="7"/>
      <c r="M857" s="7"/>
      <c r="N857" s="7"/>
      <c r="O857" s="5"/>
      <c r="P857" s="7"/>
      <c r="R857" s="5"/>
    </row>
    <row r="858">
      <c r="E858" s="5"/>
      <c r="H858" s="5"/>
      <c r="I858" s="5"/>
      <c r="J858" s="7"/>
      <c r="K858" s="7"/>
      <c r="L858" s="7"/>
      <c r="M858" s="7"/>
      <c r="N858" s="7"/>
      <c r="O858" s="5"/>
      <c r="P858" s="7"/>
      <c r="R858" s="5"/>
    </row>
    <row r="859">
      <c r="E859" s="5"/>
      <c r="H859" s="5"/>
      <c r="I859" s="5"/>
      <c r="J859" s="7"/>
      <c r="K859" s="7"/>
      <c r="L859" s="7"/>
      <c r="M859" s="7"/>
      <c r="N859" s="7"/>
      <c r="O859" s="5"/>
      <c r="P859" s="7"/>
      <c r="R859" s="5"/>
    </row>
    <row r="860">
      <c r="E860" s="5"/>
      <c r="H860" s="5"/>
      <c r="I860" s="5"/>
      <c r="J860" s="7"/>
      <c r="K860" s="7"/>
      <c r="L860" s="7"/>
      <c r="M860" s="7"/>
      <c r="N860" s="7"/>
      <c r="O860" s="5"/>
      <c r="P860" s="7"/>
      <c r="R860" s="5"/>
    </row>
    <row r="861">
      <c r="E861" s="5"/>
      <c r="H861" s="5"/>
      <c r="I861" s="5"/>
      <c r="J861" s="7"/>
      <c r="K861" s="7"/>
      <c r="L861" s="7"/>
      <c r="M861" s="7"/>
      <c r="N861" s="7"/>
      <c r="O861" s="5"/>
      <c r="P861" s="7"/>
      <c r="R861" s="5"/>
    </row>
    <row r="862">
      <c r="E862" s="5"/>
      <c r="H862" s="5"/>
      <c r="I862" s="5"/>
      <c r="J862" s="7"/>
      <c r="K862" s="7"/>
      <c r="L862" s="7"/>
      <c r="M862" s="7"/>
      <c r="N862" s="7"/>
      <c r="O862" s="5"/>
      <c r="P862" s="7"/>
      <c r="R862" s="5"/>
    </row>
    <row r="863">
      <c r="E863" s="5"/>
      <c r="H863" s="5"/>
      <c r="I863" s="5"/>
      <c r="J863" s="7"/>
      <c r="K863" s="7"/>
      <c r="L863" s="7"/>
      <c r="M863" s="7"/>
      <c r="N863" s="7"/>
      <c r="O863" s="5"/>
      <c r="P863" s="7"/>
      <c r="R863" s="5"/>
    </row>
    <row r="864">
      <c r="E864" s="5"/>
      <c r="H864" s="5"/>
      <c r="I864" s="5"/>
      <c r="J864" s="7"/>
      <c r="K864" s="7"/>
      <c r="L864" s="7"/>
      <c r="M864" s="7"/>
      <c r="N864" s="7"/>
      <c r="O864" s="5"/>
      <c r="P864" s="7"/>
      <c r="R864" s="5"/>
    </row>
    <row r="865">
      <c r="E865" s="5"/>
      <c r="H865" s="5"/>
      <c r="I865" s="5"/>
      <c r="J865" s="7"/>
      <c r="K865" s="7"/>
      <c r="L865" s="7"/>
      <c r="M865" s="7"/>
      <c r="N865" s="7"/>
      <c r="O865" s="5"/>
      <c r="P865" s="7"/>
      <c r="R865" s="5"/>
    </row>
    <row r="866">
      <c r="E866" s="5"/>
      <c r="H866" s="5"/>
      <c r="I866" s="5"/>
      <c r="J866" s="7"/>
      <c r="K866" s="7"/>
      <c r="L866" s="7"/>
      <c r="M866" s="7"/>
      <c r="N866" s="7"/>
      <c r="O866" s="5"/>
      <c r="P866" s="7"/>
      <c r="R866" s="5"/>
    </row>
    <row r="867">
      <c r="E867" s="5"/>
      <c r="H867" s="5"/>
      <c r="I867" s="5"/>
      <c r="J867" s="7"/>
      <c r="K867" s="7"/>
      <c r="L867" s="7"/>
      <c r="M867" s="7"/>
      <c r="N867" s="7"/>
      <c r="O867" s="5"/>
      <c r="P867" s="7"/>
      <c r="R867" s="5"/>
    </row>
    <row r="868">
      <c r="E868" s="5"/>
      <c r="H868" s="5"/>
      <c r="I868" s="5"/>
      <c r="J868" s="7"/>
      <c r="K868" s="7"/>
      <c r="L868" s="7"/>
      <c r="M868" s="7"/>
      <c r="N868" s="7"/>
      <c r="O868" s="5"/>
      <c r="P868" s="7"/>
      <c r="R868" s="5"/>
    </row>
    <row r="869">
      <c r="E869" s="5"/>
      <c r="H869" s="5"/>
      <c r="I869" s="5"/>
      <c r="J869" s="7"/>
      <c r="K869" s="7"/>
      <c r="L869" s="7"/>
      <c r="M869" s="7"/>
      <c r="N869" s="7"/>
      <c r="O869" s="5"/>
      <c r="P869" s="7"/>
      <c r="R869" s="5"/>
    </row>
    <row r="870">
      <c r="E870" s="5"/>
      <c r="H870" s="5"/>
      <c r="I870" s="5"/>
      <c r="J870" s="7"/>
      <c r="K870" s="7"/>
      <c r="L870" s="7"/>
      <c r="M870" s="7"/>
      <c r="N870" s="7"/>
      <c r="O870" s="5"/>
      <c r="P870" s="7"/>
      <c r="R870" s="5"/>
    </row>
    <row r="871">
      <c r="E871" s="5"/>
      <c r="H871" s="5"/>
      <c r="I871" s="5"/>
      <c r="J871" s="7"/>
      <c r="K871" s="7"/>
      <c r="L871" s="7"/>
      <c r="M871" s="7"/>
      <c r="N871" s="7"/>
      <c r="O871" s="5"/>
      <c r="P871" s="7"/>
      <c r="R871" s="5"/>
    </row>
    <row r="872">
      <c r="E872" s="5"/>
      <c r="H872" s="5"/>
      <c r="I872" s="5"/>
      <c r="J872" s="7"/>
      <c r="K872" s="7"/>
      <c r="L872" s="7"/>
      <c r="M872" s="7"/>
      <c r="N872" s="7"/>
      <c r="O872" s="5"/>
      <c r="P872" s="7"/>
      <c r="R872" s="5"/>
    </row>
    <row r="873">
      <c r="E873" s="5"/>
      <c r="H873" s="5"/>
      <c r="I873" s="5"/>
      <c r="J873" s="7"/>
      <c r="K873" s="7"/>
      <c r="L873" s="7"/>
      <c r="M873" s="7"/>
      <c r="N873" s="7"/>
      <c r="O873" s="5"/>
      <c r="P873" s="7"/>
      <c r="R873" s="5"/>
    </row>
    <row r="874">
      <c r="E874" s="5"/>
      <c r="H874" s="5"/>
      <c r="I874" s="5"/>
      <c r="J874" s="7"/>
      <c r="K874" s="7"/>
      <c r="L874" s="7"/>
      <c r="M874" s="7"/>
      <c r="N874" s="7"/>
      <c r="O874" s="5"/>
      <c r="P874" s="7"/>
      <c r="R874" s="5"/>
    </row>
    <row r="875">
      <c r="E875" s="5"/>
      <c r="H875" s="5"/>
      <c r="I875" s="5"/>
      <c r="J875" s="7"/>
      <c r="K875" s="7"/>
      <c r="L875" s="7"/>
      <c r="M875" s="7"/>
      <c r="N875" s="7"/>
      <c r="O875" s="5"/>
      <c r="P875" s="7"/>
      <c r="R875" s="5"/>
    </row>
    <row r="876">
      <c r="E876" s="5"/>
      <c r="H876" s="5"/>
      <c r="I876" s="5"/>
      <c r="J876" s="7"/>
      <c r="K876" s="7"/>
      <c r="L876" s="7"/>
      <c r="M876" s="7"/>
      <c r="N876" s="7"/>
      <c r="O876" s="5"/>
      <c r="P876" s="7"/>
      <c r="R876" s="5"/>
    </row>
    <row r="877">
      <c r="E877" s="5"/>
      <c r="H877" s="5"/>
      <c r="I877" s="5"/>
      <c r="J877" s="7"/>
      <c r="K877" s="7"/>
      <c r="L877" s="7"/>
      <c r="M877" s="7"/>
      <c r="N877" s="7"/>
      <c r="O877" s="5"/>
      <c r="P877" s="7"/>
      <c r="R877" s="5"/>
    </row>
    <row r="878">
      <c r="E878" s="5"/>
      <c r="H878" s="5"/>
      <c r="I878" s="5"/>
      <c r="J878" s="7"/>
      <c r="K878" s="7"/>
      <c r="L878" s="7"/>
      <c r="M878" s="7"/>
      <c r="N878" s="7"/>
      <c r="O878" s="5"/>
      <c r="P878" s="7"/>
      <c r="R878" s="5"/>
    </row>
    <row r="879">
      <c r="E879" s="5"/>
      <c r="H879" s="5"/>
      <c r="I879" s="5"/>
      <c r="J879" s="7"/>
      <c r="K879" s="7"/>
      <c r="L879" s="7"/>
      <c r="M879" s="7"/>
      <c r="N879" s="7"/>
      <c r="O879" s="5"/>
      <c r="P879" s="7"/>
      <c r="R879" s="5"/>
    </row>
    <row r="880">
      <c r="E880" s="5"/>
      <c r="H880" s="5"/>
      <c r="I880" s="5"/>
      <c r="J880" s="7"/>
      <c r="K880" s="7"/>
      <c r="L880" s="7"/>
      <c r="M880" s="7"/>
      <c r="N880" s="7"/>
      <c r="O880" s="5"/>
      <c r="P880" s="7"/>
      <c r="R880" s="5"/>
    </row>
    <row r="881">
      <c r="E881" s="5"/>
      <c r="H881" s="5"/>
      <c r="I881" s="5"/>
      <c r="J881" s="7"/>
      <c r="K881" s="7"/>
      <c r="L881" s="7"/>
      <c r="M881" s="7"/>
      <c r="N881" s="7"/>
      <c r="O881" s="5"/>
      <c r="P881" s="7"/>
      <c r="R881" s="5"/>
    </row>
    <row r="882">
      <c r="E882" s="5"/>
      <c r="H882" s="5"/>
      <c r="I882" s="5"/>
      <c r="J882" s="7"/>
      <c r="K882" s="7"/>
      <c r="L882" s="7"/>
      <c r="M882" s="7"/>
      <c r="N882" s="7"/>
      <c r="O882" s="5"/>
      <c r="P882" s="7"/>
      <c r="R882" s="5"/>
    </row>
    <row r="883">
      <c r="E883" s="5"/>
      <c r="H883" s="5"/>
      <c r="I883" s="5"/>
      <c r="J883" s="7"/>
      <c r="K883" s="7"/>
      <c r="L883" s="7"/>
      <c r="M883" s="7"/>
      <c r="N883" s="7"/>
      <c r="O883" s="5"/>
      <c r="P883" s="7"/>
      <c r="R883" s="5"/>
    </row>
    <row r="884">
      <c r="E884" s="5"/>
      <c r="H884" s="5"/>
      <c r="I884" s="5"/>
      <c r="J884" s="7"/>
      <c r="K884" s="7"/>
      <c r="L884" s="7"/>
      <c r="M884" s="7"/>
      <c r="N884" s="7"/>
      <c r="O884" s="5"/>
      <c r="P884" s="7"/>
      <c r="R884" s="5"/>
    </row>
    <row r="885">
      <c r="E885" s="5"/>
      <c r="H885" s="5"/>
      <c r="I885" s="5"/>
      <c r="J885" s="7"/>
      <c r="K885" s="7"/>
      <c r="L885" s="7"/>
      <c r="M885" s="7"/>
      <c r="N885" s="7"/>
      <c r="O885" s="5"/>
      <c r="P885" s="7"/>
      <c r="R885" s="5"/>
    </row>
    <row r="886">
      <c r="E886" s="5"/>
      <c r="H886" s="5"/>
      <c r="I886" s="5"/>
      <c r="J886" s="7"/>
      <c r="K886" s="7"/>
      <c r="L886" s="7"/>
      <c r="M886" s="7"/>
      <c r="N886" s="7"/>
      <c r="O886" s="5"/>
      <c r="P886" s="7"/>
      <c r="R886" s="5"/>
    </row>
    <row r="887">
      <c r="E887" s="5"/>
      <c r="H887" s="5"/>
      <c r="I887" s="5"/>
      <c r="J887" s="7"/>
      <c r="K887" s="7"/>
      <c r="L887" s="7"/>
      <c r="M887" s="7"/>
      <c r="N887" s="7"/>
      <c r="O887" s="5"/>
      <c r="P887" s="7"/>
      <c r="R887" s="5"/>
    </row>
    <row r="888">
      <c r="E888" s="5"/>
      <c r="H888" s="5"/>
      <c r="I888" s="5"/>
      <c r="J888" s="7"/>
      <c r="K888" s="7"/>
      <c r="L888" s="7"/>
      <c r="M888" s="7"/>
      <c r="N888" s="7"/>
      <c r="O888" s="5"/>
      <c r="P888" s="7"/>
      <c r="R888" s="5"/>
    </row>
    <row r="889">
      <c r="E889" s="5"/>
      <c r="H889" s="5"/>
      <c r="I889" s="5"/>
      <c r="J889" s="7"/>
      <c r="K889" s="7"/>
      <c r="L889" s="7"/>
      <c r="M889" s="7"/>
      <c r="N889" s="7"/>
      <c r="O889" s="5"/>
      <c r="P889" s="7"/>
      <c r="R889" s="5"/>
    </row>
    <row r="890">
      <c r="E890" s="5"/>
      <c r="H890" s="5"/>
      <c r="I890" s="5"/>
      <c r="J890" s="7"/>
      <c r="K890" s="7"/>
      <c r="L890" s="7"/>
      <c r="M890" s="7"/>
      <c r="N890" s="7"/>
      <c r="O890" s="5"/>
      <c r="P890" s="7"/>
      <c r="R890" s="5"/>
    </row>
    <row r="891">
      <c r="E891" s="5"/>
      <c r="H891" s="5"/>
      <c r="I891" s="5"/>
      <c r="J891" s="7"/>
      <c r="K891" s="7"/>
      <c r="L891" s="7"/>
      <c r="M891" s="7"/>
      <c r="N891" s="7"/>
      <c r="O891" s="5"/>
      <c r="P891" s="7"/>
      <c r="R891" s="5"/>
    </row>
    <row r="892">
      <c r="E892" s="5"/>
      <c r="H892" s="5"/>
      <c r="I892" s="5"/>
      <c r="J892" s="7"/>
      <c r="K892" s="7"/>
      <c r="L892" s="7"/>
      <c r="M892" s="7"/>
      <c r="N892" s="7"/>
      <c r="O892" s="5"/>
      <c r="P892" s="7"/>
      <c r="R892" s="5"/>
    </row>
    <row r="893">
      <c r="E893" s="5"/>
      <c r="H893" s="5"/>
      <c r="I893" s="5"/>
      <c r="J893" s="7"/>
      <c r="K893" s="7"/>
      <c r="L893" s="7"/>
      <c r="M893" s="7"/>
      <c r="N893" s="7"/>
      <c r="O893" s="5"/>
      <c r="P893" s="7"/>
      <c r="R893" s="5"/>
    </row>
    <row r="894">
      <c r="E894" s="5"/>
      <c r="H894" s="5"/>
      <c r="I894" s="5"/>
      <c r="J894" s="7"/>
      <c r="K894" s="7"/>
      <c r="L894" s="7"/>
      <c r="M894" s="7"/>
      <c r="N894" s="7"/>
      <c r="O894" s="5"/>
      <c r="P894" s="7"/>
      <c r="R894" s="5"/>
    </row>
    <row r="895">
      <c r="E895" s="5"/>
      <c r="H895" s="5"/>
      <c r="I895" s="5"/>
      <c r="J895" s="7"/>
      <c r="K895" s="7"/>
      <c r="L895" s="7"/>
      <c r="M895" s="7"/>
      <c r="N895" s="7"/>
      <c r="O895" s="5"/>
      <c r="P895" s="7"/>
      <c r="R895" s="5"/>
    </row>
    <row r="896">
      <c r="E896" s="5"/>
      <c r="H896" s="5"/>
      <c r="I896" s="5"/>
      <c r="J896" s="7"/>
      <c r="K896" s="7"/>
      <c r="L896" s="7"/>
      <c r="M896" s="7"/>
      <c r="N896" s="7"/>
      <c r="O896" s="5"/>
      <c r="P896" s="7"/>
      <c r="R896" s="5"/>
    </row>
    <row r="897">
      <c r="E897" s="5"/>
      <c r="H897" s="5"/>
      <c r="I897" s="5"/>
      <c r="J897" s="7"/>
      <c r="K897" s="7"/>
      <c r="L897" s="7"/>
      <c r="M897" s="7"/>
      <c r="N897" s="7"/>
      <c r="O897" s="5"/>
      <c r="P897" s="7"/>
      <c r="R897" s="5"/>
    </row>
    <row r="898">
      <c r="E898" s="5"/>
      <c r="H898" s="5"/>
      <c r="I898" s="5"/>
      <c r="J898" s="7"/>
      <c r="K898" s="7"/>
      <c r="L898" s="7"/>
      <c r="M898" s="7"/>
      <c r="N898" s="7"/>
      <c r="O898" s="5"/>
      <c r="P898" s="7"/>
      <c r="R898" s="5"/>
    </row>
    <row r="899">
      <c r="E899" s="5"/>
      <c r="H899" s="5"/>
      <c r="I899" s="5"/>
      <c r="J899" s="7"/>
      <c r="K899" s="7"/>
      <c r="L899" s="7"/>
      <c r="M899" s="7"/>
      <c r="N899" s="7"/>
      <c r="O899" s="5"/>
      <c r="P899" s="7"/>
      <c r="R899" s="5"/>
    </row>
    <row r="900">
      <c r="E900" s="5"/>
      <c r="H900" s="5"/>
      <c r="I900" s="5"/>
      <c r="J900" s="7"/>
      <c r="K900" s="7"/>
      <c r="L900" s="7"/>
      <c r="M900" s="7"/>
      <c r="N900" s="7"/>
      <c r="O900" s="5"/>
      <c r="P900" s="7"/>
      <c r="R900" s="5"/>
    </row>
    <row r="901">
      <c r="E901" s="5"/>
      <c r="H901" s="5"/>
      <c r="I901" s="5"/>
      <c r="J901" s="7"/>
      <c r="K901" s="7"/>
      <c r="L901" s="7"/>
      <c r="M901" s="7"/>
      <c r="N901" s="7"/>
      <c r="O901" s="5"/>
      <c r="P901" s="7"/>
      <c r="R901" s="5"/>
    </row>
    <row r="902">
      <c r="E902" s="5"/>
      <c r="H902" s="5"/>
      <c r="I902" s="5"/>
      <c r="J902" s="7"/>
      <c r="K902" s="7"/>
      <c r="L902" s="7"/>
      <c r="M902" s="7"/>
      <c r="N902" s="7"/>
      <c r="O902" s="5"/>
      <c r="P902" s="7"/>
      <c r="R902" s="5"/>
    </row>
    <row r="903">
      <c r="E903" s="5"/>
      <c r="H903" s="5"/>
      <c r="I903" s="5"/>
      <c r="J903" s="7"/>
      <c r="K903" s="7"/>
      <c r="L903" s="7"/>
      <c r="M903" s="7"/>
      <c r="N903" s="7"/>
      <c r="O903" s="5"/>
      <c r="P903" s="7"/>
      <c r="R903" s="5"/>
    </row>
    <row r="904">
      <c r="E904" s="5"/>
      <c r="H904" s="5"/>
      <c r="I904" s="5"/>
      <c r="J904" s="7"/>
      <c r="K904" s="7"/>
      <c r="L904" s="7"/>
      <c r="M904" s="7"/>
      <c r="N904" s="7"/>
      <c r="O904" s="5"/>
      <c r="P904" s="7"/>
      <c r="R904" s="5"/>
    </row>
    <row r="905">
      <c r="E905" s="5"/>
      <c r="H905" s="5"/>
      <c r="I905" s="5"/>
      <c r="J905" s="7"/>
      <c r="K905" s="7"/>
      <c r="L905" s="7"/>
      <c r="M905" s="7"/>
      <c r="N905" s="7"/>
      <c r="O905" s="5"/>
      <c r="P905" s="7"/>
      <c r="R905" s="5"/>
    </row>
    <row r="906">
      <c r="E906" s="5"/>
      <c r="H906" s="5"/>
      <c r="I906" s="5"/>
      <c r="J906" s="7"/>
      <c r="K906" s="7"/>
      <c r="L906" s="7"/>
      <c r="M906" s="7"/>
      <c r="N906" s="7"/>
      <c r="O906" s="5"/>
      <c r="P906" s="7"/>
      <c r="R906" s="5"/>
    </row>
    <row r="907">
      <c r="E907" s="5"/>
      <c r="H907" s="5"/>
      <c r="I907" s="5"/>
      <c r="J907" s="7"/>
      <c r="K907" s="7"/>
      <c r="L907" s="7"/>
      <c r="M907" s="7"/>
      <c r="N907" s="7"/>
      <c r="O907" s="5"/>
      <c r="P907" s="7"/>
      <c r="R907" s="5"/>
    </row>
    <row r="908">
      <c r="E908" s="5"/>
      <c r="H908" s="5"/>
      <c r="I908" s="5"/>
      <c r="J908" s="7"/>
      <c r="K908" s="7"/>
      <c r="L908" s="7"/>
      <c r="M908" s="7"/>
      <c r="N908" s="7"/>
      <c r="O908" s="5"/>
      <c r="P908" s="7"/>
      <c r="R908" s="5"/>
    </row>
    <row r="909">
      <c r="E909" s="5"/>
      <c r="H909" s="5"/>
      <c r="I909" s="5"/>
      <c r="J909" s="7"/>
      <c r="K909" s="7"/>
      <c r="L909" s="7"/>
      <c r="M909" s="7"/>
      <c r="N909" s="7"/>
      <c r="O909" s="5"/>
      <c r="P909" s="7"/>
      <c r="R909" s="5"/>
    </row>
    <row r="910">
      <c r="E910" s="5"/>
      <c r="H910" s="5"/>
      <c r="I910" s="5"/>
      <c r="J910" s="7"/>
      <c r="K910" s="7"/>
      <c r="L910" s="7"/>
      <c r="M910" s="7"/>
      <c r="N910" s="7"/>
      <c r="O910" s="5"/>
      <c r="P910" s="7"/>
      <c r="R910" s="5"/>
    </row>
    <row r="911">
      <c r="E911" s="5"/>
      <c r="H911" s="5"/>
      <c r="I911" s="5"/>
      <c r="J911" s="7"/>
      <c r="K911" s="7"/>
      <c r="L911" s="7"/>
      <c r="M911" s="7"/>
      <c r="N911" s="7"/>
      <c r="O911" s="5"/>
      <c r="P911" s="7"/>
      <c r="R911" s="5"/>
    </row>
    <row r="912">
      <c r="E912" s="5"/>
      <c r="H912" s="5"/>
      <c r="I912" s="5"/>
      <c r="J912" s="7"/>
      <c r="K912" s="7"/>
      <c r="L912" s="7"/>
      <c r="M912" s="7"/>
      <c r="N912" s="7"/>
      <c r="O912" s="5"/>
      <c r="P912" s="7"/>
      <c r="R912" s="5"/>
    </row>
    <row r="913">
      <c r="E913" s="5"/>
      <c r="H913" s="5"/>
      <c r="I913" s="5"/>
      <c r="J913" s="7"/>
      <c r="K913" s="7"/>
      <c r="L913" s="7"/>
      <c r="M913" s="7"/>
      <c r="N913" s="7"/>
      <c r="O913" s="5"/>
      <c r="P913" s="7"/>
      <c r="R913" s="5"/>
    </row>
    <row r="914">
      <c r="E914" s="5"/>
      <c r="H914" s="5"/>
      <c r="I914" s="5"/>
      <c r="J914" s="7"/>
      <c r="K914" s="7"/>
      <c r="L914" s="7"/>
      <c r="M914" s="7"/>
      <c r="N914" s="7"/>
      <c r="O914" s="5"/>
      <c r="P914" s="7"/>
      <c r="R914" s="5"/>
    </row>
    <row r="915">
      <c r="E915" s="5"/>
      <c r="H915" s="5"/>
      <c r="I915" s="5"/>
      <c r="J915" s="7"/>
      <c r="K915" s="7"/>
      <c r="L915" s="7"/>
      <c r="M915" s="7"/>
      <c r="N915" s="7"/>
      <c r="O915" s="5"/>
      <c r="P915" s="7"/>
      <c r="R915" s="5"/>
    </row>
    <row r="916">
      <c r="E916" s="5"/>
      <c r="H916" s="5"/>
      <c r="I916" s="5"/>
      <c r="J916" s="7"/>
      <c r="K916" s="7"/>
      <c r="L916" s="7"/>
      <c r="M916" s="7"/>
      <c r="N916" s="7"/>
      <c r="O916" s="5"/>
      <c r="P916" s="7"/>
      <c r="R916" s="5"/>
    </row>
    <row r="917">
      <c r="E917" s="5"/>
      <c r="H917" s="5"/>
      <c r="I917" s="5"/>
      <c r="J917" s="7"/>
      <c r="K917" s="7"/>
      <c r="L917" s="7"/>
      <c r="M917" s="7"/>
      <c r="N917" s="7"/>
      <c r="O917" s="5"/>
      <c r="P917" s="7"/>
      <c r="R917" s="5"/>
    </row>
    <row r="918">
      <c r="E918" s="5"/>
      <c r="H918" s="5"/>
      <c r="I918" s="5"/>
      <c r="J918" s="7"/>
      <c r="K918" s="7"/>
      <c r="L918" s="7"/>
      <c r="M918" s="7"/>
      <c r="N918" s="7"/>
      <c r="O918" s="5"/>
      <c r="P918" s="7"/>
      <c r="R918" s="5"/>
    </row>
    <row r="919">
      <c r="E919" s="5"/>
      <c r="H919" s="5"/>
      <c r="I919" s="5"/>
      <c r="J919" s="7"/>
      <c r="K919" s="7"/>
      <c r="L919" s="7"/>
      <c r="M919" s="7"/>
      <c r="N919" s="7"/>
      <c r="O919" s="5"/>
      <c r="P919" s="7"/>
      <c r="R919" s="5"/>
    </row>
    <row r="920">
      <c r="E920" s="5"/>
      <c r="H920" s="5"/>
      <c r="I920" s="5"/>
      <c r="J920" s="7"/>
      <c r="K920" s="7"/>
      <c r="L920" s="7"/>
      <c r="M920" s="7"/>
      <c r="N920" s="7"/>
      <c r="O920" s="5"/>
      <c r="P920" s="7"/>
      <c r="R920" s="5"/>
    </row>
    <row r="921">
      <c r="E921" s="5"/>
      <c r="H921" s="5"/>
      <c r="I921" s="5"/>
      <c r="J921" s="7"/>
      <c r="K921" s="7"/>
      <c r="L921" s="7"/>
      <c r="M921" s="7"/>
      <c r="N921" s="7"/>
      <c r="O921" s="5"/>
      <c r="P921" s="7"/>
      <c r="R921" s="5"/>
    </row>
    <row r="922">
      <c r="E922" s="5"/>
      <c r="H922" s="5"/>
      <c r="I922" s="5"/>
      <c r="J922" s="7"/>
      <c r="K922" s="7"/>
      <c r="L922" s="7"/>
      <c r="M922" s="7"/>
      <c r="N922" s="7"/>
      <c r="O922" s="5"/>
      <c r="P922" s="7"/>
      <c r="R922" s="5"/>
    </row>
    <row r="923">
      <c r="E923" s="5"/>
      <c r="H923" s="5"/>
      <c r="I923" s="5"/>
      <c r="J923" s="7"/>
      <c r="K923" s="7"/>
      <c r="L923" s="7"/>
      <c r="M923" s="7"/>
      <c r="N923" s="7"/>
      <c r="O923" s="5"/>
      <c r="P923" s="7"/>
      <c r="R923" s="5"/>
    </row>
    <row r="924">
      <c r="E924" s="5"/>
      <c r="H924" s="5"/>
      <c r="I924" s="5"/>
      <c r="J924" s="7"/>
      <c r="K924" s="7"/>
      <c r="L924" s="7"/>
      <c r="M924" s="7"/>
      <c r="N924" s="7"/>
      <c r="O924" s="5"/>
      <c r="P924" s="7"/>
      <c r="R924" s="5"/>
    </row>
    <row r="925">
      <c r="E925" s="5"/>
      <c r="H925" s="5"/>
      <c r="I925" s="5"/>
      <c r="J925" s="7"/>
      <c r="K925" s="7"/>
      <c r="L925" s="7"/>
      <c r="M925" s="7"/>
      <c r="N925" s="7"/>
      <c r="O925" s="5"/>
      <c r="P925" s="7"/>
      <c r="R925" s="5"/>
    </row>
    <row r="926">
      <c r="E926" s="5"/>
      <c r="H926" s="5"/>
      <c r="I926" s="5"/>
      <c r="J926" s="7"/>
      <c r="K926" s="7"/>
      <c r="L926" s="7"/>
      <c r="M926" s="7"/>
      <c r="N926" s="7"/>
      <c r="O926" s="5"/>
      <c r="P926" s="7"/>
      <c r="R926" s="5"/>
    </row>
    <row r="927">
      <c r="E927" s="5"/>
      <c r="H927" s="5"/>
      <c r="I927" s="5"/>
      <c r="J927" s="7"/>
      <c r="K927" s="7"/>
      <c r="L927" s="7"/>
      <c r="M927" s="7"/>
      <c r="N927" s="7"/>
      <c r="O927" s="5"/>
      <c r="P927" s="7"/>
      <c r="R927" s="5"/>
    </row>
    <row r="928">
      <c r="E928" s="5"/>
      <c r="H928" s="5"/>
      <c r="I928" s="5"/>
      <c r="J928" s="7"/>
      <c r="K928" s="7"/>
      <c r="L928" s="7"/>
      <c r="M928" s="7"/>
      <c r="N928" s="7"/>
      <c r="O928" s="5"/>
      <c r="P928" s="7"/>
      <c r="R928" s="5"/>
    </row>
    <row r="929">
      <c r="E929" s="5"/>
      <c r="H929" s="5"/>
      <c r="I929" s="5"/>
      <c r="J929" s="7"/>
      <c r="K929" s="7"/>
      <c r="L929" s="7"/>
      <c r="M929" s="7"/>
      <c r="N929" s="7"/>
      <c r="O929" s="5"/>
      <c r="P929" s="7"/>
      <c r="R929" s="5"/>
    </row>
    <row r="930">
      <c r="E930" s="5"/>
      <c r="H930" s="5"/>
      <c r="I930" s="5"/>
      <c r="J930" s="7"/>
      <c r="K930" s="7"/>
      <c r="L930" s="7"/>
      <c r="M930" s="7"/>
      <c r="N930" s="7"/>
      <c r="O930" s="5"/>
      <c r="P930" s="7"/>
      <c r="R930" s="5"/>
    </row>
    <row r="931">
      <c r="E931" s="5"/>
      <c r="H931" s="5"/>
      <c r="I931" s="5"/>
      <c r="J931" s="7"/>
      <c r="K931" s="7"/>
      <c r="L931" s="7"/>
      <c r="M931" s="7"/>
      <c r="N931" s="7"/>
      <c r="O931" s="5"/>
      <c r="P931" s="7"/>
      <c r="R931" s="5"/>
    </row>
    <row r="932">
      <c r="E932" s="5"/>
      <c r="H932" s="5"/>
      <c r="I932" s="5"/>
      <c r="J932" s="7"/>
      <c r="K932" s="7"/>
      <c r="L932" s="7"/>
      <c r="M932" s="7"/>
      <c r="N932" s="7"/>
      <c r="O932" s="5"/>
      <c r="P932" s="7"/>
      <c r="R932" s="5"/>
    </row>
    <row r="933">
      <c r="E933" s="5"/>
      <c r="H933" s="5"/>
      <c r="I933" s="5"/>
      <c r="J933" s="7"/>
      <c r="K933" s="7"/>
      <c r="L933" s="7"/>
      <c r="M933" s="7"/>
      <c r="N933" s="7"/>
      <c r="O933" s="5"/>
      <c r="P933" s="7"/>
      <c r="R933" s="5"/>
    </row>
    <row r="934">
      <c r="E934" s="5"/>
      <c r="H934" s="5"/>
      <c r="I934" s="5"/>
      <c r="J934" s="7"/>
      <c r="K934" s="7"/>
      <c r="L934" s="7"/>
      <c r="M934" s="7"/>
      <c r="N934" s="7"/>
      <c r="O934" s="5"/>
      <c r="P934" s="7"/>
      <c r="R934" s="5"/>
    </row>
    <row r="935">
      <c r="E935" s="5"/>
      <c r="H935" s="5"/>
      <c r="I935" s="5"/>
      <c r="J935" s="7"/>
      <c r="K935" s="7"/>
      <c r="L935" s="7"/>
      <c r="M935" s="7"/>
      <c r="N935" s="7"/>
      <c r="O935" s="5"/>
      <c r="P935" s="7"/>
      <c r="R935" s="5"/>
    </row>
    <row r="936">
      <c r="E936" s="5"/>
      <c r="H936" s="5"/>
      <c r="I936" s="5"/>
      <c r="J936" s="7"/>
      <c r="K936" s="7"/>
      <c r="L936" s="7"/>
      <c r="M936" s="7"/>
      <c r="N936" s="7"/>
      <c r="O936" s="5"/>
      <c r="P936" s="7"/>
      <c r="R936" s="5"/>
    </row>
    <row r="937">
      <c r="E937" s="5"/>
      <c r="H937" s="5"/>
      <c r="I937" s="5"/>
      <c r="J937" s="7"/>
      <c r="K937" s="7"/>
      <c r="L937" s="7"/>
      <c r="M937" s="7"/>
      <c r="N937" s="7"/>
      <c r="O937" s="5"/>
      <c r="P937" s="7"/>
      <c r="R937" s="5"/>
    </row>
    <row r="938">
      <c r="E938" s="5"/>
      <c r="H938" s="5"/>
      <c r="I938" s="5"/>
      <c r="J938" s="7"/>
      <c r="K938" s="7"/>
      <c r="L938" s="7"/>
      <c r="M938" s="7"/>
      <c r="N938" s="7"/>
      <c r="O938" s="5"/>
      <c r="P938" s="7"/>
      <c r="R938" s="5"/>
    </row>
    <row r="939">
      <c r="E939" s="5"/>
      <c r="H939" s="5"/>
      <c r="I939" s="5"/>
      <c r="J939" s="7"/>
      <c r="K939" s="7"/>
      <c r="L939" s="7"/>
      <c r="M939" s="7"/>
      <c r="N939" s="7"/>
      <c r="O939" s="5"/>
      <c r="P939" s="7"/>
      <c r="R939" s="5"/>
    </row>
    <row r="940">
      <c r="E940" s="5"/>
      <c r="H940" s="5"/>
      <c r="I940" s="5"/>
      <c r="J940" s="7"/>
      <c r="K940" s="7"/>
      <c r="L940" s="7"/>
      <c r="M940" s="7"/>
      <c r="N940" s="7"/>
      <c r="O940" s="5"/>
      <c r="P940" s="7"/>
      <c r="R940" s="5"/>
    </row>
    <row r="941">
      <c r="E941" s="5"/>
      <c r="H941" s="5"/>
      <c r="I941" s="5"/>
      <c r="J941" s="7"/>
      <c r="K941" s="7"/>
      <c r="L941" s="7"/>
      <c r="M941" s="7"/>
      <c r="N941" s="7"/>
      <c r="O941" s="5"/>
      <c r="P941" s="7"/>
      <c r="R941" s="5"/>
    </row>
    <row r="942">
      <c r="E942" s="5"/>
      <c r="H942" s="5"/>
      <c r="I942" s="5"/>
      <c r="J942" s="7"/>
      <c r="K942" s="7"/>
      <c r="L942" s="7"/>
      <c r="M942" s="7"/>
      <c r="N942" s="7"/>
      <c r="O942" s="5"/>
      <c r="P942" s="7"/>
      <c r="R942" s="5"/>
    </row>
    <row r="943">
      <c r="E943" s="5"/>
      <c r="H943" s="5"/>
      <c r="I943" s="5"/>
      <c r="J943" s="7"/>
      <c r="K943" s="7"/>
      <c r="L943" s="7"/>
      <c r="M943" s="7"/>
      <c r="N943" s="7"/>
      <c r="O943" s="5"/>
      <c r="P943" s="7"/>
      <c r="R943" s="5"/>
    </row>
    <row r="944">
      <c r="E944" s="5"/>
      <c r="H944" s="5"/>
      <c r="I944" s="5"/>
      <c r="J944" s="7"/>
      <c r="K944" s="7"/>
      <c r="L944" s="7"/>
      <c r="M944" s="7"/>
      <c r="N944" s="7"/>
      <c r="O944" s="5"/>
      <c r="P944" s="7"/>
      <c r="R944" s="5"/>
    </row>
    <row r="945">
      <c r="E945" s="5"/>
      <c r="H945" s="5"/>
      <c r="I945" s="5"/>
      <c r="J945" s="7"/>
      <c r="K945" s="7"/>
      <c r="L945" s="7"/>
      <c r="M945" s="7"/>
      <c r="N945" s="7"/>
      <c r="O945" s="5"/>
      <c r="P945" s="7"/>
      <c r="R945" s="5"/>
    </row>
    <row r="946">
      <c r="E946" s="5"/>
      <c r="H946" s="5"/>
      <c r="I946" s="5"/>
      <c r="J946" s="7"/>
      <c r="K946" s="7"/>
      <c r="L946" s="7"/>
      <c r="M946" s="7"/>
      <c r="N946" s="7"/>
      <c r="O946" s="5"/>
      <c r="P946" s="7"/>
      <c r="R946" s="5"/>
    </row>
    <row r="947">
      <c r="E947" s="5"/>
      <c r="H947" s="5"/>
      <c r="I947" s="5"/>
      <c r="J947" s="7"/>
      <c r="K947" s="7"/>
      <c r="L947" s="7"/>
      <c r="M947" s="7"/>
      <c r="N947" s="7"/>
      <c r="O947" s="5"/>
      <c r="P947" s="7"/>
      <c r="R947" s="5"/>
    </row>
    <row r="948">
      <c r="E948" s="5"/>
      <c r="H948" s="5"/>
      <c r="I948" s="5"/>
      <c r="J948" s="7"/>
      <c r="K948" s="7"/>
      <c r="L948" s="7"/>
      <c r="M948" s="7"/>
      <c r="N948" s="7"/>
      <c r="O948" s="5"/>
      <c r="P948" s="7"/>
      <c r="R948" s="5"/>
    </row>
    <row r="949">
      <c r="E949" s="5"/>
      <c r="H949" s="5"/>
      <c r="I949" s="5"/>
      <c r="J949" s="7"/>
      <c r="K949" s="7"/>
      <c r="L949" s="7"/>
      <c r="M949" s="7"/>
      <c r="N949" s="7"/>
      <c r="O949" s="5"/>
      <c r="P949" s="7"/>
      <c r="R949" s="5"/>
    </row>
    <row r="950">
      <c r="E950" s="5"/>
      <c r="H950" s="5"/>
      <c r="I950" s="5"/>
      <c r="J950" s="7"/>
      <c r="K950" s="7"/>
      <c r="L950" s="7"/>
      <c r="M950" s="7"/>
      <c r="N950" s="7"/>
      <c r="O950" s="5"/>
      <c r="P950" s="7"/>
      <c r="R950" s="5"/>
    </row>
    <row r="951">
      <c r="E951" s="5"/>
      <c r="H951" s="5"/>
      <c r="I951" s="5"/>
      <c r="J951" s="7"/>
      <c r="K951" s="7"/>
      <c r="L951" s="7"/>
      <c r="M951" s="7"/>
      <c r="N951" s="7"/>
      <c r="O951" s="5"/>
      <c r="P951" s="7"/>
      <c r="R951" s="5"/>
    </row>
    <row r="952">
      <c r="E952" s="5"/>
      <c r="H952" s="5"/>
      <c r="I952" s="5"/>
      <c r="J952" s="7"/>
      <c r="K952" s="7"/>
      <c r="L952" s="7"/>
      <c r="M952" s="7"/>
      <c r="N952" s="7"/>
      <c r="O952" s="5"/>
      <c r="P952" s="7"/>
      <c r="R952" s="5"/>
    </row>
    <row r="953">
      <c r="E953" s="5"/>
      <c r="H953" s="5"/>
      <c r="I953" s="5"/>
      <c r="J953" s="7"/>
      <c r="K953" s="7"/>
      <c r="L953" s="7"/>
      <c r="M953" s="7"/>
      <c r="N953" s="7"/>
      <c r="O953" s="5"/>
      <c r="P953" s="7"/>
      <c r="R953" s="5"/>
    </row>
    <row r="954">
      <c r="E954" s="5"/>
      <c r="H954" s="5"/>
      <c r="I954" s="5"/>
      <c r="J954" s="7"/>
      <c r="K954" s="7"/>
      <c r="L954" s="7"/>
      <c r="M954" s="7"/>
      <c r="N954" s="7"/>
      <c r="O954" s="5"/>
      <c r="P954" s="7"/>
      <c r="R954" s="5"/>
    </row>
    <row r="955">
      <c r="E955" s="5"/>
      <c r="H955" s="5"/>
      <c r="I955" s="5"/>
      <c r="J955" s="7"/>
      <c r="K955" s="7"/>
      <c r="L955" s="7"/>
      <c r="M955" s="7"/>
      <c r="N955" s="7"/>
      <c r="O955" s="5"/>
      <c r="P955" s="7"/>
      <c r="R955" s="5"/>
    </row>
    <row r="956">
      <c r="E956" s="5"/>
      <c r="H956" s="5"/>
      <c r="I956" s="5"/>
      <c r="J956" s="7"/>
      <c r="K956" s="7"/>
      <c r="L956" s="7"/>
      <c r="M956" s="7"/>
      <c r="N956" s="7"/>
      <c r="O956" s="5"/>
      <c r="P956" s="7"/>
      <c r="R956" s="5"/>
    </row>
    <row r="957">
      <c r="E957" s="5"/>
      <c r="H957" s="5"/>
      <c r="I957" s="5"/>
      <c r="J957" s="7"/>
      <c r="K957" s="7"/>
      <c r="L957" s="7"/>
      <c r="M957" s="7"/>
      <c r="N957" s="7"/>
      <c r="O957" s="5"/>
      <c r="P957" s="7"/>
      <c r="R957" s="5"/>
    </row>
    <row r="958">
      <c r="E958" s="5"/>
      <c r="H958" s="5"/>
      <c r="I958" s="5"/>
      <c r="J958" s="7"/>
      <c r="K958" s="7"/>
      <c r="L958" s="7"/>
      <c r="M958" s="7"/>
      <c r="N958" s="7"/>
      <c r="O958" s="5"/>
      <c r="P958" s="7"/>
      <c r="R958" s="5"/>
    </row>
    <row r="959">
      <c r="E959" s="5"/>
      <c r="H959" s="5"/>
      <c r="I959" s="5"/>
      <c r="J959" s="7"/>
      <c r="K959" s="7"/>
      <c r="L959" s="7"/>
      <c r="M959" s="7"/>
      <c r="N959" s="7"/>
      <c r="O959" s="5"/>
      <c r="P959" s="7"/>
      <c r="R959" s="5"/>
    </row>
    <row r="960">
      <c r="E960" s="5"/>
      <c r="H960" s="5"/>
      <c r="I960" s="5"/>
      <c r="J960" s="7"/>
      <c r="K960" s="7"/>
      <c r="L960" s="7"/>
      <c r="M960" s="7"/>
      <c r="N960" s="7"/>
      <c r="O960" s="5"/>
      <c r="P960" s="7"/>
      <c r="R960" s="5"/>
    </row>
    <row r="961">
      <c r="E961" s="5"/>
      <c r="H961" s="5"/>
      <c r="I961" s="5"/>
      <c r="J961" s="7"/>
      <c r="K961" s="7"/>
      <c r="L961" s="7"/>
      <c r="M961" s="7"/>
      <c r="N961" s="7"/>
      <c r="O961" s="5"/>
      <c r="P961" s="7"/>
      <c r="R961" s="5"/>
    </row>
    <row r="962">
      <c r="E962" s="5"/>
      <c r="H962" s="5"/>
      <c r="I962" s="5"/>
      <c r="J962" s="7"/>
      <c r="K962" s="7"/>
      <c r="L962" s="7"/>
      <c r="M962" s="7"/>
      <c r="N962" s="7"/>
      <c r="O962" s="5"/>
      <c r="P962" s="7"/>
      <c r="R962" s="5"/>
    </row>
    <row r="963">
      <c r="E963" s="5"/>
      <c r="H963" s="5"/>
      <c r="I963" s="5"/>
      <c r="J963" s="7"/>
      <c r="K963" s="7"/>
      <c r="L963" s="7"/>
      <c r="M963" s="7"/>
      <c r="N963" s="7"/>
      <c r="O963" s="5"/>
      <c r="P963" s="7"/>
      <c r="R963" s="5"/>
    </row>
    <row r="964">
      <c r="E964" s="5"/>
      <c r="H964" s="5"/>
      <c r="I964" s="5"/>
      <c r="J964" s="7"/>
      <c r="K964" s="7"/>
      <c r="L964" s="7"/>
      <c r="M964" s="7"/>
      <c r="N964" s="7"/>
      <c r="O964" s="5"/>
      <c r="P964" s="7"/>
      <c r="R964" s="5"/>
    </row>
    <row r="965">
      <c r="E965" s="5"/>
      <c r="H965" s="5"/>
      <c r="I965" s="5"/>
      <c r="J965" s="7"/>
      <c r="K965" s="7"/>
      <c r="L965" s="7"/>
      <c r="M965" s="7"/>
      <c r="N965" s="7"/>
      <c r="O965" s="5"/>
      <c r="P965" s="7"/>
      <c r="R965" s="5"/>
    </row>
    <row r="966">
      <c r="E966" s="5"/>
      <c r="H966" s="5"/>
      <c r="I966" s="5"/>
      <c r="J966" s="7"/>
      <c r="K966" s="7"/>
      <c r="L966" s="7"/>
      <c r="M966" s="7"/>
      <c r="N966" s="7"/>
      <c r="O966" s="5"/>
      <c r="P966" s="7"/>
      <c r="R966" s="5"/>
    </row>
    <row r="967">
      <c r="E967" s="5"/>
      <c r="H967" s="5"/>
      <c r="I967" s="5"/>
      <c r="J967" s="7"/>
      <c r="K967" s="7"/>
      <c r="L967" s="7"/>
      <c r="M967" s="7"/>
      <c r="N967" s="7"/>
      <c r="O967" s="5"/>
      <c r="P967" s="7"/>
      <c r="R967" s="5"/>
    </row>
    <row r="968">
      <c r="E968" s="5"/>
      <c r="H968" s="5"/>
      <c r="I968" s="5"/>
      <c r="J968" s="7"/>
      <c r="K968" s="7"/>
      <c r="L968" s="7"/>
      <c r="M968" s="7"/>
      <c r="N968" s="7"/>
      <c r="O968" s="5"/>
      <c r="P968" s="7"/>
      <c r="R968" s="5"/>
    </row>
    <row r="969">
      <c r="E969" s="5"/>
      <c r="H969" s="5"/>
      <c r="I969" s="5"/>
      <c r="J969" s="7"/>
      <c r="K969" s="7"/>
      <c r="L969" s="7"/>
      <c r="M969" s="7"/>
      <c r="N969" s="7"/>
      <c r="O969" s="5"/>
      <c r="P969" s="7"/>
      <c r="R969" s="5"/>
    </row>
    <row r="970">
      <c r="E970" s="5"/>
      <c r="H970" s="5"/>
      <c r="I970" s="5"/>
      <c r="J970" s="7"/>
      <c r="K970" s="7"/>
      <c r="L970" s="7"/>
      <c r="M970" s="7"/>
      <c r="N970" s="7"/>
      <c r="O970" s="5"/>
      <c r="P970" s="7"/>
      <c r="R970" s="5"/>
    </row>
    <row r="971">
      <c r="E971" s="5"/>
      <c r="H971" s="5"/>
      <c r="I971" s="5"/>
      <c r="J971" s="7"/>
      <c r="K971" s="7"/>
      <c r="L971" s="7"/>
      <c r="M971" s="7"/>
      <c r="N971" s="7"/>
      <c r="O971" s="5"/>
      <c r="P971" s="7"/>
      <c r="R971" s="5"/>
    </row>
    <row r="972">
      <c r="E972" s="5"/>
      <c r="H972" s="5"/>
      <c r="I972" s="5"/>
      <c r="J972" s="7"/>
      <c r="K972" s="7"/>
      <c r="L972" s="7"/>
      <c r="M972" s="7"/>
      <c r="N972" s="7"/>
      <c r="O972" s="5"/>
      <c r="P972" s="7"/>
      <c r="R972" s="5"/>
    </row>
    <row r="973">
      <c r="E973" s="5"/>
      <c r="H973" s="5"/>
      <c r="I973" s="5"/>
      <c r="J973" s="7"/>
      <c r="K973" s="7"/>
      <c r="L973" s="7"/>
      <c r="M973" s="7"/>
      <c r="N973" s="7"/>
      <c r="O973" s="5"/>
      <c r="P973" s="7"/>
      <c r="R973" s="5"/>
    </row>
    <row r="974">
      <c r="E974" s="5"/>
      <c r="H974" s="5"/>
      <c r="I974" s="5"/>
      <c r="J974" s="7"/>
      <c r="K974" s="7"/>
      <c r="L974" s="7"/>
      <c r="M974" s="7"/>
      <c r="N974" s="7"/>
      <c r="O974" s="5"/>
      <c r="P974" s="7"/>
      <c r="R974" s="5"/>
    </row>
    <row r="975">
      <c r="E975" s="5"/>
      <c r="H975" s="5"/>
      <c r="I975" s="5"/>
      <c r="J975" s="7"/>
      <c r="K975" s="7"/>
      <c r="L975" s="7"/>
      <c r="M975" s="7"/>
      <c r="N975" s="7"/>
      <c r="O975" s="5"/>
      <c r="P975" s="7"/>
      <c r="R975" s="5"/>
    </row>
    <row r="976">
      <c r="E976" s="5"/>
      <c r="H976" s="5"/>
      <c r="I976" s="5"/>
      <c r="J976" s="7"/>
      <c r="K976" s="7"/>
      <c r="L976" s="7"/>
      <c r="M976" s="7"/>
      <c r="N976" s="7"/>
      <c r="O976" s="5"/>
      <c r="P976" s="7"/>
      <c r="R976" s="5"/>
    </row>
    <row r="977">
      <c r="E977" s="5"/>
      <c r="H977" s="5"/>
      <c r="I977" s="5"/>
      <c r="J977" s="7"/>
      <c r="K977" s="7"/>
      <c r="L977" s="7"/>
      <c r="M977" s="7"/>
      <c r="N977" s="7"/>
      <c r="O977" s="5"/>
      <c r="P977" s="7"/>
      <c r="R977" s="5"/>
    </row>
    <row r="978">
      <c r="E978" s="5"/>
      <c r="H978" s="5"/>
      <c r="I978" s="5"/>
      <c r="J978" s="7"/>
      <c r="K978" s="7"/>
      <c r="L978" s="7"/>
      <c r="M978" s="7"/>
      <c r="N978" s="7"/>
      <c r="O978" s="5"/>
      <c r="P978" s="7"/>
      <c r="R978" s="5"/>
    </row>
    <row r="979">
      <c r="E979" s="5"/>
      <c r="H979" s="5"/>
      <c r="I979" s="5"/>
      <c r="J979" s="7"/>
      <c r="K979" s="7"/>
      <c r="L979" s="7"/>
      <c r="M979" s="7"/>
      <c r="N979" s="7"/>
      <c r="O979" s="5"/>
      <c r="P979" s="7"/>
      <c r="R979" s="5"/>
    </row>
    <row r="980">
      <c r="E980" s="5"/>
      <c r="H980" s="5"/>
      <c r="I980" s="5"/>
      <c r="J980" s="7"/>
      <c r="K980" s="7"/>
      <c r="L980" s="7"/>
      <c r="M980" s="7"/>
      <c r="N980" s="7"/>
      <c r="O980" s="5"/>
      <c r="P980" s="7"/>
      <c r="R980" s="5"/>
    </row>
    <row r="981">
      <c r="E981" s="5"/>
      <c r="H981" s="5"/>
      <c r="I981" s="5"/>
      <c r="J981" s="7"/>
      <c r="K981" s="7"/>
      <c r="L981" s="7"/>
      <c r="M981" s="7"/>
      <c r="N981" s="7"/>
      <c r="O981" s="5"/>
      <c r="P981" s="7"/>
      <c r="R981" s="5"/>
    </row>
    <row r="982">
      <c r="E982" s="5"/>
      <c r="H982" s="5"/>
      <c r="I982" s="5"/>
      <c r="J982" s="7"/>
      <c r="K982" s="7"/>
      <c r="L982" s="7"/>
      <c r="M982" s="7"/>
      <c r="N982" s="7"/>
      <c r="O982" s="5"/>
      <c r="P982" s="7"/>
      <c r="R982" s="5"/>
    </row>
    <row r="983">
      <c r="E983" s="5"/>
      <c r="H983" s="5"/>
      <c r="I983" s="5"/>
      <c r="J983" s="7"/>
      <c r="K983" s="7"/>
      <c r="L983" s="7"/>
      <c r="M983" s="7"/>
      <c r="N983" s="7"/>
      <c r="O983" s="5"/>
      <c r="P983" s="7"/>
      <c r="R983" s="5"/>
    </row>
    <row r="984">
      <c r="E984" s="5"/>
      <c r="H984" s="5"/>
      <c r="I984" s="5"/>
      <c r="J984" s="7"/>
      <c r="K984" s="7"/>
      <c r="L984" s="7"/>
      <c r="M984" s="7"/>
      <c r="N984" s="7"/>
      <c r="O984" s="5"/>
      <c r="P984" s="7"/>
      <c r="R984" s="5"/>
    </row>
    <row r="985">
      <c r="E985" s="5"/>
      <c r="H985" s="5"/>
      <c r="I985" s="5"/>
      <c r="J985" s="7"/>
      <c r="K985" s="7"/>
      <c r="L985" s="7"/>
      <c r="M985" s="7"/>
      <c r="N985" s="7"/>
      <c r="O985" s="5"/>
      <c r="P985" s="7"/>
      <c r="R985" s="5"/>
    </row>
    <row r="986">
      <c r="E986" s="5"/>
      <c r="H986" s="5"/>
      <c r="I986" s="5"/>
      <c r="J986" s="7"/>
      <c r="K986" s="7"/>
      <c r="L986" s="7"/>
      <c r="M986" s="7"/>
      <c r="N986" s="7"/>
      <c r="O986" s="5"/>
      <c r="P986" s="7"/>
      <c r="R986" s="5"/>
    </row>
    <row r="987">
      <c r="E987" s="5"/>
      <c r="H987" s="5"/>
      <c r="I987" s="5"/>
      <c r="J987" s="7"/>
      <c r="K987" s="7"/>
      <c r="L987" s="7"/>
      <c r="M987" s="7"/>
      <c r="N987" s="7"/>
      <c r="O987" s="5"/>
      <c r="P987" s="7"/>
      <c r="R987" s="5"/>
    </row>
    <row r="988">
      <c r="E988" s="5"/>
      <c r="H988" s="5"/>
      <c r="I988" s="5"/>
      <c r="J988" s="7"/>
      <c r="K988" s="7"/>
      <c r="L988" s="7"/>
      <c r="M988" s="7"/>
      <c r="N988" s="7"/>
      <c r="O988" s="5"/>
      <c r="P988" s="7"/>
      <c r="R988" s="5"/>
    </row>
    <row r="989">
      <c r="E989" s="5"/>
      <c r="H989" s="5"/>
      <c r="I989" s="5"/>
      <c r="J989" s="7"/>
      <c r="K989" s="7"/>
      <c r="L989" s="7"/>
      <c r="M989" s="7"/>
      <c r="N989" s="7"/>
      <c r="O989" s="5"/>
      <c r="P989" s="7"/>
      <c r="R989" s="5"/>
    </row>
    <row r="990">
      <c r="E990" s="5"/>
      <c r="H990" s="5"/>
      <c r="I990" s="5"/>
      <c r="J990" s="7"/>
      <c r="K990" s="7"/>
      <c r="L990" s="7"/>
      <c r="M990" s="7"/>
      <c r="N990" s="7"/>
      <c r="O990" s="5"/>
      <c r="P990" s="7"/>
      <c r="R990" s="5"/>
    </row>
    <row r="991">
      <c r="E991" s="5"/>
      <c r="H991" s="5"/>
      <c r="I991" s="5"/>
      <c r="J991" s="7"/>
      <c r="K991" s="7"/>
      <c r="L991" s="7"/>
      <c r="M991" s="7"/>
      <c r="N991" s="7"/>
      <c r="O991" s="5"/>
      <c r="P991" s="7"/>
      <c r="R991" s="5"/>
    </row>
    <row r="992">
      <c r="E992" s="5"/>
      <c r="H992" s="5"/>
      <c r="I992" s="5"/>
      <c r="J992" s="7"/>
      <c r="K992" s="7"/>
      <c r="L992" s="7"/>
      <c r="M992" s="7"/>
      <c r="N992" s="7"/>
      <c r="O992" s="5"/>
      <c r="P992" s="7"/>
      <c r="R992" s="5"/>
    </row>
    <row r="993">
      <c r="E993" s="5"/>
      <c r="H993" s="5"/>
      <c r="I993" s="5"/>
      <c r="J993" s="7"/>
      <c r="K993" s="7"/>
      <c r="L993" s="7"/>
      <c r="M993" s="7"/>
      <c r="N993" s="7"/>
      <c r="O993" s="5"/>
      <c r="P993" s="7"/>
      <c r="R993" s="5"/>
    </row>
    <row r="994">
      <c r="E994" s="5"/>
      <c r="H994" s="5"/>
      <c r="I994" s="5"/>
      <c r="J994" s="7"/>
      <c r="K994" s="7"/>
      <c r="L994" s="7"/>
      <c r="M994" s="7"/>
      <c r="N994" s="7"/>
      <c r="O994" s="5"/>
      <c r="P994" s="7"/>
      <c r="R994" s="5"/>
    </row>
    <row r="995">
      <c r="E995" s="5"/>
      <c r="H995" s="5"/>
      <c r="I995" s="5"/>
      <c r="J995" s="7"/>
      <c r="K995" s="7"/>
      <c r="L995" s="7"/>
      <c r="M995" s="7"/>
      <c r="N995" s="7"/>
      <c r="O995" s="5"/>
      <c r="P995" s="7"/>
      <c r="R995" s="5"/>
    </row>
    <row r="996">
      <c r="E996" s="5"/>
      <c r="H996" s="5"/>
      <c r="I996" s="5"/>
      <c r="J996" s="7"/>
      <c r="K996" s="7"/>
      <c r="L996" s="7"/>
      <c r="M996" s="7"/>
      <c r="N996" s="7"/>
      <c r="O996" s="5"/>
      <c r="P996" s="7"/>
      <c r="R996" s="5"/>
    </row>
    <row r="997">
      <c r="E997" s="5"/>
      <c r="H997" s="5"/>
      <c r="I997" s="5"/>
      <c r="J997" s="7"/>
      <c r="K997" s="7"/>
      <c r="L997" s="7"/>
      <c r="M997" s="7"/>
      <c r="N997" s="7"/>
      <c r="O997" s="5"/>
      <c r="P997" s="7"/>
      <c r="R997" s="5"/>
    </row>
    <row r="998">
      <c r="E998" s="5"/>
      <c r="H998" s="5"/>
      <c r="I998" s="5"/>
      <c r="J998" s="7"/>
      <c r="K998" s="7"/>
      <c r="L998" s="7"/>
      <c r="M998" s="7"/>
      <c r="N998" s="7"/>
      <c r="O998" s="5"/>
      <c r="P998" s="7"/>
      <c r="R998" s="5"/>
    </row>
    <row r="999">
      <c r="E999" s="5"/>
      <c r="H999" s="5"/>
      <c r="I999" s="5"/>
      <c r="J999" s="7"/>
      <c r="K999" s="7"/>
      <c r="L999" s="7"/>
      <c r="M999" s="7"/>
      <c r="N999" s="7"/>
      <c r="O999" s="5"/>
      <c r="P999" s="7"/>
      <c r="R999" s="5"/>
    </row>
    <row r="1000">
      <c r="E1000" s="5"/>
      <c r="H1000" s="5"/>
      <c r="I1000" s="5"/>
      <c r="J1000" s="7"/>
      <c r="K1000" s="7"/>
      <c r="L1000" s="7"/>
      <c r="M1000" s="7"/>
      <c r="N1000" s="7"/>
      <c r="O1000" s="5"/>
      <c r="P1000" s="7"/>
      <c r="R1000" s="5"/>
    </row>
  </sheetData>
  <autoFilter ref="$A$1:$R$1000"/>
  <customSheetViews>
    <customSheetView guid="{7B4C7589-153B-484C-BF6D-E2CEFEF09C1D}" filter="1" showAutoFilter="1">
      <autoFilter ref="$A$1:$R$1000"/>
    </customSheetView>
  </customSheetViews>
  <dataValidations>
    <dataValidation type="list" allowBlank="1" showErrorMessage="1" sqref="I2:I1000">
      <formula1>Config!$D$2:$D$5</formula1>
    </dataValidation>
    <dataValidation type="list" allowBlank="1" showErrorMessage="1" sqref="H2:H1000">
      <formula1>Config!$E$2:$E$7</formula1>
    </dataValidation>
    <dataValidation type="list" allowBlank="1" showErrorMessage="1" sqref="O2:O1000">
      <formula1>Config!$B$2:$B$8</formula1>
    </dataValidation>
    <dataValidation type="list" allowBlank="1" showErrorMessage="1" sqref="E2:E1000">
      <formula1>Config!$A$2:$A$5</formula1>
    </dataValidation>
    <dataValidation type="list" allowBlank="1" showErrorMessage="1" sqref="R2:R1000">
      <formula1>Config!$C$2:$C$5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2.13"/>
    <col customWidth="1" min="3" max="3" width="19.5"/>
    <col customWidth="1" min="4" max="4" width="12.5"/>
    <col customWidth="1" min="5" max="5" width="12.38"/>
    <col customWidth="1" min="6" max="6" width="10.0"/>
    <col customWidth="1" min="7" max="7" width="12.25"/>
    <col customWidth="1" min="8" max="8" width="13.5"/>
  </cols>
  <sheetData>
    <row r="1">
      <c r="A1" s="1" t="s">
        <v>0</v>
      </c>
      <c r="B1" s="1" t="s">
        <v>1</v>
      </c>
      <c r="C1" s="1" t="s">
        <v>2</v>
      </c>
      <c r="D1" s="1" t="str">
        <f t="array" ref="D1:D401">{"Furthest_Stage"; IF(Recruiting_Data!A2:A1000="", "", SWITCH(Recruiting_Data!O2:O1000, "Applied", 1, "Screen", 2, "Phone Screen", 2, "Onsite", 3, "Offer", 4, "Hired", 5, "Rejected", 1, "Withdrawn", 1, ""))}</f>
        <v>Furthest_Stage</v>
      </c>
      <c r="E1" s="1" t="s">
        <v>64</v>
      </c>
      <c r="F1" s="6" t="s">
        <v>65</v>
      </c>
      <c r="G1" s="1" t="s">
        <v>68</v>
      </c>
      <c r="H1" s="1" t="s">
        <v>69</v>
      </c>
      <c r="I1" s="2"/>
      <c r="J1" s="2"/>
      <c r="K1" s="2"/>
      <c r="L1" s="2"/>
      <c r="M1" s="2"/>
      <c r="N1" s="2"/>
      <c r="O1" s="2"/>
      <c r="P1" s="2"/>
      <c r="Q1" s="2"/>
      <c r="R1" s="2"/>
      <c r="S1" s="2"/>
      <c r="T1" s="2"/>
      <c r="U1" s="2"/>
      <c r="V1" s="2"/>
      <c r="W1" s="2"/>
      <c r="X1" s="2"/>
      <c r="Y1" s="2"/>
      <c r="Z1" s="2"/>
    </row>
    <row r="2">
      <c r="A2" s="5" t="str">
        <f>IF(Recruiting_Data!A2="", "", Recruiting_Data!A2)</f>
        <v>C-10001</v>
      </c>
      <c r="B2" s="5" t="str">
        <f>IF(Recruiting_Data!B2="", "", Recruiting_Data!B2)</f>
        <v>REQ-2026-0036</v>
      </c>
      <c r="C2" s="5">
        <f>IF(AND(ISNUMBER(Recruiting_Data!N2), ISNUMBER(Recruiting_Data!P2)), Recruiting_Data!N2 - Recruiting_Data!P2, "")</f>
        <v>58</v>
      </c>
      <c r="D2" s="5">
        <v>5.0</v>
      </c>
      <c r="E2" s="5" t="str">
        <f>IF(Recruiting_Data!R2="Open", TODAY() - Recruiting_Data!P2, "")</f>
        <v/>
      </c>
      <c r="F2" s="8" t="str">
        <f t="shared" ref="F2:F1000" si="1">IF(E2="", "", IF(E2&lt;=30, "0-30", IF(E2&lt;=60, "31-60", "60+")))</f>
        <v/>
      </c>
      <c r="G2" s="5" t="b">
        <f>IF(A2="", "", IF(COUNTIF(Recruiting_Data!A:A, A2)&gt;1, TRUE, FALSE))</f>
        <v>0</v>
      </c>
      <c r="H2" s="5" t="b">
        <f>IF(A2="", "", IF(OR(AND(Recruiting_Data!N2&lt;&gt;"", Recruiting_Data!J2&lt;&gt;"", Recruiting_Data!N2&lt;Recruiting_Data!J2), AND(Recruiting_Data!M2&lt;&gt;"", Recruiting_Data!L2&lt;&gt;"", Recruiting_Data!M2&lt;Recruiting_Data!L2), AND(Recruiting_Data!L2&lt;&gt;"", Recruiting_Data!K2&lt;&gt;"", Recruiting_Data!L2&lt;Recruiting_Data!K2)), TRUE, FALSE))</f>
        <v>0</v>
      </c>
    </row>
    <row r="3">
      <c r="A3" s="5" t="str">
        <f>IF(Recruiting_Data!A3="", "", Recruiting_Data!A3)</f>
        <v>C-10002</v>
      </c>
      <c r="B3" s="5" t="str">
        <f>IF(Recruiting_Data!B3="", "", Recruiting_Data!B3)</f>
        <v>REQ-2026-0008</v>
      </c>
      <c r="C3" s="5" t="str">
        <f>IF(AND(ISNUMBER(Recruiting_Data!N3), ISNUMBER(Recruiting_Data!P3)), Recruiting_Data!N3 - Recruiting_Data!P3, "")</f>
        <v/>
      </c>
      <c r="D3" s="5">
        <v>2.0</v>
      </c>
      <c r="E3" s="5" t="str">
        <f>IF(Recruiting_Data!R3="Open", TODAY() - Recruiting_Data!P3, "")</f>
        <v/>
      </c>
      <c r="F3" s="8" t="str">
        <f t="shared" si="1"/>
        <v/>
      </c>
      <c r="G3" s="5" t="b">
        <f>IF(A3="", "", IF(COUNTIF(Recruiting_Data!A:A, A3)&gt;1, TRUE, FALSE))</f>
        <v>0</v>
      </c>
      <c r="H3" s="5" t="b">
        <f>IF(A3="", "", IF(OR(AND(Recruiting_Data!N3&lt;&gt;"", Recruiting_Data!J3&lt;&gt;"", Recruiting_Data!N3&lt;Recruiting_Data!J3), AND(Recruiting_Data!M3&lt;&gt;"", Recruiting_Data!L3&lt;&gt;"", Recruiting_Data!M3&lt;Recruiting_Data!L3), AND(Recruiting_Data!L3&lt;&gt;"", Recruiting_Data!K3&lt;&gt;"", Recruiting_Data!L3&lt;Recruiting_Data!K3)), TRUE, FALSE))</f>
        <v>0</v>
      </c>
    </row>
    <row r="4">
      <c r="A4" s="5" t="str">
        <f>IF(Recruiting_Data!A4="", "", Recruiting_Data!A4)</f>
        <v>C-10003</v>
      </c>
      <c r="B4" s="5" t="str">
        <f>IF(Recruiting_Data!B4="", "", Recruiting_Data!B4)</f>
        <v>REQ-2026-0046</v>
      </c>
      <c r="C4" s="5" t="str">
        <f>IF(AND(ISNUMBER(Recruiting_Data!N4), ISNUMBER(Recruiting_Data!P4)), Recruiting_Data!N4 - Recruiting_Data!P4, "")</f>
        <v/>
      </c>
      <c r="D4" s="5">
        <v>3.0</v>
      </c>
      <c r="E4" s="5">
        <f>IF(Recruiting_Data!R4="Open", TODAY() - Recruiting_Data!P4, "")</f>
        <v>186</v>
      </c>
      <c r="F4" s="8" t="str">
        <f t="shared" si="1"/>
        <v>60+</v>
      </c>
      <c r="G4" s="5" t="b">
        <f>IF(A4="", "", IF(COUNTIF(Recruiting_Data!A:A, A4)&gt;1, TRUE, FALSE))</f>
        <v>0</v>
      </c>
      <c r="H4" s="5" t="b">
        <f>IF(A4="", "", IF(OR(AND(Recruiting_Data!N4&lt;&gt;"", Recruiting_Data!J4&lt;&gt;"", Recruiting_Data!N4&lt;Recruiting_Data!J4), AND(Recruiting_Data!M4&lt;&gt;"", Recruiting_Data!L4&lt;&gt;"", Recruiting_Data!M4&lt;Recruiting_Data!L4), AND(Recruiting_Data!L4&lt;&gt;"", Recruiting_Data!K4&lt;&gt;"", Recruiting_Data!L4&lt;Recruiting_Data!K4)), TRUE, FALSE))</f>
        <v>0</v>
      </c>
    </row>
    <row r="5">
      <c r="A5" s="5" t="str">
        <f>IF(Recruiting_Data!A5="", "", Recruiting_Data!A5)</f>
        <v>C-10004</v>
      </c>
      <c r="B5" s="5" t="str">
        <f>IF(Recruiting_Data!B5="", "", Recruiting_Data!B5)</f>
        <v>REQ-2026-0046</v>
      </c>
      <c r="C5" s="5" t="str">
        <f>IF(AND(ISNUMBER(Recruiting_Data!N5), ISNUMBER(Recruiting_Data!P5)), Recruiting_Data!N5 - Recruiting_Data!P5, "")</f>
        <v/>
      </c>
      <c r="D5" s="5">
        <v>3.0</v>
      </c>
      <c r="E5" s="5">
        <f>IF(Recruiting_Data!R5="Open", TODAY() - Recruiting_Data!P5, "")</f>
        <v>238</v>
      </c>
      <c r="F5" s="8" t="str">
        <f t="shared" si="1"/>
        <v>60+</v>
      </c>
      <c r="G5" s="5" t="b">
        <f>IF(A5="", "", IF(COUNTIF(Recruiting_Data!A:A, A5)&gt;1, TRUE, FALSE))</f>
        <v>0</v>
      </c>
      <c r="H5" s="5" t="b">
        <f>IF(A5="", "", IF(OR(AND(Recruiting_Data!N5&lt;&gt;"", Recruiting_Data!J5&lt;&gt;"", Recruiting_Data!N5&lt;Recruiting_Data!J5), AND(Recruiting_Data!M5&lt;&gt;"", Recruiting_Data!L5&lt;&gt;"", Recruiting_Data!M5&lt;Recruiting_Data!L5), AND(Recruiting_Data!L5&lt;&gt;"", Recruiting_Data!K5&lt;&gt;"", Recruiting_Data!L5&lt;Recruiting_Data!K5)), TRUE, FALSE))</f>
        <v>0</v>
      </c>
    </row>
    <row r="6">
      <c r="A6" s="5" t="str">
        <f>IF(Recruiting_Data!A6="", "", Recruiting_Data!A6)</f>
        <v>C-10005</v>
      </c>
      <c r="B6" s="5" t="str">
        <f>IF(Recruiting_Data!B6="", "", Recruiting_Data!B6)</f>
        <v>REQ-2026-0010</v>
      </c>
      <c r="C6" s="5" t="str">
        <f>IF(AND(ISNUMBER(Recruiting_Data!N6), ISNUMBER(Recruiting_Data!P6)), Recruiting_Data!N6 - Recruiting_Data!P6, "")</f>
        <v/>
      </c>
      <c r="D6" s="5">
        <v>1.0</v>
      </c>
      <c r="E6" s="5" t="str">
        <f>IF(Recruiting_Data!R6="Open", TODAY() - Recruiting_Data!P6, "")</f>
        <v/>
      </c>
      <c r="F6" s="8" t="str">
        <f t="shared" si="1"/>
        <v/>
      </c>
      <c r="G6" s="5" t="b">
        <f>IF(A6="", "", IF(COUNTIF(Recruiting_Data!A:A, A6)&gt;1, TRUE, FALSE))</f>
        <v>0</v>
      </c>
      <c r="H6" s="5" t="b">
        <f>IF(A6="", "", IF(OR(AND(Recruiting_Data!N6&lt;&gt;"", Recruiting_Data!J6&lt;&gt;"", Recruiting_Data!N6&lt;Recruiting_Data!J6), AND(Recruiting_Data!M6&lt;&gt;"", Recruiting_Data!L6&lt;&gt;"", Recruiting_Data!M6&lt;Recruiting_Data!L6), AND(Recruiting_Data!L6&lt;&gt;"", Recruiting_Data!K6&lt;&gt;"", Recruiting_Data!L6&lt;Recruiting_Data!K6)), TRUE, FALSE))</f>
        <v>0</v>
      </c>
    </row>
    <row r="7">
      <c r="A7" s="5" t="str">
        <f>IF(Recruiting_Data!A7="", "", Recruiting_Data!A7)</f>
        <v>C-10006</v>
      </c>
      <c r="B7" s="5" t="str">
        <f>IF(Recruiting_Data!B7="", "", Recruiting_Data!B7)</f>
        <v>REQ-2026-0012</v>
      </c>
      <c r="C7" s="5" t="str">
        <f>IF(AND(ISNUMBER(Recruiting_Data!N7), ISNUMBER(Recruiting_Data!P7)), Recruiting_Data!N7 - Recruiting_Data!P7, "")</f>
        <v/>
      </c>
      <c r="D7" s="5">
        <v>1.0</v>
      </c>
      <c r="E7" s="5" t="str">
        <f>IF(Recruiting_Data!R7="Open", TODAY() - Recruiting_Data!P7, "")</f>
        <v/>
      </c>
      <c r="F7" s="8" t="str">
        <f t="shared" si="1"/>
        <v/>
      </c>
      <c r="G7" s="5" t="b">
        <f>IF(A7="", "", IF(COUNTIF(Recruiting_Data!A:A, A7)&gt;1, TRUE, FALSE))</f>
        <v>0</v>
      </c>
      <c r="H7" s="5" t="b">
        <f>IF(A7="", "", IF(OR(AND(Recruiting_Data!N7&lt;&gt;"", Recruiting_Data!J7&lt;&gt;"", Recruiting_Data!N7&lt;Recruiting_Data!J7), AND(Recruiting_Data!M7&lt;&gt;"", Recruiting_Data!L7&lt;&gt;"", Recruiting_Data!M7&lt;Recruiting_Data!L7), AND(Recruiting_Data!L7&lt;&gt;"", Recruiting_Data!K7&lt;&gt;"", Recruiting_Data!L7&lt;Recruiting_Data!K7)), TRUE, FALSE))</f>
        <v>0</v>
      </c>
    </row>
    <row r="8">
      <c r="A8" s="5" t="str">
        <f>IF(Recruiting_Data!A8="", "", Recruiting_Data!A8)</f>
        <v>C-10007</v>
      </c>
      <c r="B8" s="5" t="str">
        <f>IF(Recruiting_Data!B8="", "", Recruiting_Data!B8)</f>
        <v>REQ-2026-0016</v>
      </c>
      <c r="C8" s="5" t="str">
        <f>IF(AND(ISNUMBER(Recruiting_Data!N8), ISNUMBER(Recruiting_Data!P8)), Recruiting_Data!N8 - Recruiting_Data!P8, "")</f>
        <v/>
      </c>
      <c r="D8" s="5">
        <v>2.0</v>
      </c>
      <c r="E8" s="5">
        <f>IF(Recruiting_Data!R8="Open", TODAY() - Recruiting_Data!P8, "")</f>
        <v>166</v>
      </c>
      <c r="F8" s="8" t="str">
        <f t="shared" si="1"/>
        <v>60+</v>
      </c>
      <c r="G8" s="5" t="b">
        <f>IF(A8="", "", IF(COUNTIF(Recruiting_Data!A:A, A8)&gt;1, TRUE, FALSE))</f>
        <v>0</v>
      </c>
      <c r="H8" s="5" t="b">
        <f>IF(A8="", "", IF(OR(AND(Recruiting_Data!N8&lt;&gt;"", Recruiting_Data!J8&lt;&gt;"", Recruiting_Data!N8&lt;Recruiting_Data!J8), AND(Recruiting_Data!M8&lt;&gt;"", Recruiting_Data!L8&lt;&gt;"", Recruiting_Data!M8&lt;Recruiting_Data!L8), AND(Recruiting_Data!L8&lt;&gt;"", Recruiting_Data!K8&lt;&gt;"", Recruiting_Data!L8&lt;Recruiting_Data!K8)), TRUE, FALSE))</f>
        <v>0</v>
      </c>
    </row>
    <row r="9">
      <c r="A9" s="5" t="str">
        <f>IF(Recruiting_Data!A9="", "", Recruiting_Data!A9)</f>
        <v>C-10008</v>
      </c>
      <c r="B9" s="5" t="str">
        <f>IF(Recruiting_Data!B9="", "", Recruiting_Data!B9)</f>
        <v>REQ-2026-0010</v>
      </c>
      <c r="C9" s="5">
        <f>IF(AND(ISNUMBER(Recruiting_Data!N9), ISNUMBER(Recruiting_Data!P9)), Recruiting_Data!N9 - Recruiting_Data!P9, "")</f>
        <v>53</v>
      </c>
      <c r="D9" s="5">
        <v>5.0</v>
      </c>
      <c r="E9" s="5" t="str">
        <f>IF(Recruiting_Data!R9="Open", TODAY() - Recruiting_Data!P9, "")</f>
        <v/>
      </c>
      <c r="F9" s="8" t="str">
        <f t="shared" si="1"/>
        <v/>
      </c>
      <c r="G9" s="5" t="b">
        <f>IF(A9="", "", IF(COUNTIF(Recruiting_Data!A:A, A9)&gt;1, TRUE, FALSE))</f>
        <v>0</v>
      </c>
      <c r="H9" s="5" t="b">
        <f>IF(A9="", "", IF(OR(AND(Recruiting_Data!N9&lt;&gt;"", Recruiting_Data!J9&lt;&gt;"", Recruiting_Data!N9&lt;Recruiting_Data!J9), AND(Recruiting_Data!M9&lt;&gt;"", Recruiting_Data!L9&lt;&gt;"", Recruiting_Data!M9&lt;Recruiting_Data!L9), AND(Recruiting_Data!L9&lt;&gt;"", Recruiting_Data!K9&lt;&gt;"", Recruiting_Data!L9&lt;Recruiting_Data!K9)), TRUE, FALSE))</f>
        <v>0</v>
      </c>
    </row>
    <row r="10">
      <c r="A10" s="5" t="str">
        <f>IF(Recruiting_Data!A10="", "", Recruiting_Data!A10)</f>
        <v>C-10009</v>
      </c>
      <c r="B10" s="5" t="str">
        <f>IF(Recruiting_Data!B10="", "", Recruiting_Data!B10)</f>
        <v>REQ-2026-0004</v>
      </c>
      <c r="C10" s="5">
        <f>IF(AND(ISNUMBER(Recruiting_Data!N10), ISNUMBER(Recruiting_Data!P10)), Recruiting_Data!N10 - Recruiting_Data!P10, "")</f>
        <v>57</v>
      </c>
      <c r="D10" s="5">
        <v>5.0</v>
      </c>
      <c r="E10" s="5" t="str">
        <f>IF(Recruiting_Data!R10="Open", TODAY() - Recruiting_Data!P10, "")</f>
        <v/>
      </c>
      <c r="F10" s="8" t="str">
        <f t="shared" si="1"/>
        <v/>
      </c>
      <c r="G10" s="5" t="b">
        <f>IF(A10="", "", IF(COUNTIF(Recruiting_Data!A:A, A10)&gt;1, TRUE, FALSE))</f>
        <v>0</v>
      </c>
      <c r="H10" s="5" t="b">
        <f>IF(A10="", "", IF(OR(AND(Recruiting_Data!N10&lt;&gt;"", Recruiting_Data!J10&lt;&gt;"", Recruiting_Data!N10&lt;Recruiting_Data!J10), AND(Recruiting_Data!M10&lt;&gt;"", Recruiting_Data!L10&lt;&gt;"", Recruiting_Data!M10&lt;Recruiting_Data!L10), AND(Recruiting_Data!L10&lt;&gt;"", Recruiting_Data!K10&lt;&gt;"", Recruiting_Data!L10&lt;Recruiting_Data!K10)), TRUE, FALSE))</f>
        <v>0</v>
      </c>
    </row>
    <row r="11">
      <c r="A11" s="5" t="str">
        <f>IF(Recruiting_Data!A11="", "", Recruiting_Data!A11)</f>
        <v>C-1010</v>
      </c>
      <c r="B11" s="5" t="str">
        <f>IF(Recruiting_Data!B11="", "", Recruiting_Data!B11)</f>
        <v>REQ-2026-0034</v>
      </c>
      <c r="C11" s="5" t="str">
        <f>IF(AND(ISNUMBER(Recruiting_Data!N11), ISNUMBER(Recruiting_Data!P11)), Recruiting_Data!N11 - Recruiting_Data!P11, "")</f>
        <v/>
      </c>
      <c r="D11" s="5">
        <v>4.0</v>
      </c>
      <c r="E11" s="5" t="str">
        <f>IF(Recruiting_Data!R11="Open", TODAY() - Recruiting_Data!P11, "")</f>
        <v/>
      </c>
      <c r="F11" s="8" t="str">
        <f t="shared" si="1"/>
        <v/>
      </c>
      <c r="G11" s="5" t="b">
        <f>IF(A11="", "", IF(COUNTIF(Recruiting_Data!A:A, A11)&gt;1, TRUE, FALSE))</f>
        <v>0</v>
      </c>
      <c r="H11" s="5" t="b">
        <f>IF(A11="", "", IF(OR(AND(Recruiting_Data!N11&lt;&gt;"", Recruiting_Data!J11&lt;&gt;"", Recruiting_Data!N11&lt;Recruiting_Data!J11), AND(Recruiting_Data!M11&lt;&gt;"", Recruiting_Data!L11&lt;&gt;"", Recruiting_Data!M11&lt;Recruiting_Data!L11), AND(Recruiting_Data!L11&lt;&gt;"", Recruiting_Data!K11&lt;&gt;"", Recruiting_Data!L11&lt;Recruiting_Data!K11)), TRUE, FALSE))</f>
        <v>0</v>
      </c>
    </row>
    <row r="12">
      <c r="A12" s="5" t="str">
        <f>IF(Recruiting_Data!A12="", "", Recruiting_Data!A12)</f>
        <v>C-10011</v>
      </c>
      <c r="B12" s="5" t="str">
        <f>IF(Recruiting_Data!B12="", "", Recruiting_Data!B12)</f>
        <v>REQ-2026-0001</v>
      </c>
      <c r="C12" s="5">
        <f>IF(AND(ISNUMBER(Recruiting_Data!N12), ISNUMBER(Recruiting_Data!P12)), Recruiting_Data!N12 - Recruiting_Data!P12, "")</f>
        <v>49</v>
      </c>
      <c r="D12" s="5">
        <v>5.0</v>
      </c>
      <c r="E12" s="5" t="str">
        <f>IF(Recruiting_Data!R12="Open", TODAY() - Recruiting_Data!P12, "")</f>
        <v/>
      </c>
      <c r="F12" s="8" t="str">
        <f t="shared" si="1"/>
        <v/>
      </c>
      <c r="G12" s="5" t="b">
        <f>IF(A12="", "", IF(COUNTIF(Recruiting_Data!A:A, A12)&gt;1, TRUE, FALSE))</f>
        <v>0</v>
      </c>
      <c r="H12" s="5" t="b">
        <f>IF(A12="", "", IF(OR(AND(Recruiting_Data!N12&lt;&gt;"", Recruiting_Data!J12&lt;&gt;"", Recruiting_Data!N12&lt;Recruiting_Data!J12), AND(Recruiting_Data!M12&lt;&gt;"", Recruiting_Data!L12&lt;&gt;"", Recruiting_Data!M12&lt;Recruiting_Data!L12), AND(Recruiting_Data!L12&lt;&gt;"", Recruiting_Data!K12&lt;&gt;"", Recruiting_Data!L12&lt;Recruiting_Data!K12)), TRUE, FALSE))</f>
        <v>0</v>
      </c>
    </row>
    <row r="13">
      <c r="A13" s="5" t="str">
        <f>IF(Recruiting_Data!A13="", "", Recruiting_Data!A13)</f>
        <v>C-10012</v>
      </c>
      <c r="B13" s="5" t="str">
        <f>IF(Recruiting_Data!B13="", "", Recruiting_Data!B13)</f>
        <v>REQ-2026-0023</v>
      </c>
      <c r="C13" s="5">
        <f>IF(AND(ISNUMBER(Recruiting_Data!N13), ISNUMBER(Recruiting_Data!P13)), Recruiting_Data!N13 - Recruiting_Data!P13, "")</f>
        <v>29</v>
      </c>
      <c r="D13" s="5">
        <v>5.0</v>
      </c>
      <c r="E13" s="5" t="str">
        <f>IF(Recruiting_Data!R13="Open", TODAY() - Recruiting_Data!P13, "")</f>
        <v/>
      </c>
      <c r="F13" s="8" t="str">
        <f t="shared" si="1"/>
        <v/>
      </c>
      <c r="G13" s="5" t="b">
        <f>IF(A13="", "", IF(COUNTIF(Recruiting_Data!A:A, A13)&gt;1, TRUE, FALSE))</f>
        <v>0</v>
      </c>
      <c r="H13" s="5" t="b">
        <f>IF(A13="", "", IF(OR(AND(Recruiting_Data!N13&lt;&gt;"", Recruiting_Data!J13&lt;&gt;"", Recruiting_Data!N13&lt;Recruiting_Data!J13), AND(Recruiting_Data!M13&lt;&gt;"", Recruiting_Data!L13&lt;&gt;"", Recruiting_Data!M13&lt;Recruiting_Data!L13), AND(Recruiting_Data!L13&lt;&gt;"", Recruiting_Data!K13&lt;&gt;"", Recruiting_Data!L13&lt;Recruiting_Data!K13)), TRUE, FALSE))</f>
        <v>0</v>
      </c>
    </row>
    <row r="14">
      <c r="A14" s="5" t="str">
        <f>IF(Recruiting_Data!A14="", "", Recruiting_Data!A14)</f>
        <v>C-10013</v>
      </c>
      <c r="B14" s="5" t="str">
        <f>IF(Recruiting_Data!B14="", "", Recruiting_Data!B14)</f>
        <v>REQ-2026-0017</v>
      </c>
      <c r="C14" s="5" t="str">
        <f>IF(AND(ISNUMBER(Recruiting_Data!N14), ISNUMBER(Recruiting_Data!P14)), Recruiting_Data!N14 - Recruiting_Data!P14, "")</f>
        <v/>
      </c>
      <c r="D14" s="5">
        <v>2.0</v>
      </c>
      <c r="E14" s="5" t="str">
        <f>IF(Recruiting_Data!R14="Open", TODAY() - Recruiting_Data!P14, "")</f>
        <v/>
      </c>
      <c r="F14" s="8" t="str">
        <f t="shared" si="1"/>
        <v/>
      </c>
      <c r="G14" s="5" t="b">
        <f>IF(A14="", "", IF(COUNTIF(Recruiting_Data!A:A, A14)&gt;1, TRUE, FALSE))</f>
        <v>0</v>
      </c>
      <c r="H14" s="5" t="b">
        <f>IF(A14="", "", IF(OR(AND(Recruiting_Data!N14&lt;&gt;"", Recruiting_Data!J14&lt;&gt;"", Recruiting_Data!N14&lt;Recruiting_Data!J14), AND(Recruiting_Data!M14&lt;&gt;"", Recruiting_Data!L14&lt;&gt;"", Recruiting_Data!M14&lt;Recruiting_Data!L14), AND(Recruiting_Data!L14&lt;&gt;"", Recruiting_Data!K14&lt;&gt;"", Recruiting_Data!L14&lt;Recruiting_Data!K14)), TRUE, FALSE))</f>
        <v>0</v>
      </c>
    </row>
    <row r="15">
      <c r="A15" s="5" t="str">
        <f>IF(Recruiting_Data!A15="", "", Recruiting_Data!A15)</f>
        <v>C-10014</v>
      </c>
      <c r="B15" s="5" t="str">
        <f>IF(Recruiting_Data!B15="", "", Recruiting_Data!B15)</f>
        <v>REQ-2026-0041</v>
      </c>
      <c r="C15" s="5" t="str">
        <f>IF(AND(ISNUMBER(Recruiting_Data!N15), ISNUMBER(Recruiting_Data!P15)), Recruiting_Data!N15 - Recruiting_Data!P15, "")</f>
        <v/>
      </c>
      <c r="D15" s="5">
        <v>3.0</v>
      </c>
      <c r="E15" s="5" t="str">
        <f>IF(Recruiting_Data!R15="Open", TODAY() - Recruiting_Data!P15, "")</f>
        <v/>
      </c>
      <c r="F15" s="8" t="str">
        <f t="shared" si="1"/>
        <v/>
      </c>
      <c r="G15" s="5" t="b">
        <f>IF(A15="", "", IF(COUNTIF(Recruiting_Data!A:A, A15)&gt;1, TRUE, FALSE))</f>
        <v>0</v>
      </c>
      <c r="H15" s="5" t="b">
        <f>IF(A15="", "", IF(OR(AND(Recruiting_Data!N15&lt;&gt;"", Recruiting_Data!J15&lt;&gt;"", Recruiting_Data!N15&lt;Recruiting_Data!J15), AND(Recruiting_Data!M15&lt;&gt;"", Recruiting_Data!L15&lt;&gt;"", Recruiting_Data!M15&lt;Recruiting_Data!L15), AND(Recruiting_Data!L15&lt;&gt;"", Recruiting_Data!K15&lt;&gt;"", Recruiting_Data!L15&lt;Recruiting_Data!K15)), TRUE, FALSE))</f>
        <v>0</v>
      </c>
    </row>
    <row r="16">
      <c r="A16" s="5" t="str">
        <f>IF(Recruiting_Data!A16="", "", Recruiting_Data!A16)</f>
        <v>C-10015</v>
      </c>
      <c r="B16" s="5" t="str">
        <f>IF(Recruiting_Data!B16="", "", Recruiting_Data!B16)</f>
        <v>REQ-2026-0029</v>
      </c>
      <c r="C16" s="5" t="str">
        <f>IF(AND(ISNUMBER(Recruiting_Data!N16), ISNUMBER(Recruiting_Data!P16)), Recruiting_Data!N16 - Recruiting_Data!P16, "")</f>
        <v/>
      </c>
      <c r="D16" s="5">
        <v>3.0</v>
      </c>
      <c r="E16" s="5" t="str">
        <f>IF(Recruiting_Data!R16="Open", TODAY() - Recruiting_Data!P16, "")</f>
        <v/>
      </c>
      <c r="F16" s="8" t="str">
        <f t="shared" si="1"/>
        <v/>
      </c>
      <c r="G16" s="5" t="b">
        <f>IF(A16="", "", IF(COUNTIF(Recruiting_Data!A:A, A16)&gt;1, TRUE, FALSE))</f>
        <v>0</v>
      </c>
      <c r="H16" s="5" t="b">
        <f>IF(A16="", "", IF(OR(AND(Recruiting_Data!N16&lt;&gt;"", Recruiting_Data!J16&lt;&gt;"", Recruiting_Data!N16&lt;Recruiting_Data!J16), AND(Recruiting_Data!M16&lt;&gt;"", Recruiting_Data!L16&lt;&gt;"", Recruiting_Data!M16&lt;Recruiting_Data!L16), AND(Recruiting_Data!L16&lt;&gt;"", Recruiting_Data!K16&lt;&gt;"", Recruiting_Data!L16&lt;Recruiting_Data!K16)), TRUE, FALSE))</f>
        <v>0</v>
      </c>
    </row>
    <row r="17">
      <c r="A17" s="5" t="str">
        <f>IF(Recruiting_Data!A17="", "", Recruiting_Data!A17)</f>
        <v>C-10016</v>
      </c>
      <c r="B17" s="5" t="str">
        <f>IF(Recruiting_Data!B17="", "", Recruiting_Data!B17)</f>
        <v>REQ-2026-0010</v>
      </c>
      <c r="C17" s="5" t="str">
        <f>IF(AND(ISNUMBER(Recruiting_Data!N17), ISNUMBER(Recruiting_Data!P17)), Recruiting_Data!N17 - Recruiting_Data!P17, "")</f>
        <v/>
      </c>
      <c r="D17" s="5">
        <v>1.0</v>
      </c>
      <c r="E17" s="5" t="str">
        <f>IF(Recruiting_Data!R17="Open", TODAY() - Recruiting_Data!P17, "")</f>
        <v/>
      </c>
      <c r="F17" s="8" t="str">
        <f t="shared" si="1"/>
        <v/>
      </c>
      <c r="G17" s="5" t="b">
        <f>IF(A17="", "", IF(COUNTIF(Recruiting_Data!A:A, A17)&gt;1, TRUE, FALSE))</f>
        <v>0</v>
      </c>
      <c r="H17" s="5" t="b">
        <f>IF(A17="", "", IF(OR(AND(Recruiting_Data!N17&lt;&gt;"", Recruiting_Data!J17&lt;&gt;"", Recruiting_Data!N17&lt;Recruiting_Data!J17), AND(Recruiting_Data!M17&lt;&gt;"", Recruiting_Data!L17&lt;&gt;"", Recruiting_Data!M17&lt;Recruiting_Data!L17), AND(Recruiting_Data!L17&lt;&gt;"", Recruiting_Data!K17&lt;&gt;"", Recruiting_Data!L17&lt;Recruiting_Data!K17)), TRUE, FALSE))</f>
        <v>0</v>
      </c>
    </row>
    <row r="18">
      <c r="A18" s="5" t="str">
        <f>IF(Recruiting_Data!A18="", "", Recruiting_Data!A18)</f>
        <v>C-10017</v>
      </c>
      <c r="B18" s="5" t="str">
        <f>IF(Recruiting_Data!B18="", "", Recruiting_Data!B18)</f>
        <v>REQ-2026-0030</v>
      </c>
      <c r="C18" s="5" t="str">
        <f>IF(AND(ISNUMBER(Recruiting_Data!N18), ISNUMBER(Recruiting_Data!P18)), Recruiting_Data!N18 - Recruiting_Data!P18, "")</f>
        <v/>
      </c>
      <c r="D18" s="5">
        <v>4.0</v>
      </c>
      <c r="E18" s="5" t="str">
        <f>IF(Recruiting_Data!R18="Open", TODAY() - Recruiting_Data!P18, "")</f>
        <v/>
      </c>
      <c r="F18" s="8" t="str">
        <f t="shared" si="1"/>
        <v/>
      </c>
      <c r="G18" s="5" t="b">
        <f>IF(A18="", "", IF(COUNTIF(Recruiting_Data!A:A, A18)&gt;1, TRUE, FALSE))</f>
        <v>0</v>
      </c>
      <c r="H18" s="5" t="b">
        <f>IF(A18="", "", IF(OR(AND(Recruiting_Data!N18&lt;&gt;"", Recruiting_Data!J18&lt;&gt;"", Recruiting_Data!N18&lt;Recruiting_Data!J18), AND(Recruiting_Data!M18&lt;&gt;"", Recruiting_Data!L18&lt;&gt;"", Recruiting_Data!M18&lt;Recruiting_Data!L18), AND(Recruiting_Data!L18&lt;&gt;"", Recruiting_Data!K18&lt;&gt;"", Recruiting_Data!L18&lt;Recruiting_Data!K18)), TRUE, FALSE))</f>
        <v>0</v>
      </c>
    </row>
    <row r="19">
      <c r="A19" s="5" t="str">
        <f>IF(Recruiting_Data!A19="", "", Recruiting_Data!A19)</f>
        <v>C-10018</v>
      </c>
      <c r="B19" s="5" t="str">
        <f>IF(Recruiting_Data!B19="", "", Recruiting_Data!B19)</f>
        <v>REQ-2026-0030</v>
      </c>
      <c r="C19" s="5" t="str">
        <f>IF(AND(ISNUMBER(Recruiting_Data!N19), ISNUMBER(Recruiting_Data!P19)), Recruiting_Data!N19 - Recruiting_Data!P19, "")</f>
        <v/>
      </c>
      <c r="D19" s="5">
        <v>3.0</v>
      </c>
      <c r="E19" s="5" t="str">
        <f>IF(Recruiting_Data!R19="Open", TODAY() - Recruiting_Data!P19, "")</f>
        <v/>
      </c>
      <c r="F19" s="8" t="str">
        <f t="shared" si="1"/>
        <v/>
      </c>
      <c r="G19" s="5" t="b">
        <f>IF(A19="", "", IF(COUNTIF(Recruiting_Data!A:A, A19)&gt;1, TRUE, FALSE))</f>
        <v>0</v>
      </c>
      <c r="H19" s="5" t="b">
        <f>IF(A19="", "", IF(OR(AND(Recruiting_Data!N19&lt;&gt;"", Recruiting_Data!J19&lt;&gt;"", Recruiting_Data!N19&lt;Recruiting_Data!J19), AND(Recruiting_Data!M19&lt;&gt;"", Recruiting_Data!L19&lt;&gt;"", Recruiting_Data!M19&lt;Recruiting_Data!L19), AND(Recruiting_Data!L19&lt;&gt;"", Recruiting_Data!K19&lt;&gt;"", Recruiting_Data!L19&lt;Recruiting_Data!K19)), TRUE, FALSE))</f>
        <v>0</v>
      </c>
    </row>
    <row r="20">
      <c r="A20" s="5" t="str">
        <f>IF(Recruiting_Data!A20="", "", Recruiting_Data!A20)</f>
        <v>C-10019</v>
      </c>
      <c r="B20" s="5" t="str">
        <f>IF(Recruiting_Data!B20="", "", Recruiting_Data!B20)</f>
        <v>REQ-2026-0044</v>
      </c>
      <c r="C20" s="5">
        <f>IF(AND(ISNUMBER(Recruiting_Data!N20), ISNUMBER(Recruiting_Data!P20)), Recruiting_Data!N20 - Recruiting_Data!P20, "")</f>
        <v>35</v>
      </c>
      <c r="D20" s="5">
        <v>5.0</v>
      </c>
      <c r="E20" s="5" t="str">
        <f>IF(Recruiting_Data!R20="Open", TODAY() - Recruiting_Data!P20, "")</f>
        <v/>
      </c>
      <c r="F20" s="8" t="str">
        <f t="shared" si="1"/>
        <v/>
      </c>
      <c r="G20" s="5" t="b">
        <f>IF(A20="", "", IF(COUNTIF(Recruiting_Data!A:A, A20)&gt;1, TRUE, FALSE))</f>
        <v>0</v>
      </c>
      <c r="H20" s="5" t="b">
        <f>IF(A20="", "", IF(OR(AND(Recruiting_Data!N20&lt;&gt;"", Recruiting_Data!J20&lt;&gt;"", Recruiting_Data!N20&lt;Recruiting_Data!J20), AND(Recruiting_Data!M20&lt;&gt;"", Recruiting_Data!L20&lt;&gt;"", Recruiting_Data!M20&lt;Recruiting_Data!L20), AND(Recruiting_Data!L20&lt;&gt;"", Recruiting_Data!K20&lt;&gt;"", Recruiting_Data!L20&lt;Recruiting_Data!K20)), TRUE, FALSE))</f>
        <v>0</v>
      </c>
    </row>
    <row r="21">
      <c r="A21" s="5" t="str">
        <f>IF(Recruiting_Data!A21="", "", Recruiting_Data!A21)</f>
        <v>C-10020</v>
      </c>
      <c r="B21" s="5" t="str">
        <f>IF(Recruiting_Data!B21="", "", Recruiting_Data!B21)</f>
        <v>REQ-2026-0023</v>
      </c>
      <c r="C21" s="5" t="str">
        <f>IF(AND(ISNUMBER(Recruiting_Data!N21), ISNUMBER(Recruiting_Data!P21)), Recruiting_Data!N21 - Recruiting_Data!P21, "")</f>
        <v/>
      </c>
      <c r="D21" s="5">
        <v>1.0</v>
      </c>
      <c r="E21" s="5" t="str">
        <f>IF(Recruiting_Data!R21="Open", TODAY() - Recruiting_Data!P21, "")</f>
        <v/>
      </c>
      <c r="F21" s="8" t="str">
        <f t="shared" si="1"/>
        <v/>
      </c>
      <c r="G21" s="5" t="b">
        <f>IF(A21="", "", IF(COUNTIF(Recruiting_Data!A:A, A21)&gt;1, TRUE, FALSE))</f>
        <v>0</v>
      </c>
      <c r="H21" s="5" t="b">
        <f>IF(A21="", "", IF(OR(AND(Recruiting_Data!N21&lt;&gt;"", Recruiting_Data!J21&lt;&gt;"", Recruiting_Data!N21&lt;Recruiting_Data!J21), AND(Recruiting_Data!M21&lt;&gt;"", Recruiting_Data!L21&lt;&gt;"", Recruiting_Data!M21&lt;Recruiting_Data!L21), AND(Recruiting_Data!L21&lt;&gt;"", Recruiting_Data!K21&lt;&gt;"", Recruiting_Data!L21&lt;Recruiting_Data!K21)), TRUE, FALSE))</f>
        <v>0</v>
      </c>
    </row>
    <row r="22">
      <c r="A22" s="5" t="str">
        <f>IF(Recruiting_Data!A22="", "", Recruiting_Data!A22)</f>
        <v>C-10021</v>
      </c>
      <c r="B22" s="5" t="str">
        <f>IF(Recruiting_Data!B22="", "", Recruiting_Data!B22)</f>
        <v>REQ-2026-0046</v>
      </c>
      <c r="C22" s="5" t="str">
        <f>IF(AND(ISNUMBER(Recruiting_Data!N22), ISNUMBER(Recruiting_Data!P22)), Recruiting_Data!N22 - Recruiting_Data!P22, "")</f>
        <v/>
      </c>
      <c r="D22" s="5">
        <v>3.0</v>
      </c>
      <c r="E22" s="5">
        <f>IF(Recruiting_Data!R22="Open", TODAY() - Recruiting_Data!P22, "")</f>
        <v>205</v>
      </c>
      <c r="F22" s="8" t="str">
        <f t="shared" si="1"/>
        <v>60+</v>
      </c>
      <c r="G22" s="5" t="b">
        <f>IF(A22="", "", IF(COUNTIF(Recruiting_Data!A:A, A22)&gt;1, TRUE, FALSE))</f>
        <v>0</v>
      </c>
      <c r="H22" s="5" t="b">
        <f>IF(A22="", "", IF(OR(AND(Recruiting_Data!N22&lt;&gt;"", Recruiting_Data!J22&lt;&gt;"", Recruiting_Data!N22&lt;Recruiting_Data!J22), AND(Recruiting_Data!M22&lt;&gt;"", Recruiting_Data!L22&lt;&gt;"", Recruiting_Data!M22&lt;Recruiting_Data!L22), AND(Recruiting_Data!L22&lt;&gt;"", Recruiting_Data!K22&lt;&gt;"", Recruiting_Data!L22&lt;Recruiting_Data!K22)), TRUE, FALSE))</f>
        <v>0</v>
      </c>
    </row>
    <row r="23">
      <c r="A23" s="5" t="str">
        <f>IF(Recruiting_Data!A23="", "", Recruiting_Data!A23)</f>
        <v>C-10022</v>
      </c>
      <c r="B23" s="5" t="str">
        <f>IF(Recruiting_Data!B23="", "", Recruiting_Data!B23)</f>
        <v>REQ-2026-0029</v>
      </c>
      <c r="C23" s="5">
        <f>IF(AND(ISNUMBER(Recruiting_Data!N23), ISNUMBER(Recruiting_Data!P23)), Recruiting_Data!N23 - Recruiting_Data!P23, "")</f>
        <v>54</v>
      </c>
      <c r="D23" s="5">
        <v>5.0</v>
      </c>
      <c r="E23" s="5" t="str">
        <f>IF(Recruiting_Data!R23="Open", TODAY() - Recruiting_Data!P23, "")</f>
        <v/>
      </c>
      <c r="F23" s="8" t="str">
        <f t="shared" si="1"/>
        <v/>
      </c>
      <c r="G23" s="5" t="b">
        <f>IF(A23="", "", IF(COUNTIF(Recruiting_Data!A:A, A23)&gt;1, TRUE, FALSE))</f>
        <v>0</v>
      </c>
      <c r="H23" s="5" t="b">
        <f>IF(A23="", "", IF(OR(AND(Recruiting_Data!N23&lt;&gt;"", Recruiting_Data!J23&lt;&gt;"", Recruiting_Data!N23&lt;Recruiting_Data!J23), AND(Recruiting_Data!M23&lt;&gt;"", Recruiting_Data!L23&lt;&gt;"", Recruiting_Data!M23&lt;Recruiting_Data!L23), AND(Recruiting_Data!L23&lt;&gt;"", Recruiting_Data!K23&lt;&gt;"", Recruiting_Data!L23&lt;Recruiting_Data!K23)), TRUE, FALSE))</f>
        <v>0</v>
      </c>
    </row>
    <row r="24">
      <c r="A24" s="5" t="str">
        <f>IF(Recruiting_Data!A24="", "", Recruiting_Data!A24)</f>
        <v>C-10023</v>
      </c>
      <c r="B24" s="5" t="str">
        <f>IF(Recruiting_Data!B24="", "", Recruiting_Data!B24)</f>
        <v>REQ-2026-0030</v>
      </c>
      <c r="C24" s="5" t="str">
        <f>IF(AND(ISNUMBER(Recruiting_Data!N24), ISNUMBER(Recruiting_Data!P24)), Recruiting_Data!N24 - Recruiting_Data!P24, "")</f>
        <v/>
      </c>
      <c r="D24" s="5">
        <v>1.0</v>
      </c>
      <c r="E24" s="5" t="str">
        <f>IF(Recruiting_Data!R24="Open", TODAY() - Recruiting_Data!P24, "")</f>
        <v/>
      </c>
      <c r="F24" s="8" t="str">
        <f t="shared" si="1"/>
        <v/>
      </c>
      <c r="G24" s="5" t="b">
        <f>IF(A24="", "", IF(COUNTIF(Recruiting_Data!A:A, A24)&gt;1, TRUE, FALSE))</f>
        <v>0</v>
      </c>
      <c r="H24" s="5" t="b">
        <f>IF(A24="", "", IF(OR(AND(Recruiting_Data!N24&lt;&gt;"", Recruiting_Data!J24&lt;&gt;"", Recruiting_Data!N24&lt;Recruiting_Data!J24), AND(Recruiting_Data!M24&lt;&gt;"", Recruiting_Data!L24&lt;&gt;"", Recruiting_Data!M24&lt;Recruiting_Data!L24), AND(Recruiting_Data!L24&lt;&gt;"", Recruiting_Data!K24&lt;&gt;"", Recruiting_Data!L24&lt;Recruiting_Data!K24)), TRUE, FALSE))</f>
        <v>0</v>
      </c>
    </row>
    <row r="25">
      <c r="A25" s="5" t="str">
        <f>IF(Recruiting_Data!A25="", "", Recruiting_Data!A25)</f>
        <v>C-10024</v>
      </c>
      <c r="B25" s="5" t="str">
        <f>IF(Recruiting_Data!B25="", "", Recruiting_Data!B25)</f>
        <v>REQ-2026-0046</v>
      </c>
      <c r="C25" s="5" t="str">
        <f>IF(AND(ISNUMBER(Recruiting_Data!N25), ISNUMBER(Recruiting_Data!P25)), Recruiting_Data!N25 - Recruiting_Data!P25, "")</f>
        <v/>
      </c>
      <c r="D25" s="5">
        <v>1.0</v>
      </c>
      <c r="E25" s="5">
        <f>IF(Recruiting_Data!R25="Open", TODAY() - Recruiting_Data!P25, "")</f>
        <v>201</v>
      </c>
      <c r="F25" s="8" t="str">
        <f t="shared" si="1"/>
        <v>60+</v>
      </c>
      <c r="G25" s="5" t="b">
        <f>IF(A25="", "", IF(COUNTIF(Recruiting_Data!A:A, A25)&gt;1, TRUE, FALSE))</f>
        <v>0</v>
      </c>
      <c r="H25" s="5" t="b">
        <f>IF(A25="", "", IF(OR(AND(Recruiting_Data!N25&lt;&gt;"", Recruiting_Data!J25&lt;&gt;"", Recruiting_Data!N25&lt;Recruiting_Data!J25), AND(Recruiting_Data!M25&lt;&gt;"", Recruiting_Data!L25&lt;&gt;"", Recruiting_Data!M25&lt;Recruiting_Data!L25), AND(Recruiting_Data!L25&lt;&gt;"", Recruiting_Data!K25&lt;&gt;"", Recruiting_Data!L25&lt;Recruiting_Data!K25)), TRUE, FALSE))</f>
        <v>0</v>
      </c>
    </row>
    <row r="26">
      <c r="A26" s="5" t="str">
        <f>IF(Recruiting_Data!A26="", "", Recruiting_Data!A26)</f>
        <v>C-10025</v>
      </c>
      <c r="B26" s="5" t="str">
        <f>IF(Recruiting_Data!B26="", "", Recruiting_Data!B26)</f>
        <v>REQ-2026-0043</v>
      </c>
      <c r="C26" s="5" t="str">
        <f>IF(AND(ISNUMBER(Recruiting_Data!N26), ISNUMBER(Recruiting_Data!P26)), Recruiting_Data!N26 - Recruiting_Data!P26, "")</f>
        <v/>
      </c>
      <c r="D26" s="5">
        <v>2.0</v>
      </c>
      <c r="E26" s="5">
        <f>IF(Recruiting_Data!R26="Open", TODAY() - Recruiting_Data!P26, "")</f>
        <v>215</v>
      </c>
      <c r="F26" s="8" t="str">
        <f t="shared" si="1"/>
        <v>60+</v>
      </c>
      <c r="G26" s="5" t="b">
        <f>IF(A26="", "", IF(COUNTIF(Recruiting_Data!A:A, A26)&gt;1, TRUE, FALSE))</f>
        <v>0</v>
      </c>
      <c r="H26" s="5" t="b">
        <f>IF(A26="", "", IF(OR(AND(Recruiting_Data!N26&lt;&gt;"", Recruiting_Data!J26&lt;&gt;"", Recruiting_Data!N26&lt;Recruiting_Data!J26), AND(Recruiting_Data!M26&lt;&gt;"", Recruiting_Data!L26&lt;&gt;"", Recruiting_Data!M26&lt;Recruiting_Data!L26), AND(Recruiting_Data!L26&lt;&gt;"", Recruiting_Data!K26&lt;&gt;"", Recruiting_Data!L26&lt;Recruiting_Data!K26)), TRUE, FALSE))</f>
        <v>0</v>
      </c>
    </row>
    <row r="27">
      <c r="A27" s="5" t="str">
        <f>IF(Recruiting_Data!A27="", "", Recruiting_Data!A27)</f>
        <v>C-10026</v>
      </c>
      <c r="B27" s="5" t="str">
        <f>IF(Recruiting_Data!B27="", "", Recruiting_Data!B27)</f>
        <v>REQ-2026-0036</v>
      </c>
      <c r="C27" s="5" t="str">
        <f>IF(AND(ISNUMBER(Recruiting_Data!N27), ISNUMBER(Recruiting_Data!P27)), Recruiting_Data!N27 - Recruiting_Data!P27, "")</f>
        <v/>
      </c>
      <c r="D27" s="5">
        <v>3.0</v>
      </c>
      <c r="E27" s="5" t="str">
        <f>IF(Recruiting_Data!R27="Open", TODAY() - Recruiting_Data!P27, "")</f>
        <v/>
      </c>
      <c r="F27" s="8" t="str">
        <f t="shared" si="1"/>
        <v/>
      </c>
      <c r="G27" s="5" t="b">
        <f>IF(A27="", "", IF(COUNTIF(Recruiting_Data!A:A, A27)&gt;1, TRUE, FALSE))</f>
        <v>0</v>
      </c>
      <c r="H27" s="5" t="b">
        <f>IF(A27="", "", IF(OR(AND(Recruiting_Data!N27&lt;&gt;"", Recruiting_Data!J27&lt;&gt;"", Recruiting_Data!N27&lt;Recruiting_Data!J27), AND(Recruiting_Data!M27&lt;&gt;"", Recruiting_Data!L27&lt;&gt;"", Recruiting_Data!M27&lt;Recruiting_Data!L27), AND(Recruiting_Data!L27&lt;&gt;"", Recruiting_Data!K27&lt;&gt;"", Recruiting_Data!L27&lt;Recruiting_Data!K27)), TRUE, FALSE))</f>
        <v>0</v>
      </c>
    </row>
    <row r="28">
      <c r="A28" s="5" t="str">
        <f>IF(Recruiting_Data!A28="", "", Recruiting_Data!A28)</f>
        <v>C-10027</v>
      </c>
      <c r="B28" s="5" t="str">
        <f>IF(Recruiting_Data!B28="", "", Recruiting_Data!B28)</f>
        <v>REQ-2026-0032</v>
      </c>
      <c r="C28" s="5" t="str">
        <f>IF(AND(ISNUMBER(Recruiting_Data!N28), ISNUMBER(Recruiting_Data!P28)), Recruiting_Data!N28 - Recruiting_Data!P28, "")</f>
        <v/>
      </c>
      <c r="D28" s="5">
        <v>4.0</v>
      </c>
      <c r="E28" s="5">
        <f>IF(Recruiting_Data!R28="Open", TODAY() - Recruiting_Data!P28, "")</f>
        <v>211</v>
      </c>
      <c r="F28" s="8" t="str">
        <f t="shared" si="1"/>
        <v>60+</v>
      </c>
      <c r="G28" s="5" t="b">
        <f>IF(A28="", "", IF(COUNTIF(Recruiting_Data!A:A, A28)&gt;1, TRUE, FALSE))</f>
        <v>0</v>
      </c>
      <c r="H28" s="5" t="b">
        <f>IF(A28="", "", IF(OR(AND(Recruiting_Data!N28&lt;&gt;"", Recruiting_Data!J28&lt;&gt;"", Recruiting_Data!N28&lt;Recruiting_Data!J28), AND(Recruiting_Data!M28&lt;&gt;"", Recruiting_Data!L28&lt;&gt;"", Recruiting_Data!M28&lt;Recruiting_Data!L28), AND(Recruiting_Data!L28&lt;&gt;"", Recruiting_Data!K28&lt;&gt;"", Recruiting_Data!L28&lt;Recruiting_Data!K28)), TRUE, FALSE))</f>
        <v>0</v>
      </c>
    </row>
    <row r="29">
      <c r="A29" s="5" t="str">
        <f>IF(Recruiting_Data!A29="", "", Recruiting_Data!A29)</f>
        <v>C-10028</v>
      </c>
      <c r="B29" s="5" t="str">
        <f>IF(Recruiting_Data!B29="", "", Recruiting_Data!B29)</f>
        <v>REQ-2026-0031</v>
      </c>
      <c r="C29" s="5" t="str">
        <f>IF(AND(ISNUMBER(Recruiting_Data!N29), ISNUMBER(Recruiting_Data!P29)), Recruiting_Data!N29 - Recruiting_Data!P29, "")</f>
        <v/>
      </c>
      <c r="D29" s="5">
        <v>1.0</v>
      </c>
      <c r="E29" s="5">
        <f>IF(Recruiting_Data!R29="Open", TODAY() - Recruiting_Data!P29, "")</f>
        <v>256</v>
      </c>
      <c r="F29" s="8" t="str">
        <f t="shared" si="1"/>
        <v>60+</v>
      </c>
      <c r="G29" s="5" t="b">
        <f>IF(A29="", "", IF(COUNTIF(Recruiting_Data!A:A, A29)&gt;1, TRUE, FALSE))</f>
        <v>0</v>
      </c>
      <c r="H29" s="5" t="b">
        <f>IF(A29="", "", IF(OR(AND(Recruiting_Data!N29&lt;&gt;"", Recruiting_Data!J29&lt;&gt;"", Recruiting_Data!N29&lt;Recruiting_Data!J29), AND(Recruiting_Data!M29&lt;&gt;"", Recruiting_Data!L29&lt;&gt;"", Recruiting_Data!M29&lt;Recruiting_Data!L29), AND(Recruiting_Data!L29&lt;&gt;"", Recruiting_Data!K29&lt;&gt;"", Recruiting_Data!L29&lt;Recruiting_Data!K29)), TRUE, FALSE))</f>
        <v>0</v>
      </c>
    </row>
    <row r="30">
      <c r="A30" s="5" t="str">
        <f>IF(Recruiting_Data!A30="", "", Recruiting_Data!A30)</f>
        <v>C-10029</v>
      </c>
      <c r="B30" s="5" t="str">
        <f>IF(Recruiting_Data!B30="", "", Recruiting_Data!B30)</f>
        <v>REQ-2026-0050</v>
      </c>
      <c r="C30" s="5" t="str">
        <f>IF(AND(ISNUMBER(Recruiting_Data!N30), ISNUMBER(Recruiting_Data!P30)), Recruiting_Data!N30 - Recruiting_Data!P30, "")</f>
        <v/>
      </c>
      <c r="D30" s="5">
        <v>1.0</v>
      </c>
      <c r="E30" s="5" t="str">
        <f>IF(Recruiting_Data!R30="Open", TODAY() - Recruiting_Data!P30, "")</f>
        <v/>
      </c>
      <c r="F30" s="8" t="str">
        <f t="shared" si="1"/>
        <v/>
      </c>
      <c r="G30" s="5" t="b">
        <f>IF(A30="", "", IF(COUNTIF(Recruiting_Data!A:A, A30)&gt;1, TRUE, FALSE))</f>
        <v>0</v>
      </c>
      <c r="H30" s="5" t="b">
        <f>IF(A30="", "", IF(OR(AND(Recruiting_Data!N30&lt;&gt;"", Recruiting_Data!J30&lt;&gt;"", Recruiting_Data!N30&lt;Recruiting_Data!J30), AND(Recruiting_Data!M30&lt;&gt;"", Recruiting_Data!L30&lt;&gt;"", Recruiting_Data!M30&lt;Recruiting_Data!L30), AND(Recruiting_Data!L30&lt;&gt;"", Recruiting_Data!K30&lt;&gt;"", Recruiting_Data!L30&lt;Recruiting_Data!K30)), TRUE, FALSE))</f>
        <v>0</v>
      </c>
    </row>
    <row r="31">
      <c r="A31" s="5" t="str">
        <f>IF(Recruiting_Data!A31="", "", Recruiting_Data!A31)</f>
        <v>C-10030</v>
      </c>
      <c r="B31" s="5" t="str">
        <f>IF(Recruiting_Data!B31="", "", Recruiting_Data!B31)</f>
        <v>REQ-2026-0042</v>
      </c>
      <c r="C31" s="5" t="str">
        <f>IF(AND(ISNUMBER(Recruiting_Data!N31), ISNUMBER(Recruiting_Data!P31)), Recruiting_Data!N31 - Recruiting_Data!P31, "")</f>
        <v/>
      </c>
      <c r="D31" s="5">
        <v>3.0</v>
      </c>
      <c r="E31" s="5" t="str">
        <f>IF(Recruiting_Data!R31="Open", TODAY() - Recruiting_Data!P31, "")</f>
        <v/>
      </c>
      <c r="F31" s="8" t="str">
        <f t="shared" si="1"/>
        <v/>
      </c>
      <c r="G31" s="5" t="b">
        <f>IF(A31="", "", IF(COUNTIF(Recruiting_Data!A:A, A31)&gt;1, TRUE, FALSE))</f>
        <v>0</v>
      </c>
      <c r="H31" s="5" t="b">
        <f>IF(A31="", "", IF(OR(AND(Recruiting_Data!N31&lt;&gt;"", Recruiting_Data!J31&lt;&gt;"", Recruiting_Data!N31&lt;Recruiting_Data!J31), AND(Recruiting_Data!M31&lt;&gt;"", Recruiting_Data!L31&lt;&gt;"", Recruiting_Data!M31&lt;Recruiting_Data!L31), AND(Recruiting_Data!L31&lt;&gt;"", Recruiting_Data!K31&lt;&gt;"", Recruiting_Data!L31&lt;Recruiting_Data!K31)), TRUE, FALSE))</f>
        <v>0</v>
      </c>
    </row>
    <row r="32">
      <c r="A32" s="5" t="str">
        <f>IF(Recruiting_Data!A32="", "", Recruiting_Data!A32)</f>
        <v>C-10031</v>
      </c>
      <c r="B32" s="5" t="str">
        <f>IF(Recruiting_Data!B32="", "", Recruiting_Data!B32)</f>
        <v>REQ-2026-0032</v>
      </c>
      <c r="C32" s="5" t="str">
        <f>IF(AND(ISNUMBER(Recruiting_Data!N32), ISNUMBER(Recruiting_Data!P32)), Recruiting_Data!N32 - Recruiting_Data!P32, "")</f>
        <v/>
      </c>
      <c r="D32" s="5">
        <v>1.0</v>
      </c>
      <c r="E32" s="5">
        <f>IF(Recruiting_Data!R32="Open", TODAY() - Recruiting_Data!P32, "")</f>
        <v>163</v>
      </c>
      <c r="F32" s="8" t="str">
        <f t="shared" si="1"/>
        <v>60+</v>
      </c>
      <c r="G32" s="5" t="b">
        <f>IF(A32="", "", IF(COUNTIF(Recruiting_Data!A:A, A32)&gt;1, TRUE, FALSE))</f>
        <v>0</v>
      </c>
      <c r="H32" s="5" t="b">
        <f>IF(A32="", "", IF(OR(AND(Recruiting_Data!N32&lt;&gt;"", Recruiting_Data!J32&lt;&gt;"", Recruiting_Data!N32&lt;Recruiting_Data!J32), AND(Recruiting_Data!M32&lt;&gt;"", Recruiting_Data!L32&lt;&gt;"", Recruiting_Data!M32&lt;Recruiting_Data!L32), AND(Recruiting_Data!L32&lt;&gt;"", Recruiting_Data!K32&lt;&gt;"", Recruiting_Data!L32&lt;Recruiting_Data!K32)), TRUE, FALSE))</f>
        <v>0</v>
      </c>
    </row>
    <row r="33">
      <c r="A33" s="5" t="str">
        <f>IF(Recruiting_Data!A33="", "", Recruiting_Data!A33)</f>
        <v>C-10032</v>
      </c>
      <c r="B33" s="5" t="str">
        <f>IF(Recruiting_Data!B33="", "", Recruiting_Data!B33)</f>
        <v>REQ-2026-0031</v>
      </c>
      <c r="C33" s="5" t="str">
        <f>IF(AND(ISNUMBER(Recruiting_Data!N33), ISNUMBER(Recruiting_Data!P33)), Recruiting_Data!N33 - Recruiting_Data!P33, "")</f>
        <v/>
      </c>
      <c r="D33" s="5">
        <v>1.0</v>
      </c>
      <c r="E33" s="5">
        <f>IF(Recruiting_Data!R33="Open", TODAY() - Recruiting_Data!P33, "")</f>
        <v>108</v>
      </c>
      <c r="F33" s="8" t="str">
        <f t="shared" si="1"/>
        <v>60+</v>
      </c>
      <c r="G33" s="5" t="b">
        <f>IF(A33="", "", IF(COUNTIF(Recruiting_Data!A:A, A33)&gt;1, TRUE, FALSE))</f>
        <v>0</v>
      </c>
      <c r="H33" s="5" t="b">
        <f>IF(A33="", "", IF(OR(AND(Recruiting_Data!N33&lt;&gt;"", Recruiting_Data!J33&lt;&gt;"", Recruiting_Data!N33&lt;Recruiting_Data!J33), AND(Recruiting_Data!M33&lt;&gt;"", Recruiting_Data!L33&lt;&gt;"", Recruiting_Data!M33&lt;Recruiting_Data!L33), AND(Recruiting_Data!L33&lt;&gt;"", Recruiting_Data!K33&lt;&gt;"", Recruiting_Data!L33&lt;Recruiting_Data!K33)), TRUE, FALSE))</f>
        <v>0</v>
      </c>
    </row>
    <row r="34">
      <c r="A34" s="5" t="str">
        <f>IF(Recruiting_Data!A34="", "", Recruiting_Data!A34)</f>
        <v>C-10033</v>
      </c>
      <c r="B34" s="5" t="str">
        <f>IF(Recruiting_Data!B34="", "", Recruiting_Data!B34)</f>
        <v>REQ-2026-0045</v>
      </c>
      <c r="C34" s="5" t="str">
        <f>IF(AND(ISNUMBER(Recruiting_Data!N34), ISNUMBER(Recruiting_Data!P34)), Recruiting_Data!N34 - Recruiting_Data!P34, "")</f>
        <v/>
      </c>
      <c r="D34" s="5">
        <v>1.0</v>
      </c>
      <c r="E34" s="5" t="str">
        <f>IF(Recruiting_Data!R34="Open", TODAY() - Recruiting_Data!P34, "")</f>
        <v/>
      </c>
      <c r="F34" s="8" t="str">
        <f t="shared" si="1"/>
        <v/>
      </c>
      <c r="G34" s="5" t="b">
        <f>IF(A34="", "", IF(COUNTIF(Recruiting_Data!A:A, A34)&gt;1, TRUE, FALSE))</f>
        <v>0</v>
      </c>
      <c r="H34" s="5" t="b">
        <f>IF(A34="", "", IF(OR(AND(Recruiting_Data!N34&lt;&gt;"", Recruiting_Data!J34&lt;&gt;"", Recruiting_Data!N34&lt;Recruiting_Data!J34), AND(Recruiting_Data!M34&lt;&gt;"", Recruiting_Data!L34&lt;&gt;"", Recruiting_Data!M34&lt;Recruiting_Data!L34), AND(Recruiting_Data!L34&lt;&gt;"", Recruiting_Data!K34&lt;&gt;"", Recruiting_Data!L34&lt;Recruiting_Data!K34)), TRUE, FALSE))</f>
        <v>0</v>
      </c>
    </row>
    <row r="35">
      <c r="A35" s="5" t="str">
        <f>IF(Recruiting_Data!A35="", "", Recruiting_Data!A35)</f>
        <v>C-10034</v>
      </c>
      <c r="B35" s="5" t="str">
        <f>IF(Recruiting_Data!B35="", "", Recruiting_Data!B35)</f>
        <v>REQ-2026-0035</v>
      </c>
      <c r="C35" s="5" t="str">
        <f>IF(AND(ISNUMBER(Recruiting_Data!N35), ISNUMBER(Recruiting_Data!P35)), Recruiting_Data!N35 - Recruiting_Data!P35, "")</f>
        <v/>
      </c>
      <c r="D35" s="5">
        <v>1.0</v>
      </c>
      <c r="E35" s="5" t="str">
        <f>IF(Recruiting_Data!R35="Open", TODAY() - Recruiting_Data!P35, "")</f>
        <v/>
      </c>
      <c r="F35" s="8" t="str">
        <f t="shared" si="1"/>
        <v/>
      </c>
      <c r="G35" s="5" t="b">
        <f>IF(A35="", "", IF(COUNTIF(Recruiting_Data!A:A, A35)&gt;1, TRUE, FALSE))</f>
        <v>0</v>
      </c>
      <c r="H35" s="5" t="b">
        <f>IF(A35="", "", IF(OR(AND(Recruiting_Data!N35&lt;&gt;"", Recruiting_Data!J35&lt;&gt;"", Recruiting_Data!N35&lt;Recruiting_Data!J35), AND(Recruiting_Data!M35&lt;&gt;"", Recruiting_Data!L35&lt;&gt;"", Recruiting_Data!M35&lt;Recruiting_Data!L35), AND(Recruiting_Data!L35&lt;&gt;"", Recruiting_Data!K35&lt;&gt;"", Recruiting_Data!L35&lt;Recruiting_Data!K35)), TRUE, FALSE))</f>
        <v>0</v>
      </c>
    </row>
    <row r="36">
      <c r="A36" s="5" t="str">
        <f>IF(Recruiting_Data!A36="", "", Recruiting_Data!A36)</f>
        <v>C-10035</v>
      </c>
      <c r="B36" s="5" t="str">
        <f>IF(Recruiting_Data!B36="", "", Recruiting_Data!B36)</f>
        <v>REQ-2026-0034</v>
      </c>
      <c r="C36" s="5" t="str">
        <f>IF(AND(ISNUMBER(Recruiting_Data!N36), ISNUMBER(Recruiting_Data!P36)), Recruiting_Data!N36 - Recruiting_Data!P36, "")</f>
        <v/>
      </c>
      <c r="D36" s="5">
        <v>2.0</v>
      </c>
      <c r="E36" s="5" t="str">
        <f>IF(Recruiting_Data!R36="Open", TODAY() - Recruiting_Data!P36, "")</f>
        <v/>
      </c>
      <c r="F36" s="8" t="str">
        <f t="shared" si="1"/>
        <v/>
      </c>
      <c r="G36" s="5" t="b">
        <f>IF(A36="", "", IF(COUNTIF(Recruiting_Data!A:A, A36)&gt;1, TRUE, FALSE))</f>
        <v>0</v>
      </c>
      <c r="H36" s="5" t="b">
        <f>IF(A36="", "", IF(OR(AND(Recruiting_Data!N36&lt;&gt;"", Recruiting_Data!J36&lt;&gt;"", Recruiting_Data!N36&lt;Recruiting_Data!J36), AND(Recruiting_Data!M36&lt;&gt;"", Recruiting_Data!L36&lt;&gt;"", Recruiting_Data!M36&lt;Recruiting_Data!L36), AND(Recruiting_Data!L36&lt;&gt;"", Recruiting_Data!K36&lt;&gt;"", Recruiting_Data!L36&lt;Recruiting_Data!K36)), TRUE, FALSE))</f>
        <v>0</v>
      </c>
    </row>
    <row r="37">
      <c r="A37" s="5" t="str">
        <f>IF(Recruiting_Data!A37="", "", Recruiting_Data!A37)</f>
        <v>C-10036</v>
      </c>
      <c r="B37" s="5" t="str">
        <f>IF(Recruiting_Data!B37="", "", Recruiting_Data!B37)</f>
        <v>REQ-2026-0031</v>
      </c>
      <c r="C37" s="5" t="str">
        <f>IF(AND(ISNUMBER(Recruiting_Data!N37), ISNUMBER(Recruiting_Data!P37)), Recruiting_Data!N37 - Recruiting_Data!P37, "")</f>
        <v/>
      </c>
      <c r="D37" s="5">
        <v>2.0</v>
      </c>
      <c r="E37" s="5">
        <f>IF(Recruiting_Data!R37="Open", TODAY() - Recruiting_Data!P37, "")</f>
        <v>162</v>
      </c>
      <c r="F37" s="8" t="str">
        <f t="shared" si="1"/>
        <v>60+</v>
      </c>
      <c r="G37" s="5" t="b">
        <f>IF(A37="", "", IF(COUNTIF(Recruiting_Data!A:A, A37)&gt;1, TRUE, FALSE))</f>
        <v>0</v>
      </c>
      <c r="H37" s="5" t="b">
        <f>IF(A37="", "", IF(OR(AND(Recruiting_Data!N37&lt;&gt;"", Recruiting_Data!J37&lt;&gt;"", Recruiting_Data!N37&lt;Recruiting_Data!J37), AND(Recruiting_Data!M37&lt;&gt;"", Recruiting_Data!L37&lt;&gt;"", Recruiting_Data!M37&lt;Recruiting_Data!L37), AND(Recruiting_Data!L37&lt;&gt;"", Recruiting_Data!K37&lt;&gt;"", Recruiting_Data!L37&lt;Recruiting_Data!K37)), TRUE, FALSE))</f>
        <v>0</v>
      </c>
    </row>
    <row r="38">
      <c r="A38" s="5" t="str">
        <f>IF(Recruiting_Data!A38="", "", Recruiting_Data!A38)</f>
        <v>C-10037</v>
      </c>
      <c r="B38" s="5" t="str">
        <f>IF(Recruiting_Data!B38="", "", Recruiting_Data!B38)</f>
        <v>REQ-2026-0006</v>
      </c>
      <c r="C38" s="5" t="str">
        <f>IF(AND(ISNUMBER(Recruiting_Data!N38), ISNUMBER(Recruiting_Data!P38)), Recruiting_Data!N38 - Recruiting_Data!P38, "")</f>
        <v/>
      </c>
      <c r="D38" s="5">
        <v>3.0</v>
      </c>
      <c r="E38" s="5" t="str">
        <f>IF(Recruiting_Data!R38="Open", TODAY() - Recruiting_Data!P38, "")</f>
        <v/>
      </c>
      <c r="F38" s="8" t="str">
        <f t="shared" si="1"/>
        <v/>
      </c>
      <c r="G38" s="5" t="b">
        <f>IF(A38="", "", IF(COUNTIF(Recruiting_Data!A:A, A38)&gt;1, TRUE, FALSE))</f>
        <v>0</v>
      </c>
      <c r="H38" s="5" t="b">
        <f>IF(A38="", "", IF(OR(AND(Recruiting_Data!N38&lt;&gt;"", Recruiting_Data!J38&lt;&gt;"", Recruiting_Data!N38&lt;Recruiting_Data!J38), AND(Recruiting_Data!M38&lt;&gt;"", Recruiting_Data!L38&lt;&gt;"", Recruiting_Data!M38&lt;Recruiting_Data!L38), AND(Recruiting_Data!L38&lt;&gt;"", Recruiting_Data!K38&lt;&gt;"", Recruiting_Data!L38&lt;Recruiting_Data!K38)), TRUE, FALSE))</f>
        <v>0</v>
      </c>
    </row>
    <row r="39">
      <c r="A39" s="5" t="str">
        <f>IF(Recruiting_Data!A39="", "", Recruiting_Data!A39)</f>
        <v>C-10038</v>
      </c>
      <c r="B39" s="5" t="str">
        <f>IF(Recruiting_Data!B39="", "", Recruiting_Data!B39)</f>
        <v>REQ-2026-0046</v>
      </c>
      <c r="C39" s="5" t="str">
        <f>IF(AND(ISNUMBER(Recruiting_Data!N39), ISNUMBER(Recruiting_Data!P39)), Recruiting_Data!N39 - Recruiting_Data!P39, "")</f>
        <v/>
      </c>
      <c r="D39" s="5">
        <v>1.0</v>
      </c>
      <c r="E39" s="5">
        <f>IF(Recruiting_Data!R39="Open", TODAY() - Recruiting_Data!P39, "")</f>
        <v>166</v>
      </c>
      <c r="F39" s="8" t="str">
        <f t="shared" si="1"/>
        <v>60+</v>
      </c>
      <c r="G39" s="5" t="b">
        <f>IF(A39="", "", IF(COUNTIF(Recruiting_Data!A:A, A39)&gt;1, TRUE, FALSE))</f>
        <v>0</v>
      </c>
      <c r="H39" s="5" t="b">
        <f>IF(A39="", "", IF(OR(AND(Recruiting_Data!N39&lt;&gt;"", Recruiting_Data!J39&lt;&gt;"", Recruiting_Data!N39&lt;Recruiting_Data!J39), AND(Recruiting_Data!M39&lt;&gt;"", Recruiting_Data!L39&lt;&gt;"", Recruiting_Data!M39&lt;Recruiting_Data!L39), AND(Recruiting_Data!L39&lt;&gt;"", Recruiting_Data!K39&lt;&gt;"", Recruiting_Data!L39&lt;Recruiting_Data!K39)), TRUE, FALSE))</f>
        <v>0</v>
      </c>
    </row>
    <row r="40">
      <c r="A40" s="5" t="str">
        <f>IF(Recruiting_Data!A40="", "", Recruiting_Data!A40)</f>
        <v>C-10039</v>
      </c>
      <c r="B40" s="5" t="str">
        <f>IF(Recruiting_Data!B40="", "", Recruiting_Data!B40)</f>
        <v>REQ-2026-0038</v>
      </c>
      <c r="C40" s="5" t="str">
        <f>IF(AND(ISNUMBER(Recruiting_Data!N40), ISNUMBER(Recruiting_Data!P40)), Recruiting_Data!N40 - Recruiting_Data!P40, "")</f>
        <v/>
      </c>
      <c r="D40" s="5">
        <v>1.0</v>
      </c>
      <c r="E40" s="5" t="str">
        <f>IF(Recruiting_Data!R40="Open", TODAY() - Recruiting_Data!P40, "")</f>
        <v/>
      </c>
      <c r="F40" s="8" t="str">
        <f t="shared" si="1"/>
        <v/>
      </c>
      <c r="G40" s="5" t="b">
        <f>IF(A40="", "", IF(COUNTIF(Recruiting_Data!A:A, A40)&gt;1, TRUE, FALSE))</f>
        <v>0</v>
      </c>
      <c r="H40" s="5" t="b">
        <f>IF(A40="", "", IF(OR(AND(Recruiting_Data!N40&lt;&gt;"", Recruiting_Data!J40&lt;&gt;"", Recruiting_Data!N40&lt;Recruiting_Data!J40), AND(Recruiting_Data!M40&lt;&gt;"", Recruiting_Data!L40&lt;&gt;"", Recruiting_Data!M40&lt;Recruiting_Data!L40), AND(Recruiting_Data!L40&lt;&gt;"", Recruiting_Data!K40&lt;&gt;"", Recruiting_Data!L40&lt;Recruiting_Data!K40)), TRUE, FALSE))</f>
        <v>0</v>
      </c>
    </row>
    <row r="41">
      <c r="A41" s="5" t="str">
        <f>IF(Recruiting_Data!A41="", "", Recruiting_Data!A41)</f>
        <v>C-10040</v>
      </c>
      <c r="B41" s="5" t="str">
        <f>IF(Recruiting_Data!B41="", "", Recruiting_Data!B41)</f>
        <v>REQ-2026-0005</v>
      </c>
      <c r="C41" s="5" t="str">
        <f>IF(AND(ISNUMBER(Recruiting_Data!N41), ISNUMBER(Recruiting_Data!P41)), Recruiting_Data!N41 - Recruiting_Data!P41, "")</f>
        <v/>
      </c>
      <c r="D41" s="5">
        <v>1.0</v>
      </c>
      <c r="E41" s="5">
        <f>IF(Recruiting_Data!R41="Open", TODAY() - Recruiting_Data!P41, "")</f>
        <v>128</v>
      </c>
      <c r="F41" s="8" t="str">
        <f t="shared" si="1"/>
        <v>60+</v>
      </c>
      <c r="G41" s="5" t="b">
        <f>IF(A41="", "", IF(COUNTIF(Recruiting_Data!A:A, A41)&gt;1, TRUE, FALSE))</f>
        <v>0</v>
      </c>
      <c r="H41" s="5" t="b">
        <f>IF(A41="", "", IF(OR(AND(Recruiting_Data!N41&lt;&gt;"", Recruiting_Data!J41&lt;&gt;"", Recruiting_Data!N41&lt;Recruiting_Data!J41), AND(Recruiting_Data!M41&lt;&gt;"", Recruiting_Data!L41&lt;&gt;"", Recruiting_Data!M41&lt;Recruiting_Data!L41), AND(Recruiting_Data!L41&lt;&gt;"", Recruiting_Data!K41&lt;&gt;"", Recruiting_Data!L41&lt;Recruiting_Data!K41)), TRUE, FALSE))</f>
        <v>0</v>
      </c>
    </row>
    <row r="42">
      <c r="A42" s="5" t="str">
        <f>IF(Recruiting_Data!A42="", "", Recruiting_Data!A42)</f>
        <v>C-10041</v>
      </c>
      <c r="B42" s="5" t="str">
        <f>IF(Recruiting_Data!B42="", "", Recruiting_Data!B42)</f>
        <v>REQ-2026-0020</v>
      </c>
      <c r="C42" s="5">
        <f>IF(AND(ISNUMBER(Recruiting_Data!N42), ISNUMBER(Recruiting_Data!P42)), Recruiting_Data!N42 - Recruiting_Data!P42, "")</f>
        <v>48</v>
      </c>
      <c r="D42" s="5">
        <v>5.0</v>
      </c>
      <c r="E42" s="5" t="str">
        <f>IF(Recruiting_Data!R42="Open", TODAY() - Recruiting_Data!P42, "")</f>
        <v/>
      </c>
      <c r="F42" s="8" t="str">
        <f t="shared" si="1"/>
        <v/>
      </c>
      <c r="G42" s="5" t="b">
        <f>IF(A42="", "", IF(COUNTIF(Recruiting_Data!A:A, A42)&gt;1, TRUE, FALSE))</f>
        <v>0</v>
      </c>
      <c r="H42" s="5" t="b">
        <f>IF(A42="", "", IF(OR(AND(Recruiting_Data!N42&lt;&gt;"", Recruiting_Data!J42&lt;&gt;"", Recruiting_Data!N42&lt;Recruiting_Data!J42), AND(Recruiting_Data!M42&lt;&gt;"", Recruiting_Data!L42&lt;&gt;"", Recruiting_Data!M42&lt;Recruiting_Data!L42), AND(Recruiting_Data!L42&lt;&gt;"", Recruiting_Data!K42&lt;&gt;"", Recruiting_Data!L42&lt;Recruiting_Data!K42)), TRUE, FALSE))</f>
        <v>0</v>
      </c>
    </row>
    <row r="43">
      <c r="A43" s="5" t="str">
        <f>IF(Recruiting_Data!A43="", "", Recruiting_Data!A43)</f>
        <v>C-10042</v>
      </c>
      <c r="B43" s="5" t="str">
        <f>IF(Recruiting_Data!B43="", "", Recruiting_Data!B43)</f>
        <v>REQ-2026-0029</v>
      </c>
      <c r="C43" s="5" t="str">
        <f>IF(AND(ISNUMBER(Recruiting_Data!N43), ISNUMBER(Recruiting_Data!P43)), Recruiting_Data!N43 - Recruiting_Data!P43, "")</f>
        <v/>
      </c>
      <c r="D43" s="5">
        <v>1.0</v>
      </c>
      <c r="E43" s="5" t="str">
        <f>IF(Recruiting_Data!R43="Open", TODAY() - Recruiting_Data!P43, "")</f>
        <v/>
      </c>
      <c r="F43" s="8" t="str">
        <f t="shared" si="1"/>
        <v/>
      </c>
      <c r="G43" s="5" t="b">
        <f>IF(A43="", "", IF(COUNTIF(Recruiting_Data!A:A, A43)&gt;1, TRUE, FALSE))</f>
        <v>0</v>
      </c>
      <c r="H43" s="5" t="b">
        <f>IF(A43="", "", IF(OR(AND(Recruiting_Data!N43&lt;&gt;"", Recruiting_Data!J43&lt;&gt;"", Recruiting_Data!N43&lt;Recruiting_Data!J43), AND(Recruiting_Data!M43&lt;&gt;"", Recruiting_Data!L43&lt;&gt;"", Recruiting_Data!M43&lt;Recruiting_Data!L43), AND(Recruiting_Data!L43&lt;&gt;"", Recruiting_Data!K43&lt;&gt;"", Recruiting_Data!L43&lt;Recruiting_Data!K43)), TRUE, FALSE))</f>
        <v>0</v>
      </c>
    </row>
    <row r="44">
      <c r="A44" s="5" t="str">
        <f>IF(Recruiting_Data!A44="", "", Recruiting_Data!A44)</f>
        <v>C-10043</v>
      </c>
      <c r="B44" s="5" t="str">
        <f>IF(Recruiting_Data!B44="", "", Recruiting_Data!B44)</f>
        <v>REQ-2026-0017</v>
      </c>
      <c r="C44" s="5" t="str">
        <f>IF(AND(ISNUMBER(Recruiting_Data!N44), ISNUMBER(Recruiting_Data!P44)), Recruiting_Data!N44 - Recruiting_Data!P44, "")</f>
        <v/>
      </c>
      <c r="D44" s="5">
        <v>1.0</v>
      </c>
      <c r="E44" s="5" t="str">
        <f>IF(Recruiting_Data!R44="Open", TODAY() - Recruiting_Data!P44, "")</f>
        <v/>
      </c>
      <c r="F44" s="8" t="str">
        <f t="shared" si="1"/>
        <v/>
      </c>
      <c r="G44" s="5" t="b">
        <f>IF(A44="", "", IF(COUNTIF(Recruiting_Data!A:A, A44)&gt;1, TRUE, FALSE))</f>
        <v>0</v>
      </c>
      <c r="H44" s="5" t="b">
        <f>IF(A44="", "", IF(OR(AND(Recruiting_Data!N44&lt;&gt;"", Recruiting_Data!J44&lt;&gt;"", Recruiting_Data!N44&lt;Recruiting_Data!J44), AND(Recruiting_Data!M44&lt;&gt;"", Recruiting_Data!L44&lt;&gt;"", Recruiting_Data!M44&lt;Recruiting_Data!L44), AND(Recruiting_Data!L44&lt;&gt;"", Recruiting_Data!K44&lt;&gt;"", Recruiting_Data!L44&lt;Recruiting_Data!K44)), TRUE, FALSE))</f>
        <v>0</v>
      </c>
    </row>
    <row r="45">
      <c r="A45" s="5" t="str">
        <f>IF(Recruiting_Data!A45="", "", Recruiting_Data!A45)</f>
        <v>C-10044</v>
      </c>
      <c r="B45" s="5" t="str">
        <f>IF(Recruiting_Data!B45="", "", Recruiting_Data!B45)</f>
        <v>REQ-2026-0023</v>
      </c>
      <c r="C45" s="5" t="str">
        <f>IF(AND(ISNUMBER(Recruiting_Data!N45), ISNUMBER(Recruiting_Data!P45)), Recruiting_Data!N45 - Recruiting_Data!P45, "")</f>
        <v/>
      </c>
      <c r="D45" s="5">
        <v>2.0</v>
      </c>
      <c r="E45" s="5" t="str">
        <f>IF(Recruiting_Data!R45="Open", TODAY() - Recruiting_Data!P45, "")</f>
        <v/>
      </c>
      <c r="F45" s="8" t="str">
        <f t="shared" si="1"/>
        <v/>
      </c>
      <c r="G45" s="5" t="b">
        <f>IF(A45="", "", IF(COUNTIF(Recruiting_Data!A:A, A45)&gt;1, TRUE, FALSE))</f>
        <v>0</v>
      </c>
      <c r="H45" s="5" t="b">
        <f>IF(A45="", "", IF(OR(AND(Recruiting_Data!N45&lt;&gt;"", Recruiting_Data!J45&lt;&gt;"", Recruiting_Data!N45&lt;Recruiting_Data!J45), AND(Recruiting_Data!M45&lt;&gt;"", Recruiting_Data!L45&lt;&gt;"", Recruiting_Data!M45&lt;Recruiting_Data!L45), AND(Recruiting_Data!L45&lt;&gt;"", Recruiting_Data!K45&lt;&gt;"", Recruiting_Data!L45&lt;Recruiting_Data!K45)), TRUE, FALSE))</f>
        <v>0</v>
      </c>
    </row>
    <row r="46">
      <c r="A46" s="5" t="str">
        <f>IF(Recruiting_Data!A46="", "", Recruiting_Data!A46)</f>
        <v>C-10045</v>
      </c>
      <c r="B46" s="5" t="str">
        <f>IF(Recruiting_Data!B46="", "", Recruiting_Data!B46)</f>
        <v>REQ-2026-0010</v>
      </c>
      <c r="C46" s="5">
        <f>IF(AND(ISNUMBER(Recruiting_Data!N46), ISNUMBER(Recruiting_Data!P46)), Recruiting_Data!N46 - Recruiting_Data!P46, "")</f>
        <v>50</v>
      </c>
      <c r="D46" s="5">
        <v>5.0</v>
      </c>
      <c r="E46" s="5" t="str">
        <f>IF(Recruiting_Data!R46="Open", TODAY() - Recruiting_Data!P46, "")</f>
        <v/>
      </c>
      <c r="F46" s="8" t="str">
        <f t="shared" si="1"/>
        <v/>
      </c>
      <c r="G46" s="5" t="b">
        <f>IF(A46="", "", IF(COUNTIF(Recruiting_Data!A:A, A46)&gt;1, TRUE, FALSE))</f>
        <v>0</v>
      </c>
      <c r="H46" s="5" t="b">
        <f>IF(A46="", "", IF(OR(AND(Recruiting_Data!N46&lt;&gt;"", Recruiting_Data!J46&lt;&gt;"", Recruiting_Data!N46&lt;Recruiting_Data!J46), AND(Recruiting_Data!M46&lt;&gt;"", Recruiting_Data!L46&lt;&gt;"", Recruiting_Data!M46&lt;Recruiting_Data!L46), AND(Recruiting_Data!L46&lt;&gt;"", Recruiting_Data!K46&lt;&gt;"", Recruiting_Data!L46&lt;Recruiting_Data!K46)), TRUE, FALSE))</f>
        <v>0</v>
      </c>
    </row>
    <row r="47">
      <c r="A47" s="5" t="str">
        <f>IF(Recruiting_Data!A47="", "", Recruiting_Data!A47)</f>
        <v>C-10046</v>
      </c>
      <c r="B47" s="5" t="str">
        <f>IF(Recruiting_Data!B47="", "", Recruiting_Data!B47)</f>
        <v>REQ-2026-0039</v>
      </c>
      <c r="C47" s="5" t="str">
        <f>IF(AND(ISNUMBER(Recruiting_Data!N47), ISNUMBER(Recruiting_Data!P47)), Recruiting_Data!N47 - Recruiting_Data!P47, "")</f>
        <v/>
      </c>
      <c r="D47" s="5">
        <v>1.0</v>
      </c>
      <c r="E47" s="5">
        <f>IF(Recruiting_Data!R47="Open", TODAY() - Recruiting_Data!P47, "")</f>
        <v>210</v>
      </c>
      <c r="F47" s="8" t="str">
        <f t="shared" si="1"/>
        <v>60+</v>
      </c>
      <c r="G47" s="5" t="b">
        <f>IF(A47="", "", IF(COUNTIF(Recruiting_Data!A:A, A47)&gt;1, TRUE, FALSE))</f>
        <v>0</v>
      </c>
      <c r="H47" s="5" t="b">
        <f>IF(A47="", "", IF(OR(AND(Recruiting_Data!N47&lt;&gt;"", Recruiting_Data!J47&lt;&gt;"", Recruiting_Data!N47&lt;Recruiting_Data!J47), AND(Recruiting_Data!M47&lt;&gt;"", Recruiting_Data!L47&lt;&gt;"", Recruiting_Data!M47&lt;Recruiting_Data!L47), AND(Recruiting_Data!L47&lt;&gt;"", Recruiting_Data!K47&lt;&gt;"", Recruiting_Data!L47&lt;Recruiting_Data!K47)), TRUE, FALSE))</f>
        <v>0</v>
      </c>
    </row>
    <row r="48">
      <c r="A48" s="5" t="str">
        <f>IF(Recruiting_Data!A48="", "", Recruiting_Data!A48)</f>
        <v>C-10047</v>
      </c>
      <c r="B48" s="5" t="str">
        <f>IF(Recruiting_Data!B48="", "", Recruiting_Data!B48)</f>
        <v>REQ-2026-0024</v>
      </c>
      <c r="C48" s="5" t="str">
        <f>IF(AND(ISNUMBER(Recruiting_Data!N48), ISNUMBER(Recruiting_Data!P48)), Recruiting_Data!N48 - Recruiting_Data!P48, "")</f>
        <v/>
      </c>
      <c r="D48" s="5">
        <v>3.0</v>
      </c>
      <c r="E48" s="5" t="str">
        <f>IF(Recruiting_Data!R48="Open", TODAY() - Recruiting_Data!P48, "")</f>
        <v/>
      </c>
      <c r="F48" s="8" t="str">
        <f t="shared" si="1"/>
        <v/>
      </c>
      <c r="G48" s="5" t="b">
        <f>IF(A48="", "", IF(COUNTIF(Recruiting_Data!A:A, A48)&gt;1, TRUE, FALSE))</f>
        <v>0</v>
      </c>
      <c r="H48" s="5" t="b">
        <f>IF(A48="", "", IF(OR(AND(Recruiting_Data!N48&lt;&gt;"", Recruiting_Data!J48&lt;&gt;"", Recruiting_Data!N48&lt;Recruiting_Data!J48), AND(Recruiting_Data!M48&lt;&gt;"", Recruiting_Data!L48&lt;&gt;"", Recruiting_Data!M48&lt;Recruiting_Data!L48), AND(Recruiting_Data!L48&lt;&gt;"", Recruiting_Data!K48&lt;&gt;"", Recruiting_Data!L48&lt;Recruiting_Data!K48)), TRUE, FALSE))</f>
        <v>0</v>
      </c>
    </row>
    <row r="49">
      <c r="A49" s="5" t="str">
        <f>IF(Recruiting_Data!A49="", "", Recruiting_Data!A49)</f>
        <v>C-10048</v>
      </c>
      <c r="B49" s="5" t="str">
        <f>IF(Recruiting_Data!B49="", "", Recruiting_Data!B49)</f>
        <v>REQ-2026-0011</v>
      </c>
      <c r="C49" s="5" t="str">
        <f>IF(AND(ISNUMBER(Recruiting_Data!N49), ISNUMBER(Recruiting_Data!P49)), Recruiting_Data!N49 - Recruiting_Data!P49, "")</f>
        <v/>
      </c>
      <c r="D49" s="5">
        <v>1.0</v>
      </c>
      <c r="E49" s="5" t="str">
        <f>IF(Recruiting_Data!R49="Open", TODAY() - Recruiting_Data!P49, "")</f>
        <v/>
      </c>
      <c r="F49" s="8" t="str">
        <f t="shared" si="1"/>
        <v/>
      </c>
      <c r="G49" s="5" t="b">
        <f>IF(A49="", "", IF(COUNTIF(Recruiting_Data!A:A, A49)&gt;1, TRUE, FALSE))</f>
        <v>0</v>
      </c>
      <c r="H49" s="5" t="b">
        <f>IF(A49="", "", IF(OR(AND(Recruiting_Data!N49&lt;&gt;"", Recruiting_Data!J49&lt;&gt;"", Recruiting_Data!N49&lt;Recruiting_Data!J49), AND(Recruiting_Data!M49&lt;&gt;"", Recruiting_Data!L49&lt;&gt;"", Recruiting_Data!M49&lt;Recruiting_Data!L49), AND(Recruiting_Data!L49&lt;&gt;"", Recruiting_Data!K49&lt;&gt;"", Recruiting_Data!L49&lt;Recruiting_Data!K49)), TRUE, FALSE))</f>
        <v>0</v>
      </c>
    </row>
    <row r="50">
      <c r="A50" s="5" t="str">
        <f>IF(Recruiting_Data!A50="", "", Recruiting_Data!A50)</f>
        <v>C-10049</v>
      </c>
      <c r="B50" s="5" t="str">
        <f>IF(Recruiting_Data!B50="", "", Recruiting_Data!B50)</f>
        <v>REQ-2026-0027</v>
      </c>
      <c r="C50" s="5" t="str">
        <f>IF(AND(ISNUMBER(Recruiting_Data!N50), ISNUMBER(Recruiting_Data!P50)), Recruiting_Data!N50 - Recruiting_Data!P50, "")</f>
        <v/>
      </c>
      <c r="D50" s="5">
        <v>1.0</v>
      </c>
      <c r="E50" s="5" t="str">
        <f>IF(Recruiting_Data!R50="Open", TODAY() - Recruiting_Data!P50, "")</f>
        <v/>
      </c>
      <c r="F50" s="8" t="str">
        <f t="shared" si="1"/>
        <v/>
      </c>
      <c r="G50" s="5" t="b">
        <f>IF(A50="", "", IF(COUNTIF(Recruiting_Data!A:A, A50)&gt;1, TRUE, FALSE))</f>
        <v>0</v>
      </c>
      <c r="H50" s="5" t="b">
        <f>IF(A50="", "", IF(OR(AND(Recruiting_Data!N50&lt;&gt;"", Recruiting_Data!J50&lt;&gt;"", Recruiting_Data!N50&lt;Recruiting_Data!J50), AND(Recruiting_Data!M50&lt;&gt;"", Recruiting_Data!L50&lt;&gt;"", Recruiting_Data!M50&lt;Recruiting_Data!L50), AND(Recruiting_Data!L50&lt;&gt;"", Recruiting_Data!K50&lt;&gt;"", Recruiting_Data!L50&lt;Recruiting_Data!K50)), TRUE, FALSE))</f>
        <v>0</v>
      </c>
    </row>
    <row r="51">
      <c r="A51" s="5" t="str">
        <f>IF(Recruiting_Data!A51="", "", Recruiting_Data!A51)</f>
        <v>C-10050</v>
      </c>
      <c r="B51" s="5" t="str">
        <f>IF(Recruiting_Data!B51="", "", Recruiting_Data!B51)</f>
        <v>REQ-2026-0004</v>
      </c>
      <c r="C51" s="5" t="str">
        <f>IF(AND(ISNUMBER(Recruiting_Data!N51), ISNUMBER(Recruiting_Data!P51)), Recruiting_Data!N51 - Recruiting_Data!P51, "")</f>
        <v/>
      </c>
      <c r="D51" s="5">
        <v>1.0</v>
      </c>
      <c r="E51" s="5" t="str">
        <f>IF(Recruiting_Data!R51="Open", TODAY() - Recruiting_Data!P51, "")</f>
        <v/>
      </c>
      <c r="F51" s="8" t="str">
        <f t="shared" si="1"/>
        <v/>
      </c>
      <c r="G51" s="5" t="b">
        <f>IF(A51="", "", IF(COUNTIF(Recruiting_Data!A:A, A51)&gt;1, TRUE, FALSE))</f>
        <v>0</v>
      </c>
      <c r="H51" s="5" t="b">
        <f>IF(A51="", "", IF(OR(AND(Recruiting_Data!N51&lt;&gt;"", Recruiting_Data!J51&lt;&gt;"", Recruiting_Data!N51&lt;Recruiting_Data!J51), AND(Recruiting_Data!M51&lt;&gt;"", Recruiting_Data!L51&lt;&gt;"", Recruiting_Data!M51&lt;Recruiting_Data!L51), AND(Recruiting_Data!L51&lt;&gt;"", Recruiting_Data!K51&lt;&gt;"", Recruiting_Data!L51&lt;Recruiting_Data!K51)), TRUE, FALSE))</f>
        <v>0</v>
      </c>
    </row>
    <row r="52">
      <c r="A52" s="5" t="str">
        <f>IF(Recruiting_Data!A52="", "", Recruiting_Data!A52)</f>
        <v>C-10051</v>
      </c>
      <c r="B52" s="5" t="str">
        <f>IF(Recruiting_Data!B52="", "", Recruiting_Data!B52)</f>
        <v>REQ-2026-0050</v>
      </c>
      <c r="C52" s="5" t="str">
        <f>IF(AND(ISNUMBER(Recruiting_Data!N52), ISNUMBER(Recruiting_Data!P52)), Recruiting_Data!N52 - Recruiting_Data!P52, "")</f>
        <v/>
      </c>
      <c r="D52" s="5">
        <v>1.0</v>
      </c>
      <c r="E52" s="5" t="str">
        <f>IF(Recruiting_Data!R52="Open", TODAY() - Recruiting_Data!P52, "")</f>
        <v/>
      </c>
      <c r="F52" s="8" t="str">
        <f t="shared" si="1"/>
        <v/>
      </c>
      <c r="G52" s="5" t="b">
        <f>IF(A52="", "", IF(COUNTIF(Recruiting_Data!A:A, A52)&gt;1, TRUE, FALSE))</f>
        <v>0</v>
      </c>
      <c r="H52" s="5" t="b">
        <f>IF(A52="", "", IF(OR(AND(Recruiting_Data!N52&lt;&gt;"", Recruiting_Data!J52&lt;&gt;"", Recruiting_Data!N52&lt;Recruiting_Data!J52), AND(Recruiting_Data!M52&lt;&gt;"", Recruiting_Data!L52&lt;&gt;"", Recruiting_Data!M52&lt;Recruiting_Data!L52), AND(Recruiting_Data!L52&lt;&gt;"", Recruiting_Data!K52&lt;&gt;"", Recruiting_Data!L52&lt;Recruiting_Data!K52)), TRUE, FALSE))</f>
        <v>0</v>
      </c>
    </row>
    <row r="53">
      <c r="A53" s="5" t="str">
        <f>IF(Recruiting_Data!A53="", "", Recruiting_Data!A53)</f>
        <v>C-10052</v>
      </c>
      <c r="B53" s="5" t="str">
        <f>IF(Recruiting_Data!B53="", "", Recruiting_Data!B53)</f>
        <v>REQ-2026-0021</v>
      </c>
      <c r="C53" s="5" t="str">
        <f>IF(AND(ISNUMBER(Recruiting_Data!N53), ISNUMBER(Recruiting_Data!P53)), Recruiting_Data!N53 - Recruiting_Data!P53, "")</f>
        <v/>
      </c>
      <c r="D53" s="5">
        <v>3.0</v>
      </c>
      <c r="E53" s="5" t="str">
        <f>IF(Recruiting_Data!R53="Open", TODAY() - Recruiting_Data!P53, "")</f>
        <v/>
      </c>
      <c r="F53" s="8" t="str">
        <f t="shared" si="1"/>
        <v/>
      </c>
      <c r="G53" s="5" t="b">
        <f>IF(A53="", "", IF(COUNTIF(Recruiting_Data!A:A, A53)&gt;1, TRUE, FALSE))</f>
        <v>0</v>
      </c>
      <c r="H53" s="5" t="b">
        <f>IF(A53="", "", IF(OR(AND(Recruiting_Data!N53&lt;&gt;"", Recruiting_Data!J53&lt;&gt;"", Recruiting_Data!N53&lt;Recruiting_Data!J53), AND(Recruiting_Data!M53&lt;&gt;"", Recruiting_Data!L53&lt;&gt;"", Recruiting_Data!M53&lt;Recruiting_Data!L53), AND(Recruiting_Data!L53&lt;&gt;"", Recruiting_Data!K53&lt;&gt;"", Recruiting_Data!L53&lt;Recruiting_Data!K53)), TRUE, FALSE))</f>
        <v>0</v>
      </c>
    </row>
    <row r="54">
      <c r="A54" s="5" t="str">
        <f>IF(Recruiting_Data!A54="", "", Recruiting_Data!A54)</f>
        <v>C-10053</v>
      </c>
      <c r="B54" s="5" t="str">
        <f>IF(Recruiting_Data!B54="", "", Recruiting_Data!B54)</f>
        <v>REQ-2026-0007</v>
      </c>
      <c r="C54" s="5" t="str">
        <f>IF(AND(ISNUMBER(Recruiting_Data!N54), ISNUMBER(Recruiting_Data!P54)), Recruiting_Data!N54 - Recruiting_Data!P54, "")</f>
        <v/>
      </c>
      <c r="D54" s="5">
        <v>1.0</v>
      </c>
      <c r="E54" s="5">
        <f>IF(Recruiting_Data!R54="Open", TODAY() - Recruiting_Data!P54, "")</f>
        <v>238</v>
      </c>
      <c r="F54" s="8" t="str">
        <f t="shared" si="1"/>
        <v>60+</v>
      </c>
      <c r="G54" s="5" t="b">
        <f>IF(A54="", "", IF(COUNTIF(Recruiting_Data!A:A, A54)&gt;1, TRUE, FALSE))</f>
        <v>0</v>
      </c>
      <c r="H54" s="5" t="b">
        <f>IF(A54="", "", IF(OR(AND(Recruiting_Data!N54&lt;&gt;"", Recruiting_Data!J54&lt;&gt;"", Recruiting_Data!N54&lt;Recruiting_Data!J54), AND(Recruiting_Data!M54&lt;&gt;"", Recruiting_Data!L54&lt;&gt;"", Recruiting_Data!M54&lt;Recruiting_Data!L54), AND(Recruiting_Data!L54&lt;&gt;"", Recruiting_Data!K54&lt;&gt;"", Recruiting_Data!L54&lt;Recruiting_Data!K54)), TRUE, FALSE))</f>
        <v>0</v>
      </c>
    </row>
    <row r="55">
      <c r="A55" s="5" t="str">
        <f>IF(Recruiting_Data!A55="", "", Recruiting_Data!A55)</f>
        <v>C-10054</v>
      </c>
      <c r="B55" s="5" t="str">
        <f>IF(Recruiting_Data!B55="", "", Recruiting_Data!B55)</f>
        <v>REQ-2026-0017</v>
      </c>
      <c r="C55" s="5" t="str">
        <f>IF(AND(ISNUMBER(Recruiting_Data!N55), ISNUMBER(Recruiting_Data!P55)), Recruiting_Data!N55 - Recruiting_Data!P55, "")</f>
        <v/>
      </c>
      <c r="D55" s="5">
        <v>1.0</v>
      </c>
      <c r="E55" s="5" t="str">
        <f>IF(Recruiting_Data!R55="Open", TODAY() - Recruiting_Data!P55, "")</f>
        <v/>
      </c>
      <c r="F55" s="8" t="str">
        <f t="shared" si="1"/>
        <v/>
      </c>
      <c r="G55" s="5" t="b">
        <f>IF(A55="", "", IF(COUNTIF(Recruiting_Data!A:A, A55)&gt;1, TRUE, FALSE))</f>
        <v>0</v>
      </c>
      <c r="H55" s="5" t="b">
        <f>IF(A55="", "", IF(OR(AND(Recruiting_Data!N55&lt;&gt;"", Recruiting_Data!J55&lt;&gt;"", Recruiting_Data!N55&lt;Recruiting_Data!J55), AND(Recruiting_Data!M55&lt;&gt;"", Recruiting_Data!L55&lt;&gt;"", Recruiting_Data!M55&lt;Recruiting_Data!L55), AND(Recruiting_Data!L55&lt;&gt;"", Recruiting_Data!K55&lt;&gt;"", Recruiting_Data!L55&lt;Recruiting_Data!K55)), TRUE, FALSE))</f>
        <v>0</v>
      </c>
    </row>
    <row r="56">
      <c r="A56" s="5" t="str">
        <f>IF(Recruiting_Data!A56="", "", Recruiting_Data!A56)</f>
        <v>C-10055</v>
      </c>
      <c r="B56" s="5" t="str">
        <f>IF(Recruiting_Data!B56="", "", Recruiting_Data!B56)</f>
        <v>REQ-2026-0049</v>
      </c>
      <c r="C56" s="5" t="str">
        <f>IF(AND(ISNUMBER(Recruiting_Data!N56), ISNUMBER(Recruiting_Data!P56)), Recruiting_Data!N56 - Recruiting_Data!P56, "")</f>
        <v/>
      </c>
      <c r="D56" s="5">
        <v>1.0</v>
      </c>
      <c r="E56" s="5">
        <f>IF(Recruiting_Data!R56="Open", TODAY() - Recruiting_Data!P56, "")</f>
        <v>171</v>
      </c>
      <c r="F56" s="8" t="str">
        <f t="shared" si="1"/>
        <v>60+</v>
      </c>
      <c r="G56" s="5" t="b">
        <f>IF(A56="", "", IF(COUNTIF(Recruiting_Data!A:A, A56)&gt;1, TRUE, FALSE))</f>
        <v>0</v>
      </c>
      <c r="H56" s="5" t="b">
        <f>IF(A56="", "", IF(OR(AND(Recruiting_Data!N56&lt;&gt;"", Recruiting_Data!J56&lt;&gt;"", Recruiting_Data!N56&lt;Recruiting_Data!J56), AND(Recruiting_Data!M56&lt;&gt;"", Recruiting_Data!L56&lt;&gt;"", Recruiting_Data!M56&lt;Recruiting_Data!L56), AND(Recruiting_Data!L56&lt;&gt;"", Recruiting_Data!K56&lt;&gt;"", Recruiting_Data!L56&lt;Recruiting_Data!K56)), TRUE, FALSE))</f>
        <v>0</v>
      </c>
    </row>
    <row r="57">
      <c r="A57" s="5" t="str">
        <f>IF(Recruiting_Data!A57="", "", Recruiting_Data!A57)</f>
        <v>C-10056</v>
      </c>
      <c r="B57" s="5" t="str">
        <f>IF(Recruiting_Data!B57="", "", Recruiting_Data!B57)</f>
        <v>REQ-2026-0025</v>
      </c>
      <c r="C57" s="5" t="str">
        <f>IF(AND(ISNUMBER(Recruiting_Data!N57), ISNUMBER(Recruiting_Data!P57)), Recruiting_Data!N57 - Recruiting_Data!P57, "")</f>
        <v/>
      </c>
      <c r="D57" s="5">
        <v>1.0</v>
      </c>
      <c r="E57" s="5" t="str">
        <f>IF(Recruiting_Data!R57="Open", TODAY() - Recruiting_Data!P57, "")</f>
        <v/>
      </c>
      <c r="F57" s="8" t="str">
        <f t="shared" si="1"/>
        <v/>
      </c>
      <c r="G57" s="5" t="b">
        <f>IF(A57="", "", IF(COUNTIF(Recruiting_Data!A:A, A57)&gt;1, TRUE, FALSE))</f>
        <v>0</v>
      </c>
      <c r="H57" s="5" t="b">
        <f>IF(A57="", "", IF(OR(AND(Recruiting_Data!N57&lt;&gt;"", Recruiting_Data!J57&lt;&gt;"", Recruiting_Data!N57&lt;Recruiting_Data!J57), AND(Recruiting_Data!M57&lt;&gt;"", Recruiting_Data!L57&lt;&gt;"", Recruiting_Data!M57&lt;Recruiting_Data!L57), AND(Recruiting_Data!L57&lt;&gt;"", Recruiting_Data!K57&lt;&gt;"", Recruiting_Data!L57&lt;Recruiting_Data!K57)), TRUE, FALSE))</f>
        <v>0</v>
      </c>
    </row>
    <row r="58">
      <c r="A58" s="5" t="str">
        <f>IF(Recruiting_Data!A58="", "", Recruiting_Data!A58)</f>
        <v>C-10057</v>
      </c>
      <c r="B58" s="5" t="str">
        <f>IF(Recruiting_Data!B58="", "", Recruiting_Data!B58)</f>
        <v>REQ-2026-0031</v>
      </c>
      <c r="C58" s="5" t="str">
        <f>IF(AND(ISNUMBER(Recruiting_Data!N58), ISNUMBER(Recruiting_Data!P58)), Recruiting_Data!N58 - Recruiting_Data!P58, "")</f>
        <v/>
      </c>
      <c r="D58" s="5">
        <v>1.0</v>
      </c>
      <c r="E58" s="5">
        <f>IF(Recruiting_Data!R58="Open", TODAY() - Recruiting_Data!P58, "")</f>
        <v>159</v>
      </c>
      <c r="F58" s="8" t="str">
        <f t="shared" si="1"/>
        <v>60+</v>
      </c>
      <c r="G58" s="5" t="b">
        <f>IF(A58="", "", IF(COUNTIF(Recruiting_Data!A:A, A58)&gt;1, TRUE, FALSE))</f>
        <v>0</v>
      </c>
      <c r="H58" s="5" t="b">
        <f>IF(A58="", "", IF(OR(AND(Recruiting_Data!N58&lt;&gt;"", Recruiting_Data!J58&lt;&gt;"", Recruiting_Data!N58&lt;Recruiting_Data!J58), AND(Recruiting_Data!M58&lt;&gt;"", Recruiting_Data!L58&lt;&gt;"", Recruiting_Data!M58&lt;Recruiting_Data!L58), AND(Recruiting_Data!L58&lt;&gt;"", Recruiting_Data!K58&lt;&gt;"", Recruiting_Data!L58&lt;Recruiting_Data!K58)), TRUE, FALSE))</f>
        <v>0</v>
      </c>
    </row>
    <row r="59">
      <c r="A59" s="5" t="str">
        <f>IF(Recruiting_Data!A59="", "", Recruiting_Data!A59)</f>
        <v>C-10058</v>
      </c>
      <c r="B59" s="5" t="str">
        <f>IF(Recruiting_Data!B59="", "", Recruiting_Data!B59)</f>
        <v>REQ-2026-0014</v>
      </c>
      <c r="C59" s="5" t="str">
        <f>IF(AND(ISNUMBER(Recruiting_Data!N59), ISNUMBER(Recruiting_Data!P59)), Recruiting_Data!N59 - Recruiting_Data!P59, "")</f>
        <v/>
      </c>
      <c r="D59" s="5">
        <v>2.0</v>
      </c>
      <c r="E59" s="5">
        <f>IF(Recruiting_Data!R59="Open", TODAY() - Recruiting_Data!P59, "")</f>
        <v>116</v>
      </c>
      <c r="F59" s="8" t="str">
        <f t="shared" si="1"/>
        <v>60+</v>
      </c>
      <c r="G59" s="5" t="b">
        <f>IF(A59="", "", IF(COUNTIF(Recruiting_Data!A:A, A59)&gt;1, TRUE, FALSE))</f>
        <v>0</v>
      </c>
      <c r="H59" s="5" t="b">
        <f>IF(A59="", "", IF(OR(AND(Recruiting_Data!N59&lt;&gt;"", Recruiting_Data!J59&lt;&gt;"", Recruiting_Data!N59&lt;Recruiting_Data!J59), AND(Recruiting_Data!M59&lt;&gt;"", Recruiting_Data!L59&lt;&gt;"", Recruiting_Data!M59&lt;Recruiting_Data!L59), AND(Recruiting_Data!L59&lt;&gt;"", Recruiting_Data!K59&lt;&gt;"", Recruiting_Data!L59&lt;Recruiting_Data!K59)), TRUE, FALSE))</f>
        <v>0</v>
      </c>
    </row>
    <row r="60">
      <c r="A60" s="5" t="str">
        <f>IF(Recruiting_Data!A60="", "", Recruiting_Data!A60)</f>
        <v>C-10059</v>
      </c>
      <c r="B60" s="5" t="str">
        <f>IF(Recruiting_Data!B60="", "", Recruiting_Data!B60)</f>
        <v>REQ-2026-0048</v>
      </c>
      <c r="C60" s="5" t="str">
        <f>IF(AND(ISNUMBER(Recruiting_Data!N60), ISNUMBER(Recruiting_Data!P60)), Recruiting_Data!N60 - Recruiting_Data!P60, "")</f>
        <v/>
      </c>
      <c r="D60" s="5">
        <v>2.0</v>
      </c>
      <c r="E60" s="5" t="str">
        <f>IF(Recruiting_Data!R60="Open", TODAY() - Recruiting_Data!P60, "")</f>
        <v/>
      </c>
      <c r="F60" s="8" t="str">
        <f t="shared" si="1"/>
        <v/>
      </c>
      <c r="G60" s="5" t="b">
        <f>IF(A60="", "", IF(COUNTIF(Recruiting_Data!A:A, A60)&gt;1, TRUE, FALSE))</f>
        <v>0</v>
      </c>
      <c r="H60" s="5" t="b">
        <f>IF(A60="", "", IF(OR(AND(Recruiting_Data!N60&lt;&gt;"", Recruiting_Data!J60&lt;&gt;"", Recruiting_Data!N60&lt;Recruiting_Data!J60), AND(Recruiting_Data!M60&lt;&gt;"", Recruiting_Data!L60&lt;&gt;"", Recruiting_Data!M60&lt;Recruiting_Data!L60), AND(Recruiting_Data!L60&lt;&gt;"", Recruiting_Data!K60&lt;&gt;"", Recruiting_Data!L60&lt;Recruiting_Data!K60)), TRUE, FALSE))</f>
        <v>0</v>
      </c>
    </row>
    <row r="61">
      <c r="A61" s="5" t="str">
        <f>IF(Recruiting_Data!A61="", "", Recruiting_Data!A61)</f>
        <v>C-10060</v>
      </c>
      <c r="B61" s="5" t="str">
        <f>IF(Recruiting_Data!B61="", "", Recruiting_Data!B61)</f>
        <v>REQ-2026-0037</v>
      </c>
      <c r="C61" s="5" t="str">
        <f>IF(AND(ISNUMBER(Recruiting_Data!N61), ISNUMBER(Recruiting_Data!P61)), Recruiting_Data!N61 - Recruiting_Data!P61, "")</f>
        <v/>
      </c>
      <c r="D61" s="5">
        <v>1.0</v>
      </c>
      <c r="E61" s="5" t="str">
        <f>IF(Recruiting_Data!R61="Open", TODAY() - Recruiting_Data!P61, "")</f>
        <v/>
      </c>
      <c r="F61" s="8" t="str">
        <f t="shared" si="1"/>
        <v/>
      </c>
      <c r="G61" s="5" t="b">
        <f>IF(A61="", "", IF(COUNTIF(Recruiting_Data!A:A, A61)&gt;1, TRUE, FALSE))</f>
        <v>0</v>
      </c>
      <c r="H61" s="5" t="b">
        <f>IF(A61="", "", IF(OR(AND(Recruiting_Data!N61&lt;&gt;"", Recruiting_Data!J61&lt;&gt;"", Recruiting_Data!N61&lt;Recruiting_Data!J61), AND(Recruiting_Data!M61&lt;&gt;"", Recruiting_Data!L61&lt;&gt;"", Recruiting_Data!M61&lt;Recruiting_Data!L61), AND(Recruiting_Data!L61&lt;&gt;"", Recruiting_Data!K61&lt;&gt;"", Recruiting_Data!L61&lt;Recruiting_Data!K61)), TRUE, FALSE))</f>
        <v>0</v>
      </c>
    </row>
    <row r="62">
      <c r="A62" s="5" t="str">
        <f>IF(Recruiting_Data!A62="", "", Recruiting_Data!A62)</f>
        <v>C-10061</v>
      </c>
      <c r="B62" s="5" t="str">
        <f>IF(Recruiting_Data!B62="", "", Recruiting_Data!B62)</f>
        <v>REQ-2026-0014</v>
      </c>
      <c r="C62" s="5" t="str">
        <f>IF(AND(ISNUMBER(Recruiting_Data!N62), ISNUMBER(Recruiting_Data!P62)), Recruiting_Data!N62 - Recruiting_Data!P62, "")</f>
        <v/>
      </c>
      <c r="D62" s="5">
        <v>2.0</v>
      </c>
      <c r="E62" s="5">
        <f>IF(Recruiting_Data!R62="Open", TODAY() - Recruiting_Data!P62, "")</f>
        <v>182</v>
      </c>
      <c r="F62" s="8" t="str">
        <f t="shared" si="1"/>
        <v>60+</v>
      </c>
      <c r="G62" s="5" t="b">
        <f>IF(A62="", "", IF(COUNTIF(Recruiting_Data!A:A, A62)&gt;1, TRUE, FALSE))</f>
        <v>0</v>
      </c>
      <c r="H62" s="5" t="b">
        <f>IF(A62="", "", IF(OR(AND(Recruiting_Data!N62&lt;&gt;"", Recruiting_Data!J62&lt;&gt;"", Recruiting_Data!N62&lt;Recruiting_Data!J62), AND(Recruiting_Data!M62&lt;&gt;"", Recruiting_Data!L62&lt;&gt;"", Recruiting_Data!M62&lt;Recruiting_Data!L62), AND(Recruiting_Data!L62&lt;&gt;"", Recruiting_Data!K62&lt;&gt;"", Recruiting_Data!L62&lt;Recruiting_Data!K62)), TRUE, FALSE))</f>
        <v>0</v>
      </c>
    </row>
    <row r="63">
      <c r="A63" s="5" t="str">
        <f>IF(Recruiting_Data!A63="", "", Recruiting_Data!A63)</f>
        <v>C-10062</v>
      </c>
      <c r="B63" s="5" t="str">
        <f>IF(Recruiting_Data!B63="", "", Recruiting_Data!B63)</f>
        <v>REQ-2026-0026</v>
      </c>
      <c r="C63" s="5">
        <f>IF(AND(ISNUMBER(Recruiting_Data!N63), ISNUMBER(Recruiting_Data!P63)), Recruiting_Data!N63 - Recruiting_Data!P63, "")</f>
        <v>42</v>
      </c>
      <c r="D63" s="5">
        <v>5.0</v>
      </c>
      <c r="E63" s="5" t="str">
        <f>IF(Recruiting_Data!R63="Open", TODAY() - Recruiting_Data!P63, "")</f>
        <v/>
      </c>
      <c r="F63" s="8" t="str">
        <f t="shared" si="1"/>
        <v/>
      </c>
      <c r="G63" s="5" t="b">
        <f>IF(A63="", "", IF(COUNTIF(Recruiting_Data!A:A, A63)&gt;1, TRUE, FALSE))</f>
        <v>0</v>
      </c>
      <c r="H63" s="5" t="b">
        <f>IF(A63="", "", IF(OR(AND(Recruiting_Data!N63&lt;&gt;"", Recruiting_Data!J63&lt;&gt;"", Recruiting_Data!N63&lt;Recruiting_Data!J63), AND(Recruiting_Data!M63&lt;&gt;"", Recruiting_Data!L63&lt;&gt;"", Recruiting_Data!M63&lt;Recruiting_Data!L63), AND(Recruiting_Data!L63&lt;&gt;"", Recruiting_Data!K63&lt;&gt;"", Recruiting_Data!L63&lt;Recruiting_Data!K63)), TRUE, FALSE))</f>
        <v>0</v>
      </c>
    </row>
    <row r="64">
      <c r="A64" s="5" t="str">
        <f>IF(Recruiting_Data!A64="", "", Recruiting_Data!A64)</f>
        <v>C-10063</v>
      </c>
      <c r="B64" s="5" t="str">
        <f>IF(Recruiting_Data!B64="", "", Recruiting_Data!B64)</f>
        <v>REQ-2026-0044</v>
      </c>
      <c r="C64" s="5" t="str">
        <f>IF(AND(ISNUMBER(Recruiting_Data!N64), ISNUMBER(Recruiting_Data!P64)), Recruiting_Data!N64 - Recruiting_Data!P64, "")</f>
        <v/>
      </c>
      <c r="D64" s="5">
        <v>2.0</v>
      </c>
      <c r="E64" s="5" t="str">
        <f>IF(Recruiting_Data!R64="Open", TODAY() - Recruiting_Data!P64, "")</f>
        <v/>
      </c>
      <c r="F64" s="8" t="str">
        <f t="shared" si="1"/>
        <v/>
      </c>
      <c r="G64" s="5" t="b">
        <f>IF(A64="", "", IF(COUNTIF(Recruiting_Data!A:A, A64)&gt;1, TRUE, FALSE))</f>
        <v>0</v>
      </c>
      <c r="H64" s="5" t="b">
        <f>IF(A64="", "", IF(OR(AND(Recruiting_Data!N64&lt;&gt;"", Recruiting_Data!J64&lt;&gt;"", Recruiting_Data!N64&lt;Recruiting_Data!J64), AND(Recruiting_Data!M64&lt;&gt;"", Recruiting_Data!L64&lt;&gt;"", Recruiting_Data!M64&lt;Recruiting_Data!L64), AND(Recruiting_Data!L64&lt;&gt;"", Recruiting_Data!K64&lt;&gt;"", Recruiting_Data!L64&lt;Recruiting_Data!K64)), TRUE, FALSE))</f>
        <v>0</v>
      </c>
    </row>
    <row r="65">
      <c r="A65" s="5" t="str">
        <f>IF(Recruiting_Data!A65="", "", Recruiting_Data!A65)</f>
        <v>C-10064</v>
      </c>
      <c r="B65" s="5" t="str">
        <f>IF(Recruiting_Data!B65="", "", Recruiting_Data!B65)</f>
        <v>REQ-2026-0010</v>
      </c>
      <c r="C65" s="5" t="str">
        <f>IF(AND(ISNUMBER(Recruiting_Data!N65), ISNUMBER(Recruiting_Data!P65)), Recruiting_Data!N65 - Recruiting_Data!P65, "")</f>
        <v/>
      </c>
      <c r="D65" s="5">
        <v>1.0</v>
      </c>
      <c r="E65" s="5" t="str">
        <f>IF(Recruiting_Data!R65="Open", TODAY() - Recruiting_Data!P65, "")</f>
        <v/>
      </c>
      <c r="F65" s="8" t="str">
        <f t="shared" si="1"/>
        <v/>
      </c>
      <c r="G65" s="5" t="b">
        <f>IF(A65="", "", IF(COUNTIF(Recruiting_Data!A:A, A65)&gt;1, TRUE, FALSE))</f>
        <v>0</v>
      </c>
      <c r="H65" s="5" t="b">
        <f>IF(A65="", "", IF(OR(AND(Recruiting_Data!N65&lt;&gt;"", Recruiting_Data!J65&lt;&gt;"", Recruiting_Data!N65&lt;Recruiting_Data!J65), AND(Recruiting_Data!M65&lt;&gt;"", Recruiting_Data!L65&lt;&gt;"", Recruiting_Data!M65&lt;Recruiting_Data!L65), AND(Recruiting_Data!L65&lt;&gt;"", Recruiting_Data!K65&lt;&gt;"", Recruiting_Data!L65&lt;Recruiting_Data!K65)), TRUE, FALSE))</f>
        <v>0</v>
      </c>
    </row>
    <row r="66">
      <c r="A66" s="5" t="str">
        <f>IF(Recruiting_Data!A66="", "", Recruiting_Data!A66)</f>
        <v>C-10065</v>
      </c>
      <c r="B66" s="5" t="str">
        <f>IF(Recruiting_Data!B66="", "", Recruiting_Data!B66)</f>
        <v>REQ-2026-0001</v>
      </c>
      <c r="C66" s="5" t="str">
        <f>IF(AND(ISNUMBER(Recruiting_Data!N66), ISNUMBER(Recruiting_Data!P66)), Recruiting_Data!N66 - Recruiting_Data!P66, "")</f>
        <v/>
      </c>
      <c r="D66" s="5">
        <v>2.0</v>
      </c>
      <c r="E66" s="5" t="str">
        <f>IF(Recruiting_Data!R66="Open", TODAY() - Recruiting_Data!P66, "")</f>
        <v/>
      </c>
      <c r="F66" s="8" t="str">
        <f t="shared" si="1"/>
        <v/>
      </c>
      <c r="G66" s="5" t="b">
        <f>IF(A66="", "", IF(COUNTIF(Recruiting_Data!A:A, A66)&gt;1, TRUE, FALSE))</f>
        <v>0</v>
      </c>
      <c r="H66" s="5" t="b">
        <f>IF(A66="", "", IF(OR(AND(Recruiting_Data!N66&lt;&gt;"", Recruiting_Data!J66&lt;&gt;"", Recruiting_Data!N66&lt;Recruiting_Data!J66), AND(Recruiting_Data!M66&lt;&gt;"", Recruiting_Data!L66&lt;&gt;"", Recruiting_Data!M66&lt;Recruiting_Data!L66), AND(Recruiting_Data!L66&lt;&gt;"", Recruiting_Data!K66&lt;&gt;"", Recruiting_Data!L66&lt;Recruiting_Data!K66)), TRUE, FALSE))</f>
        <v>0</v>
      </c>
    </row>
    <row r="67">
      <c r="A67" s="5" t="str">
        <f>IF(Recruiting_Data!A67="", "", Recruiting_Data!A67)</f>
        <v>C-10066</v>
      </c>
      <c r="B67" s="5" t="str">
        <f>IF(Recruiting_Data!B67="", "", Recruiting_Data!B67)</f>
        <v>REQ-2026-0024</v>
      </c>
      <c r="C67" s="5" t="str">
        <f>IF(AND(ISNUMBER(Recruiting_Data!N67), ISNUMBER(Recruiting_Data!P67)), Recruiting_Data!N67 - Recruiting_Data!P67, "")</f>
        <v/>
      </c>
      <c r="D67" s="5">
        <v>1.0</v>
      </c>
      <c r="E67" s="5" t="str">
        <f>IF(Recruiting_Data!R67="Open", TODAY() - Recruiting_Data!P67, "")</f>
        <v/>
      </c>
      <c r="F67" s="8" t="str">
        <f t="shared" si="1"/>
        <v/>
      </c>
      <c r="G67" s="5" t="b">
        <f>IF(A67="", "", IF(COUNTIF(Recruiting_Data!A:A, A67)&gt;1, TRUE, FALSE))</f>
        <v>0</v>
      </c>
      <c r="H67" s="5" t="b">
        <f>IF(A67="", "", IF(OR(AND(Recruiting_Data!N67&lt;&gt;"", Recruiting_Data!J67&lt;&gt;"", Recruiting_Data!N67&lt;Recruiting_Data!J67), AND(Recruiting_Data!M67&lt;&gt;"", Recruiting_Data!L67&lt;&gt;"", Recruiting_Data!M67&lt;Recruiting_Data!L67), AND(Recruiting_Data!L67&lt;&gt;"", Recruiting_Data!K67&lt;&gt;"", Recruiting_Data!L67&lt;Recruiting_Data!K67)), TRUE, FALSE))</f>
        <v>0</v>
      </c>
    </row>
    <row r="68">
      <c r="A68" s="5" t="str">
        <f>IF(Recruiting_Data!A68="", "", Recruiting_Data!A68)</f>
        <v>C-10067</v>
      </c>
      <c r="B68" s="5" t="str">
        <f>IF(Recruiting_Data!B68="", "", Recruiting_Data!B68)</f>
        <v>REQ-2026-0015</v>
      </c>
      <c r="C68" s="5" t="str">
        <f>IF(AND(ISNUMBER(Recruiting_Data!N68), ISNUMBER(Recruiting_Data!P68)), Recruiting_Data!N68 - Recruiting_Data!P68, "")</f>
        <v/>
      </c>
      <c r="D68" s="5">
        <v>1.0</v>
      </c>
      <c r="E68" s="5" t="str">
        <f>IF(Recruiting_Data!R68="Open", TODAY() - Recruiting_Data!P68, "")</f>
        <v/>
      </c>
      <c r="F68" s="8" t="str">
        <f t="shared" si="1"/>
        <v/>
      </c>
      <c r="G68" s="5" t="b">
        <f>IF(A68="", "", IF(COUNTIF(Recruiting_Data!A:A, A68)&gt;1, TRUE, FALSE))</f>
        <v>0</v>
      </c>
      <c r="H68" s="5" t="b">
        <f>IF(A68="", "", IF(OR(AND(Recruiting_Data!N68&lt;&gt;"", Recruiting_Data!J68&lt;&gt;"", Recruiting_Data!N68&lt;Recruiting_Data!J68), AND(Recruiting_Data!M68&lt;&gt;"", Recruiting_Data!L68&lt;&gt;"", Recruiting_Data!M68&lt;Recruiting_Data!L68), AND(Recruiting_Data!L68&lt;&gt;"", Recruiting_Data!K68&lt;&gt;"", Recruiting_Data!L68&lt;Recruiting_Data!K68)), TRUE, FALSE))</f>
        <v>0</v>
      </c>
    </row>
    <row r="69">
      <c r="A69" s="5" t="str">
        <f>IF(Recruiting_Data!A69="", "", Recruiting_Data!A69)</f>
        <v>C-10068</v>
      </c>
      <c r="B69" s="5" t="str">
        <f>IF(Recruiting_Data!B69="", "", Recruiting_Data!B69)</f>
        <v>REQ-2026-0001</v>
      </c>
      <c r="C69" s="5" t="str">
        <f>IF(AND(ISNUMBER(Recruiting_Data!N69), ISNUMBER(Recruiting_Data!P69)), Recruiting_Data!N69 - Recruiting_Data!P69, "")</f>
        <v/>
      </c>
      <c r="D69" s="5">
        <v>1.0</v>
      </c>
      <c r="E69" s="5" t="str">
        <f>IF(Recruiting_Data!R69="Open", TODAY() - Recruiting_Data!P69, "")</f>
        <v/>
      </c>
      <c r="F69" s="8" t="str">
        <f t="shared" si="1"/>
        <v/>
      </c>
      <c r="G69" s="5" t="b">
        <f>IF(A69="", "", IF(COUNTIF(Recruiting_Data!A:A, A69)&gt;1, TRUE, FALSE))</f>
        <v>0</v>
      </c>
      <c r="H69" s="5" t="b">
        <f>IF(A69="", "", IF(OR(AND(Recruiting_Data!N69&lt;&gt;"", Recruiting_Data!J69&lt;&gt;"", Recruiting_Data!N69&lt;Recruiting_Data!J69), AND(Recruiting_Data!M69&lt;&gt;"", Recruiting_Data!L69&lt;&gt;"", Recruiting_Data!M69&lt;Recruiting_Data!L69), AND(Recruiting_Data!L69&lt;&gt;"", Recruiting_Data!K69&lt;&gt;"", Recruiting_Data!L69&lt;Recruiting_Data!K69)), TRUE, FALSE))</f>
        <v>0</v>
      </c>
    </row>
    <row r="70">
      <c r="A70" s="5" t="str">
        <f>IF(Recruiting_Data!A70="", "", Recruiting_Data!A70)</f>
        <v>C-10069</v>
      </c>
      <c r="B70" s="5" t="str">
        <f>IF(Recruiting_Data!B70="", "", Recruiting_Data!B70)</f>
        <v>REQ-2026-0038</v>
      </c>
      <c r="C70" s="5" t="str">
        <f>IF(AND(ISNUMBER(Recruiting_Data!N70), ISNUMBER(Recruiting_Data!P70)), Recruiting_Data!N70 - Recruiting_Data!P70, "")</f>
        <v/>
      </c>
      <c r="D70" s="5">
        <v>1.0</v>
      </c>
      <c r="E70" s="5" t="str">
        <f>IF(Recruiting_Data!R70="Open", TODAY() - Recruiting_Data!P70, "")</f>
        <v/>
      </c>
      <c r="F70" s="8" t="str">
        <f t="shared" si="1"/>
        <v/>
      </c>
      <c r="G70" s="5" t="b">
        <f>IF(A70="", "", IF(COUNTIF(Recruiting_Data!A:A, A70)&gt;1, TRUE, FALSE))</f>
        <v>0</v>
      </c>
      <c r="H70" s="5" t="b">
        <f>IF(A70="", "", IF(OR(AND(Recruiting_Data!N70&lt;&gt;"", Recruiting_Data!J70&lt;&gt;"", Recruiting_Data!N70&lt;Recruiting_Data!J70), AND(Recruiting_Data!M70&lt;&gt;"", Recruiting_Data!L70&lt;&gt;"", Recruiting_Data!M70&lt;Recruiting_Data!L70), AND(Recruiting_Data!L70&lt;&gt;"", Recruiting_Data!K70&lt;&gt;"", Recruiting_Data!L70&lt;Recruiting_Data!K70)), TRUE, FALSE))</f>
        <v>0</v>
      </c>
    </row>
    <row r="71">
      <c r="A71" s="5" t="str">
        <f>IF(Recruiting_Data!A71="", "", Recruiting_Data!A71)</f>
        <v>C-10070</v>
      </c>
      <c r="B71" s="5" t="str">
        <f>IF(Recruiting_Data!B71="", "", Recruiting_Data!B71)</f>
        <v>REQ-2026-0011</v>
      </c>
      <c r="C71" s="5" t="str">
        <f>IF(AND(ISNUMBER(Recruiting_Data!N71), ISNUMBER(Recruiting_Data!P71)), Recruiting_Data!N71 - Recruiting_Data!P71, "")</f>
        <v/>
      </c>
      <c r="D71" s="5">
        <v>1.0</v>
      </c>
      <c r="E71" s="5" t="str">
        <f>IF(Recruiting_Data!R71="Open", TODAY() - Recruiting_Data!P71, "")</f>
        <v/>
      </c>
      <c r="F71" s="8" t="str">
        <f t="shared" si="1"/>
        <v/>
      </c>
      <c r="G71" s="5" t="b">
        <f>IF(A71="", "", IF(COUNTIF(Recruiting_Data!A:A, A71)&gt;1, TRUE, FALSE))</f>
        <v>0</v>
      </c>
      <c r="H71" s="5" t="b">
        <f>IF(A71="", "", IF(OR(AND(Recruiting_Data!N71&lt;&gt;"", Recruiting_Data!J71&lt;&gt;"", Recruiting_Data!N71&lt;Recruiting_Data!J71), AND(Recruiting_Data!M71&lt;&gt;"", Recruiting_Data!L71&lt;&gt;"", Recruiting_Data!M71&lt;Recruiting_Data!L71), AND(Recruiting_Data!L71&lt;&gt;"", Recruiting_Data!K71&lt;&gt;"", Recruiting_Data!L71&lt;Recruiting_Data!K71)), TRUE, FALSE))</f>
        <v>0</v>
      </c>
    </row>
    <row r="72">
      <c r="A72" s="5" t="str">
        <f>IF(Recruiting_Data!A72="", "", Recruiting_Data!A72)</f>
        <v>C-10071</v>
      </c>
      <c r="B72" s="5" t="str">
        <f>IF(Recruiting_Data!B72="", "", Recruiting_Data!B72)</f>
        <v>REQ-2026-0037</v>
      </c>
      <c r="C72" s="5" t="str">
        <f>IF(AND(ISNUMBER(Recruiting_Data!N72), ISNUMBER(Recruiting_Data!P72)), Recruiting_Data!N72 - Recruiting_Data!P72, "")</f>
        <v/>
      </c>
      <c r="D72" s="5">
        <v>1.0</v>
      </c>
      <c r="E72" s="5" t="str">
        <f>IF(Recruiting_Data!R72="Open", TODAY() - Recruiting_Data!P72, "")</f>
        <v/>
      </c>
      <c r="F72" s="8" t="str">
        <f t="shared" si="1"/>
        <v/>
      </c>
      <c r="G72" s="5" t="b">
        <f>IF(A72="", "", IF(COUNTIF(Recruiting_Data!A:A, A72)&gt;1, TRUE, FALSE))</f>
        <v>0</v>
      </c>
      <c r="H72" s="5" t="b">
        <f>IF(A72="", "", IF(OR(AND(Recruiting_Data!N72&lt;&gt;"", Recruiting_Data!J72&lt;&gt;"", Recruiting_Data!N72&lt;Recruiting_Data!J72), AND(Recruiting_Data!M72&lt;&gt;"", Recruiting_Data!L72&lt;&gt;"", Recruiting_Data!M72&lt;Recruiting_Data!L72), AND(Recruiting_Data!L72&lt;&gt;"", Recruiting_Data!K72&lt;&gt;"", Recruiting_Data!L72&lt;Recruiting_Data!K72)), TRUE, FALSE))</f>
        <v>0</v>
      </c>
    </row>
    <row r="73">
      <c r="A73" s="5" t="str">
        <f>IF(Recruiting_Data!A73="", "", Recruiting_Data!A73)</f>
        <v>C-10072</v>
      </c>
      <c r="B73" s="5" t="str">
        <f>IF(Recruiting_Data!B73="", "", Recruiting_Data!B73)</f>
        <v>REQ-2026-0009</v>
      </c>
      <c r="C73" s="5">
        <f>IF(AND(ISNUMBER(Recruiting_Data!N73), ISNUMBER(Recruiting_Data!P73)), Recruiting_Data!N73 - Recruiting_Data!P73, "")</f>
        <v>45</v>
      </c>
      <c r="D73" s="5">
        <v>5.0</v>
      </c>
      <c r="E73" s="5" t="str">
        <f>IF(Recruiting_Data!R73="Open", TODAY() - Recruiting_Data!P73, "")</f>
        <v/>
      </c>
      <c r="F73" s="8" t="str">
        <f t="shared" si="1"/>
        <v/>
      </c>
      <c r="G73" s="5" t="b">
        <f>IF(A73="", "", IF(COUNTIF(Recruiting_Data!A:A, A73)&gt;1, TRUE, FALSE))</f>
        <v>0</v>
      </c>
      <c r="H73" s="5" t="b">
        <f>IF(A73="", "", IF(OR(AND(Recruiting_Data!N73&lt;&gt;"", Recruiting_Data!J73&lt;&gt;"", Recruiting_Data!N73&lt;Recruiting_Data!J73), AND(Recruiting_Data!M73&lt;&gt;"", Recruiting_Data!L73&lt;&gt;"", Recruiting_Data!M73&lt;Recruiting_Data!L73), AND(Recruiting_Data!L73&lt;&gt;"", Recruiting_Data!K73&lt;&gt;"", Recruiting_Data!L73&lt;Recruiting_Data!K73)), TRUE, FALSE))</f>
        <v>0</v>
      </c>
    </row>
    <row r="74">
      <c r="A74" s="5" t="str">
        <f>IF(Recruiting_Data!A74="", "", Recruiting_Data!A74)</f>
        <v>C-10073</v>
      </c>
      <c r="B74" s="5" t="str">
        <f>IF(Recruiting_Data!B74="", "", Recruiting_Data!B74)</f>
        <v>REQ-2026-0005</v>
      </c>
      <c r="C74" s="5" t="str">
        <f>IF(AND(ISNUMBER(Recruiting_Data!N74), ISNUMBER(Recruiting_Data!P74)), Recruiting_Data!N74 - Recruiting_Data!P74, "")</f>
        <v/>
      </c>
      <c r="D74" s="5">
        <v>1.0</v>
      </c>
      <c r="E74" s="5">
        <f>IF(Recruiting_Data!R74="Open", TODAY() - Recruiting_Data!P74, "")</f>
        <v>245</v>
      </c>
      <c r="F74" s="8" t="str">
        <f t="shared" si="1"/>
        <v>60+</v>
      </c>
      <c r="G74" s="5" t="b">
        <f>IF(A74="", "", IF(COUNTIF(Recruiting_Data!A:A, A74)&gt;1, TRUE, FALSE))</f>
        <v>0</v>
      </c>
      <c r="H74" s="5" t="b">
        <f>IF(A74="", "", IF(OR(AND(Recruiting_Data!N74&lt;&gt;"", Recruiting_Data!J74&lt;&gt;"", Recruiting_Data!N74&lt;Recruiting_Data!J74), AND(Recruiting_Data!M74&lt;&gt;"", Recruiting_Data!L74&lt;&gt;"", Recruiting_Data!M74&lt;Recruiting_Data!L74), AND(Recruiting_Data!L74&lt;&gt;"", Recruiting_Data!K74&lt;&gt;"", Recruiting_Data!L74&lt;Recruiting_Data!K74)), TRUE, FALSE))</f>
        <v>0</v>
      </c>
    </row>
    <row r="75">
      <c r="A75" s="5" t="str">
        <f>IF(Recruiting_Data!A75="", "", Recruiting_Data!A75)</f>
        <v>C-10074</v>
      </c>
      <c r="B75" s="5" t="str">
        <f>IF(Recruiting_Data!B75="", "", Recruiting_Data!B75)</f>
        <v>REQ-2026-0046</v>
      </c>
      <c r="C75" s="5" t="str">
        <f>IF(AND(ISNUMBER(Recruiting_Data!N75), ISNUMBER(Recruiting_Data!P75)), Recruiting_Data!N75 - Recruiting_Data!P75, "")</f>
        <v/>
      </c>
      <c r="D75" s="5">
        <v>1.0</v>
      </c>
      <c r="E75" s="5">
        <f>IF(Recruiting_Data!R75="Open", TODAY() - Recruiting_Data!P75, "")</f>
        <v>124</v>
      </c>
      <c r="F75" s="8" t="str">
        <f t="shared" si="1"/>
        <v>60+</v>
      </c>
      <c r="G75" s="5" t="b">
        <f>IF(A75="", "", IF(COUNTIF(Recruiting_Data!A:A, A75)&gt;1, TRUE, FALSE))</f>
        <v>0</v>
      </c>
      <c r="H75" s="5" t="b">
        <f>IF(A75="", "", IF(OR(AND(Recruiting_Data!N75&lt;&gt;"", Recruiting_Data!J75&lt;&gt;"", Recruiting_Data!N75&lt;Recruiting_Data!J75), AND(Recruiting_Data!M75&lt;&gt;"", Recruiting_Data!L75&lt;&gt;"", Recruiting_Data!M75&lt;Recruiting_Data!L75), AND(Recruiting_Data!L75&lt;&gt;"", Recruiting_Data!K75&lt;&gt;"", Recruiting_Data!L75&lt;Recruiting_Data!K75)), TRUE, FALSE))</f>
        <v>0</v>
      </c>
    </row>
    <row r="76">
      <c r="A76" s="5" t="str">
        <f>IF(Recruiting_Data!A76="", "", Recruiting_Data!A76)</f>
        <v>C-10075</v>
      </c>
      <c r="B76" s="5" t="str">
        <f>IF(Recruiting_Data!B76="", "", Recruiting_Data!B76)</f>
        <v>REQ-2026-0030</v>
      </c>
      <c r="C76" s="5">
        <f>IF(AND(ISNUMBER(Recruiting_Data!N76), ISNUMBER(Recruiting_Data!P76)), Recruiting_Data!N76 - Recruiting_Data!P76, "")</f>
        <v>36</v>
      </c>
      <c r="D76" s="5">
        <v>5.0</v>
      </c>
      <c r="E76" s="5" t="str">
        <f>IF(Recruiting_Data!R76="Open", TODAY() - Recruiting_Data!P76, "")</f>
        <v/>
      </c>
      <c r="F76" s="8" t="str">
        <f t="shared" si="1"/>
        <v/>
      </c>
      <c r="G76" s="5" t="b">
        <f>IF(A76="", "", IF(COUNTIF(Recruiting_Data!A:A, A76)&gt;1, TRUE, FALSE))</f>
        <v>0</v>
      </c>
      <c r="H76" s="5" t="b">
        <f>IF(A76="", "", IF(OR(AND(Recruiting_Data!N76&lt;&gt;"", Recruiting_Data!J76&lt;&gt;"", Recruiting_Data!N76&lt;Recruiting_Data!J76), AND(Recruiting_Data!M76&lt;&gt;"", Recruiting_Data!L76&lt;&gt;"", Recruiting_Data!M76&lt;Recruiting_Data!L76), AND(Recruiting_Data!L76&lt;&gt;"", Recruiting_Data!K76&lt;&gt;"", Recruiting_Data!L76&lt;Recruiting_Data!K76)), TRUE, FALSE))</f>
        <v>0</v>
      </c>
    </row>
    <row r="77">
      <c r="A77" s="5" t="str">
        <f>IF(Recruiting_Data!A77="", "", Recruiting_Data!A77)</f>
        <v>C-10076</v>
      </c>
      <c r="B77" s="5" t="str">
        <f>IF(Recruiting_Data!B77="", "", Recruiting_Data!B77)</f>
        <v>REQ-2026-0035</v>
      </c>
      <c r="C77" s="5" t="str">
        <f>IF(AND(ISNUMBER(Recruiting_Data!N77), ISNUMBER(Recruiting_Data!P77)), Recruiting_Data!N77 - Recruiting_Data!P77, "")</f>
        <v/>
      </c>
      <c r="D77" s="5">
        <v>2.0</v>
      </c>
      <c r="E77" s="5" t="str">
        <f>IF(Recruiting_Data!R77="Open", TODAY() - Recruiting_Data!P77, "")</f>
        <v/>
      </c>
      <c r="F77" s="8" t="str">
        <f t="shared" si="1"/>
        <v/>
      </c>
      <c r="G77" s="5" t="b">
        <f>IF(A77="", "", IF(COUNTIF(Recruiting_Data!A:A, A77)&gt;1, TRUE, FALSE))</f>
        <v>0</v>
      </c>
      <c r="H77" s="5" t="b">
        <f>IF(A77="", "", IF(OR(AND(Recruiting_Data!N77&lt;&gt;"", Recruiting_Data!J77&lt;&gt;"", Recruiting_Data!N77&lt;Recruiting_Data!J77), AND(Recruiting_Data!M77&lt;&gt;"", Recruiting_Data!L77&lt;&gt;"", Recruiting_Data!M77&lt;Recruiting_Data!L77), AND(Recruiting_Data!L77&lt;&gt;"", Recruiting_Data!K77&lt;&gt;"", Recruiting_Data!L77&lt;Recruiting_Data!K77)), TRUE, FALSE))</f>
        <v>0</v>
      </c>
    </row>
    <row r="78">
      <c r="A78" s="5" t="str">
        <f>IF(Recruiting_Data!A78="", "", Recruiting_Data!A78)</f>
        <v>C-10077</v>
      </c>
      <c r="B78" s="5" t="str">
        <f>IF(Recruiting_Data!B78="", "", Recruiting_Data!B78)</f>
        <v>REQ-2026-0013</v>
      </c>
      <c r="C78" s="5">
        <f>IF(AND(ISNUMBER(Recruiting_Data!N78), ISNUMBER(Recruiting_Data!P78)), Recruiting_Data!N78 - Recruiting_Data!P78, "")</f>
        <v>46</v>
      </c>
      <c r="D78" s="5">
        <v>5.0</v>
      </c>
      <c r="E78" s="5" t="str">
        <f>IF(Recruiting_Data!R78="Open", TODAY() - Recruiting_Data!P78, "")</f>
        <v/>
      </c>
      <c r="F78" s="8" t="str">
        <f t="shared" si="1"/>
        <v/>
      </c>
      <c r="G78" s="5" t="b">
        <f>IF(A78="", "", IF(COUNTIF(Recruiting_Data!A:A, A78)&gt;1, TRUE, FALSE))</f>
        <v>0</v>
      </c>
      <c r="H78" s="5" t="b">
        <f>IF(A78="", "", IF(OR(AND(Recruiting_Data!N78&lt;&gt;"", Recruiting_Data!J78&lt;&gt;"", Recruiting_Data!N78&lt;Recruiting_Data!J78), AND(Recruiting_Data!M78&lt;&gt;"", Recruiting_Data!L78&lt;&gt;"", Recruiting_Data!M78&lt;Recruiting_Data!L78), AND(Recruiting_Data!L78&lt;&gt;"", Recruiting_Data!K78&lt;&gt;"", Recruiting_Data!L78&lt;Recruiting_Data!K78)), TRUE, FALSE))</f>
        <v>0</v>
      </c>
    </row>
    <row r="79">
      <c r="A79" s="5" t="str">
        <f>IF(Recruiting_Data!A79="", "", Recruiting_Data!A79)</f>
        <v>C-10078</v>
      </c>
      <c r="B79" s="5" t="str">
        <f>IF(Recruiting_Data!B79="", "", Recruiting_Data!B79)</f>
        <v>REQ-2026-0048</v>
      </c>
      <c r="C79" s="5" t="str">
        <f>IF(AND(ISNUMBER(Recruiting_Data!N79), ISNUMBER(Recruiting_Data!P79)), Recruiting_Data!N79 - Recruiting_Data!P79, "")</f>
        <v/>
      </c>
      <c r="D79" s="5">
        <v>2.0</v>
      </c>
      <c r="E79" s="5" t="str">
        <f>IF(Recruiting_Data!R79="Open", TODAY() - Recruiting_Data!P79, "")</f>
        <v/>
      </c>
      <c r="F79" s="8" t="str">
        <f t="shared" si="1"/>
        <v/>
      </c>
      <c r="G79" s="5" t="b">
        <f>IF(A79="", "", IF(COUNTIF(Recruiting_Data!A:A, A79)&gt;1, TRUE, FALSE))</f>
        <v>0</v>
      </c>
      <c r="H79" s="5" t="b">
        <f>IF(A79="", "", IF(OR(AND(Recruiting_Data!N79&lt;&gt;"", Recruiting_Data!J79&lt;&gt;"", Recruiting_Data!N79&lt;Recruiting_Data!J79), AND(Recruiting_Data!M79&lt;&gt;"", Recruiting_Data!L79&lt;&gt;"", Recruiting_Data!M79&lt;Recruiting_Data!L79), AND(Recruiting_Data!L79&lt;&gt;"", Recruiting_Data!K79&lt;&gt;"", Recruiting_Data!L79&lt;Recruiting_Data!K79)), TRUE, FALSE))</f>
        <v>0</v>
      </c>
    </row>
    <row r="80">
      <c r="A80" s="5" t="str">
        <f>IF(Recruiting_Data!A80="", "", Recruiting_Data!A80)</f>
        <v>C-10079</v>
      </c>
      <c r="B80" s="5" t="str">
        <f>IF(Recruiting_Data!B80="", "", Recruiting_Data!B80)</f>
        <v>REQ-2026-0037</v>
      </c>
      <c r="C80" s="5" t="str">
        <f>IF(AND(ISNUMBER(Recruiting_Data!N80), ISNUMBER(Recruiting_Data!P80)), Recruiting_Data!N80 - Recruiting_Data!P80, "")</f>
        <v/>
      </c>
      <c r="D80" s="5">
        <v>1.0</v>
      </c>
      <c r="E80" s="5" t="str">
        <f>IF(Recruiting_Data!R80="Open", TODAY() - Recruiting_Data!P80, "")</f>
        <v/>
      </c>
      <c r="F80" s="8" t="str">
        <f t="shared" si="1"/>
        <v/>
      </c>
      <c r="G80" s="5" t="b">
        <f>IF(A80="", "", IF(COUNTIF(Recruiting_Data!A:A, A80)&gt;1, TRUE, FALSE))</f>
        <v>0</v>
      </c>
      <c r="H80" s="5" t="b">
        <f>IF(A80="", "", IF(OR(AND(Recruiting_Data!N80&lt;&gt;"", Recruiting_Data!J80&lt;&gt;"", Recruiting_Data!N80&lt;Recruiting_Data!J80), AND(Recruiting_Data!M80&lt;&gt;"", Recruiting_Data!L80&lt;&gt;"", Recruiting_Data!M80&lt;Recruiting_Data!L80), AND(Recruiting_Data!L80&lt;&gt;"", Recruiting_Data!K80&lt;&gt;"", Recruiting_Data!L80&lt;Recruiting_Data!K80)), TRUE, FALSE))</f>
        <v>0</v>
      </c>
    </row>
    <row r="81">
      <c r="A81" s="5" t="str">
        <f>IF(Recruiting_Data!A81="", "", Recruiting_Data!A81)</f>
        <v>C-10080</v>
      </c>
      <c r="B81" s="5" t="str">
        <f>IF(Recruiting_Data!B81="", "", Recruiting_Data!B81)</f>
        <v>REQ-2026-0014</v>
      </c>
      <c r="C81" s="5" t="str">
        <f>IF(AND(ISNUMBER(Recruiting_Data!N81), ISNUMBER(Recruiting_Data!P81)), Recruiting_Data!N81 - Recruiting_Data!P81, "")</f>
        <v/>
      </c>
      <c r="D81" s="5">
        <v>1.0</v>
      </c>
      <c r="E81" s="5">
        <f>IF(Recruiting_Data!R81="Open", TODAY() - Recruiting_Data!P81, "")</f>
        <v>148</v>
      </c>
      <c r="F81" s="8" t="str">
        <f t="shared" si="1"/>
        <v>60+</v>
      </c>
      <c r="G81" s="5" t="b">
        <f>IF(A81="", "", IF(COUNTIF(Recruiting_Data!A:A, A81)&gt;1, TRUE, FALSE))</f>
        <v>0</v>
      </c>
      <c r="H81" s="5" t="b">
        <f>IF(A81="", "", IF(OR(AND(Recruiting_Data!N81&lt;&gt;"", Recruiting_Data!J81&lt;&gt;"", Recruiting_Data!N81&lt;Recruiting_Data!J81), AND(Recruiting_Data!M81&lt;&gt;"", Recruiting_Data!L81&lt;&gt;"", Recruiting_Data!M81&lt;Recruiting_Data!L81), AND(Recruiting_Data!L81&lt;&gt;"", Recruiting_Data!K81&lt;&gt;"", Recruiting_Data!L81&lt;Recruiting_Data!K81)), TRUE, FALSE))</f>
        <v>0</v>
      </c>
    </row>
    <row r="82">
      <c r="A82" s="5" t="str">
        <f>IF(Recruiting_Data!A82="", "", Recruiting_Data!A82)</f>
        <v>C-10081</v>
      </c>
      <c r="B82" s="5" t="str">
        <f>IF(Recruiting_Data!B82="", "", Recruiting_Data!B82)</f>
        <v>REQ-2026-0019</v>
      </c>
      <c r="C82" s="5" t="str">
        <f>IF(AND(ISNUMBER(Recruiting_Data!N82), ISNUMBER(Recruiting_Data!P82)), Recruiting_Data!N82 - Recruiting_Data!P82, "")</f>
        <v/>
      </c>
      <c r="D82" s="5">
        <v>1.0</v>
      </c>
      <c r="E82" s="5" t="str">
        <f>IF(Recruiting_Data!R82="Open", TODAY() - Recruiting_Data!P82, "")</f>
        <v/>
      </c>
      <c r="F82" s="8" t="str">
        <f t="shared" si="1"/>
        <v/>
      </c>
      <c r="G82" s="5" t="b">
        <f>IF(A82="", "", IF(COUNTIF(Recruiting_Data!A:A, A82)&gt;1, TRUE, FALSE))</f>
        <v>0</v>
      </c>
      <c r="H82" s="5" t="b">
        <f>IF(A82="", "", IF(OR(AND(Recruiting_Data!N82&lt;&gt;"", Recruiting_Data!J82&lt;&gt;"", Recruiting_Data!N82&lt;Recruiting_Data!J82), AND(Recruiting_Data!M82&lt;&gt;"", Recruiting_Data!L82&lt;&gt;"", Recruiting_Data!M82&lt;Recruiting_Data!L82), AND(Recruiting_Data!L82&lt;&gt;"", Recruiting_Data!K82&lt;&gt;"", Recruiting_Data!L82&lt;Recruiting_Data!K82)), TRUE, FALSE))</f>
        <v>0</v>
      </c>
    </row>
    <row r="83">
      <c r="A83" s="5" t="str">
        <f>IF(Recruiting_Data!A83="", "", Recruiting_Data!A83)</f>
        <v>C-10082</v>
      </c>
      <c r="B83" s="5" t="str">
        <f>IF(Recruiting_Data!B83="", "", Recruiting_Data!B83)</f>
        <v>REQ-2026-0044</v>
      </c>
      <c r="C83" s="5" t="str">
        <f>IF(AND(ISNUMBER(Recruiting_Data!N83), ISNUMBER(Recruiting_Data!P83)), Recruiting_Data!N83 - Recruiting_Data!P83, "")</f>
        <v/>
      </c>
      <c r="D83" s="5">
        <v>4.0</v>
      </c>
      <c r="E83" s="5" t="str">
        <f>IF(Recruiting_Data!R83="Open", TODAY() - Recruiting_Data!P83, "")</f>
        <v/>
      </c>
      <c r="F83" s="8" t="str">
        <f t="shared" si="1"/>
        <v/>
      </c>
      <c r="G83" s="5" t="b">
        <f>IF(A83="", "", IF(COUNTIF(Recruiting_Data!A:A, A83)&gt;1, TRUE, FALSE))</f>
        <v>0</v>
      </c>
      <c r="H83" s="5" t="b">
        <f>IF(A83="", "", IF(OR(AND(Recruiting_Data!N83&lt;&gt;"", Recruiting_Data!J83&lt;&gt;"", Recruiting_Data!N83&lt;Recruiting_Data!J83), AND(Recruiting_Data!M83&lt;&gt;"", Recruiting_Data!L83&lt;&gt;"", Recruiting_Data!M83&lt;Recruiting_Data!L83), AND(Recruiting_Data!L83&lt;&gt;"", Recruiting_Data!K83&lt;&gt;"", Recruiting_Data!L83&lt;Recruiting_Data!K83)), TRUE, FALSE))</f>
        <v>0</v>
      </c>
    </row>
    <row r="84">
      <c r="A84" s="5" t="str">
        <f>IF(Recruiting_Data!A84="", "", Recruiting_Data!A84)</f>
        <v>C-10083</v>
      </c>
      <c r="B84" s="5" t="str">
        <f>IF(Recruiting_Data!B84="", "", Recruiting_Data!B84)</f>
        <v>REQ-2026-0010</v>
      </c>
      <c r="C84" s="5" t="str">
        <f>IF(AND(ISNUMBER(Recruiting_Data!N84), ISNUMBER(Recruiting_Data!P84)), Recruiting_Data!N84 - Recruiting_Data!P84, "")</f>
        <v/>
      </c>
      <c r="D84" s="5">
        <v>3.0</v>
      </c>
      <c r="E84" s="5" t="str">
        <f>IF(Recruiting_Data!R84="Open", TODAY() - Recruiting_Data!P84, "")</f>
        <v/>
      </c>
      <c r="F84" s="8" t="str">
        <f t="shared" si="1"/>
        <v/>
      </c>
      <c r="G84" s="5" t="b">
        <f>IF(A84="", "", IF(COUNTIF(Recruiting_Data!A:A, A84)&gt;1, TRUE, FALSE))</f>
        <v>0</v>
      </c>
      <c r="H84" s="5" t="b">
        <f>IF(A84="", "", IF(OR(AND(Recruiting_Data!N84&lt;&gt;"", Recruiting_Data!J84&lt;&gt;"", Recruiting_Data!N84&lt;Recruiting_Data!J84), AND(Recruiting_Data!M84&lt;&gt;"", Recruiting_Data!L84&lt;&gt;"", Recruiting_Data!M84&lt;Recruiting_Data!L84), AND(Recruiting_Data!L84&lt;&gt;"", Recruiting_Data!K84&lt;&gt;"", Recruiting_Data!L84&lt;Recruiting_Data!K84)), TRUE, FALSE))</f>
        <v>0</v>
      </c>
    </row>
    <row r="85">
      <c r="A85" s="5" t="str">
        <f>IF(Recruiting_Data!A85="", "", Recruiting_Data!A85)</f>
        <v>C-10084</v>
      </c>
      <c r="B85" s="5" t="str">
        <f>IF(Recruiting_Data!B85="", "", Recruiting_Data!B85)</f>
        <v>REQ-2026-0048</v>
      </c>
      <c r="C85" s="5">
        <f>IF(AND(ISNUMBER(Recruiting_Data!N85), ISNUMBER(Recruiting_Data!P85)), Recruiting_Data!N85 - Recruiting_Data!P85, "")</f>
        <v>46</v>
      </c>
      <c r="D85" s="5">
        <v>5.0</v>
      </c>
      <c r="E85" s="5" t="str">
        <f>IF(Recruiting_Data!R85="Open", TODAY() - Recruiting_Data!P85, "")</f>
        <v/>
      </c>
      <c r="F85" s="8" t="str">
        <f t="shared" si="1"/>
        <v/>
      </c>
      <c r="G85" s="5" t="b">
        <f>IF(A85="", "", IF(COUNTIF(Recruiting_Data!A:A, A85)&gt;1, TRUE, FALSE))</f>
        <v>0</v>
      </c>
      <c r="H85" s="5" t="b">
        <f>IF(A85="", "", IF(OR(AND(Recruiting_Data!N85&lt;&gt;"", Recruiting_Data!J85&lt;&gt;"", Recruiting_Data!N85&lt;Recruiting_Data!J85), AND(Recruiting_Data!M85&lt;&gt;"", Recruiting_Data!L85&lt;&gt;"", Recruiting_Data!M85&lt;Recruiting_Data!L85), AND(Recruiting_Data!L85&lt;&gt;"", Recruiting_Data!K85&lt;&gt;"", Recruiting_Data!L85&lt;Recruiting_Data!K85)), TRUE, FALSE))</f>
        <v>0</v>
      </c>
    </row>
    <row r="86">
      <c r="A86" s="5" t="str">
        <f>IF(Recruiting_Data!A86="", "", Recruiting_Data!A86)</f>
        <v>C-10085</v>
      </c>
      <c r="B86" s="5" t="str">
        <f>IF(Recruiting_Data!B86="", "", Recruiting_Data!B86)</f>
        <v>REQ-2026-0026</v>
      </c>
      <c r="C86" s="5" t="str">
        <f>IF(AND(ISNUMBER(Recruiting_Data!N86), ISNUMBER(Recruiting_Data!P86)), Recruiting_Data!N86 - Recruiting_Data!P86, "")</f>
        <v/>
      </c>
      <c r="D86" s="5">
        <v>1.0</v>
      </c>
      <c r="E86" s="5" t="str">
        <f>IF(Recruiting_Data!R86="Open", TODAY() - Recruiting_Data!P86, "")</f>
        <v/>
      </c>
      <c r="F86" s="8" t="str">
        <f t="shared" si="1"/>
        <v/>
      </c>
      <c r="G86" s="5" t="b">
        <f>IF(A86="", "", IF(COUNTIF(Recruiting_Data!A:A, A86)&gt;1, TRUE, FALSE))</f>
        <v>0</v>
      </c>
      <c r="H86" s="5" t="b">
        <f>IF(A86="", "", IF(OR(AND(Recruiting_Data!N86&lt;&gt;"", Recruiting_Data!J86&lt;&gt;"", Recruiting_Data!N86&lt;Recruiting_Data!J86), AND(Recruiting_Data!M86&lt;&gt;"", Recruiting_Data!L86&lt;&gt;"", Recruiting_Data!M86&lt;Recruiting_Data!L86), AND(Recruiting_Data!L86&lt;&gt;"", Recruiting_Data!K86&lt;&gt;"", Recruiting_Data!L86&lt;Recruiting_Data!K86)), TRUE, FALSE))</f>
        <v>0</v>
      </c>
    </row>
    <row r="87">
      <c r="A87" s="5" t="str">
        <f>IF(Recruiting_Data!A87="", "", Recruiting_Data!A87)</f>
        <v>C-10086</v>
      </c>
      <c r="B87" s="5" t="str">
        <f>IF(Recruiting_Data!B87="", "", Recruiting_Data!B87)</f>
        <v>REQ-2026-0044</v>
      </c>
      <c r="C87" s="5" t="str">
        <f>IF(AND(ISNUMBER(Recruiting_Data!N87), ISNUMBER(Recruiting_Data!P87)), Recruiting_Data!N87 - Recruiting_Data!P87, "")</f>
        <v/>
      </c>
      <c r="D87" s="5">
        <v>1.0</v>
      </c>
      <c r="E87" s="5" t="str">
        <f>IF(Recruiting_Data!R87="Open", TODAY() - Recruiting_Data!P87, "")</f>
        <v/>
      </c>
      <c r="F87" s="8" t="str">
        <f t="shared" si="1"/>
        <v/>
      </c>
      <c r="G87" s="5" t="b">
        <f>IF(A87="", "", IF(COUNTIF(Recruiting_Data!A:A, A87)&gt;1, TRUE, FALSE))</f>
        <v>0</v>
      </c>
      <c r="H87" s="5" t="b">
        <f>IF(A87="", "", IF(OR(AND(Recruiting_Data!N87&lt;&gt;"", Recruiting_Data!J87&lt;&gt;"", Recruiting_Data!N87&lt;Recruiting_Data!J87), AND(Recruiting_Data!M87&lt;&gt;"", Recruiting_Data!L87&lt;&gt;"", Recruiting_Data!M87&lt;Recruiting_Data!L87), AND(Recruiting_Data!L87&lt;&gt;"", Recruiting_Data!K87&lt;&gt;"", Recruiting_Data!L87&lt;Recruiting_Data!K87)), TRUE, FALSE))</f>
        <v>0</v>
      </c>
    </row>
    <row r="88">
      <c r="A88" s="5" t="str">
        <f>IF(Recruiting_Data!A88="", "", Recruiting_Data!A88)</f>
        <v>C-10087</v>
      </c>
      <c r="B88" s="5" t="str">
        <f>IF(Recruiting_Data!B88="", "", Recruiting_Data!B88)</f>
        <v>REQ-2026-0035</v>
      </c>
      <c r="C88" s="5" t="str">
        <f>IF(AND(ISNUMBER(Recruiting_Data!N88), ISNUMBER(Recruiting_Data!P88)), Recruiting_Data!N88 - Recruiting_Data!P88, "")</f>
        <v/>
      </c>
      <c r="D88" s="5">
        <v>1.0</v>
      </c>
      <c r="E88" s="5" t="str">
        <f>IF(Recruiting_Data!R88="Open", TODAY() - Recruiting_Data!P88, "")</f>
        <v/>
      </c>
      <c r="F88" s="8" t="str">
        <f t="shared" si="1"/>
        <v/>
      </c>
      <c r="G88" s="5" t="b">
        <f>IF(A88="", "", IF(COUNTIF(Recruiting_Data!A:A, A88)&gt;1, TRUE, FALSE))</f>
        <v>0</v>
      </c>
      <c r="H88" s="5" t="b">
        <f>IF(A88="", "", IF(OR(AND(Recruiting_Data!N88&lt;&gt;"", Recruiting_Data!J88&lt;&gt;"", Recruiting_Data!N88&lt;Recruiting_Data!J88), AND(Recruiting_Data!M88&lt;&gt;"", Recruiting_Data!L88&lt;&gt;"", Recruiting_Data!M88&lt;Recruiting_Data!L88), AND(Recruiting_Data!L88&lt;&gt;"", Recruiting_Data!K88&lt;&gt;"", Recruiting_Data!L88&lt;Recruiting_Data!K88)), TRUE, FALSE))</f>
        <v>0</v>
      </c>
    </row>
    <row r="89">
      <c r="A89" s="5" t="str">
        <f>IF(Recruiting_Data!A89="", "", Recruiting_Data!A89)</f>
        <v>C-10088</v>
      </c>
      <c r="B89" s="5" t="str">
        <f>IF(Recruiting_Data!B89="", "", Recruiting_Data!B89)</f>
        <v>REQ-2026-0050</v>
      </c>
      <c r="C89" s="5" t="str">
        <f>IF(AND(ISNUMBER(Recruiting_Data!N89), ISNUMBER(Recruiting_Data!P89)), Recruiting_Data!N89 - Recruiting_Data!P89, "")</f>
        <v/>
      </c>
      <c r="D89" s="5">
        <v>1.0</v>
      </c>
      <c r="E89" s="5" t="str">
        <f>IF(Recruiting_Data!R89="Open", TODAY() - Recruiting_Data!P89, "")</f>
        <v/>
      </c>
      <c r="F89" s="8" t="str">
        <f t="shared" si="1"/>
        <v/>
      </c>
      <c r="G89" s="5" t="b">
        <f>IF(A89="", "", IF(COUNTIF(Recruiting_Data!A:A, A89)&gt;1, TRUE, FALSE))</f>
        <v>0</v>
      </c>
      <c r="H89" s="5" t="b">
        <f>IF(A89="", "", IF(OR(AND(Recruiting_Data!N89&lt;&gt;"", Recruiting_Data!J89&lt;&gt;"", Recruiting_Data!N89&lt;Recruiting_Data!J89), AND(Recruiting_Data!M89&lt;&gt;"", Recruiting_Data!L89&lt;&gt;"", Recruiting_Data!M89&lt;Recruiting_Data!L89), AND(Recruiting_Data!L89&lt;&gt;"", Recruiting_Data!K89&lt;&gt;"", Recruiting_Data!L89&lt;Recruiting_Data!K89)), TRUE, FALSE))</f>
        <v>0</v>
      </c>
    </row>
    <row r="90">
      <c r="A90" s="5" t="str">
        <f>IF(Recruiting_Data!A90="", "", Recruiting_Data!A90)</f>
        <v>C-10089</v>
      </c>
      <c r="B90" s="5" t="str">
        <f>IF(Recruiting_Data!B90="", "", Recruiting_Data!B90)</f>
        <v>REQ-2026-0010</v>
      </c>
      <c r="C90" s="5" t="str">
        <f>IF(AND(ISNUMBER(Recruiting_Data!N90), ISNUMBER(Recruiting_Data!P90)), Recruiting_Data!N90 - Recruiting_Data!P90, "")</f>
        <v/>
      </c>
      <c r="D90" s="5">
        <v>1.0</v>
      </c>
      <c r="E90" s="5" t="str">
        <f>IF(Recruiting_Data!R90="Open", TODAY() - Recruiting_Data!P90, "")</f>
        <v/>
      </c>
      <c r="F90" s="8" t="str">
        <f t="shared" si="1"/>
        <v/>
      </c>
      <c r="G90" s="5" t="b">
        <f>IF(A90="", "", IF(COUNTIF(Recruiting_Data!A:A, A90)&gt;1, TRUE, FALSE))</f>
        <v>0</v>
      </c>
      <c r="H90" s="5" t="b">
        <f>IF(A90="", "", IF(OR(AND(Recruiting_Data!N90&lt;&gt;"", Recruiting_Data!J90&lt;&gt;"", Recruiting_Data!N90&lt;Recruiting_Data!J90), AND(Recruiting_Data!M90&lt;&gt;"", Recruiting_Data!L90&lt;&gt;"", Recruiting_Data!M90&lt;Recruiting_Data!L90), AND(Recruiting_Data!L90&lt;&gt;"", Recruiting_Data!K90&lt;&gt;"", Recruiting_Data!L90&lt;Recruiting_Data!K90)), TRUE, FALSE))</f>
        <v>0</v>
      </c>
    </row>
    <row r="91">
      <c r="A91" s="5" t="str">
        <f>IF(Recruiting_Data!A91="", "", Recruiting_Data!A91)</f>
        <v>C-10090</v>
      </c>
      <c r="B91" s="5" t="str">
        <f>IF(Recruiting_Data!B91="", "", Recruiting_Data!B91)</f>
        <v>REQ-2026-0042</v>
      </c>
      <c r="C91" s="5" t="str">
        <f>IF(AND(ISNUMBER(Recruiting_Data!N91), ISNUMBER(Recruiting_Data!P91)), Recruiting_Data!N91 - Recruiting_Data!P91, "")</f>
        <v/>
      </c>
      <c r="D91" s="5">
        <v>3.0</v>
      </c>
      <c r="E91" s="5" t="str">
        <f>IF(Recruiting_Data!R91="Open", TODAY() - Recruiting_Data!P91, "")</f>
        <v/>
      </c>
      <c r="F91" s="8" t="str">
        <f t="shared" si="1"/>
        <v/>
      </c>
      <c r="G91" s="5" t="b">
        <f>IF(A91="", "", IF(COUNTIF(Recruiting_Data!A:A, A91)&gt;1, TRUE, FALSE))</f>
        <v>0</v>
      </c>
      <c r="H91" s="5" t="b">
        <f>IF(A91="", "", IF(OR(AND(Recruiting_Data!N91&lt;&gt;"", Recruiting_Data!J91&lt;&gt;"", Recruiting_Data!N91&lt;Recruiting_Data!J91), AND(Recruiting_Data!M91&lt;&gt;"", Recruiting_Data!L91&lt;&gt;"", Recruiting_Data!M91&lt;Recruiting_Data!L91), AND(Recruiting_Data!L91&lt;&gt;"", Recruiting_Data!K91&lt;&gt;"", Recruiting_Data!L91&lt;Recruiting_Data!K91)), TRUE, FALSE))</f>
        <v>0</v>
      </c>
    </row>
    <row r="92">
      <c r="A92" s="5" t="str">
        <f>IF(Recruiting_Data!A92="", "", Recruiting_Data!A92)</f>
        <v>C-10091</v>
      </c>
      <c r="B92" s="5" t="str">
        <f>IF(Recruiting_Data!B92="", "", Recruiting_Data!B92)</f>
        <v>REQ-2026-0041</v>
      </c>
      <c r="C92" s="5" t="str">
        <f>IF(AND(ISNUMBER(Recruiting_Data!N92), ISNUMBER(Recruiting_Data!P92)), Recruiting_Data!N92 - Recruiting_Data!P92, "")</f>
        <v/>
      </c>
      <c r="D92" s="5">
        <v>1.0</v>
      </c>
      <c r="E92" s="5" t="str">
        <f>IF(Recruiting_Data!R92="Open", TODAY() - Recruiting_Data!P92, "")</f>
        <v/>
      </c>
      <c r="F92" s="8" t="str">
        <f t="shared" si="1"/>
        <v/>
      </c>
      <c r="G92" s="5" t="b">
        <f>IF(A92="", "", IF(COUNTIF(Recruiting_Data!A:A, A92)&gt;1, TRUE, FALSE))</f>
        <v>0</v>
      </c>
      <c r="H92" s="5" t="b">
        <f>IF(A92="", "", IF(OR(AND(Recruiting_Data!N92&lt;&gt;"", Recruiting_Data!J92&lt;&gt;"", Recruiting_Data!N92&lt;Recruiting_Data!J92), AND(Recruiting_Data!M92&lt;&gt;"", Recruiting_Data!L92&lt;&gt;"", Recruiting_Data!M92&lt;Recruiting_Data!L92), AND(Recruiting_Data!L92&lt;&gt;"", Recruiting_Data!K92&lt;&gt;"", Recruiting_Data!L92&lt;Recruiting_Data!K92)), TRUE, FALSE))</f>
        <v>0</v>
      </c>
    </row>
    <row r="93">
      <c r="A93" s="5" t="str">
        <f>IF(Recruiting_Data!A93="", "", Recruiting_Data!A93)</f>
        <v>C-10092</v>
      </c>
      <c r="B93" s="5" t="str">
        <f>IF(Recruiting_Data!B93="", "", Recruiting_Data!B93)</f>
        <v>REQ-2026-0026</v>
      </c>
      <c r="C93" s="5" t="str">
        <f>IF(AND(ISNUMBER(Recruiting_Data!N93), ISNUMBER(Recruiting_Data!P93)), Recruiting_Data!N93 - Recruiting_Data!P93, "")</f>
        <v/>
      </c>
      <c r="D93" s="5">
        <v>1.0</v>
      </c>
      <c r="E93" s="5" t="str">
        <f>IF(Recruiting_Data!R93="Open", TODAY() - Recruiting_Data!P93, "")</f>
        <v/>
      </c>
      <c r="F93" s="8" t="str">
        <f t="shared" si="1"/>
        <v/>
      </c>
      <c r="G93" s="5" t="b">
        <f>IF(A93="", "", IF(COUNTIF(Recruiting_Data!A:A, A93)&gt;1, TRUE, FALSE))</f>
        <v>0</v>
      </c>
      <c r="H93" s="5" t="b">
        <f>IF(A93="", "", IF(OR(AND(Recruiting_Data!N93&lt;&gt;"", Recruiting_Data!J93&lt;&gt;"", Recruiting_Data!N93&lt;Recruiting_Data!J93), AND(Recruiting_Data!M93&lt;&gt;"", Recruiting_Data!L93&lt;&gt;"", Recruiting_Data!M93&lt;Recruiting_Data!L93), AND(Recruiting_Data!L93&lt;&gt;"", Recruiting_Data!K93&lt;&gt;"", Recruiting_Data!L93&lt;Recruiting_Data!K93)), TRUE, FALSE))</f>
        <v>0</v>
      </c>
    </row>
    <row r="94">
      <c r="A94" s="5" t="str">
        <f>IF(Recruiting_Data!A94="", "", Recruiting_Data!A94)</f>
        <v>C-10093</v>
      </c>
      <c r="B94" s="5" t="str">
        <f>IF(Recruiting_Data!B94="", "", Recruiting_Data!B94)</f>
        <v>REQ-2026-0018</v>
      </c>
      <c r="C94" s="5" t="str">
        <f>IF(AND(ISNUMBER(Recruiting_Data!N94), ISNUMBER(Recruiting_Data!P94)), Recruiting_Data!N94 - Recruiting_Data!P94, "")</f>
        <v/>
      </c>
      <c r="D94" s="5">
        <v>1.0</v>
      </c>
      <c r="E94" s="5" t="str">
        <f>IF(Recruiting_Data!R94="Open", TODAY() - Recruiting_Data!P94, "")</f>
        <v/>
      </c>
      <c r="F94" s="8" t="str">
        <f t="shared" si="1"/>
        <v/>
      </c>
      <c r="G94" s="5" t="b">
        <f>IF(A94="", "", IF(COUNTIF(Recruiting_Data!A:A, A94)&gt;1, TRUE, FALSE))</f>
        <v>0</v>
      </c>
      <c r="H94" s="5" t="b">
        <f>IF(A94="", "", IF(OR(AND(Recruiting_Data!N94&lt;&gt;"", Recruiting_Data!J94&lt;&gt;"", Recruiting_Data!N94&lt;Recruiting_Data!J94), AND(Recruiting_Data!M94&lt;&gt;"", Recruiting_Data!L94&lt;&gt;"", Recruiting_Data!M94&lt;Recruiting_Data!L94), AND(Recruiting_Data!L94&lt;&gt;"", Recruiting_Data!K94&lt;&gt;"", Recruiting_Data!L94&lt;Recruiting_Data!K94)), TRUE, FALSE))</f>
        <v>0</v>
      </c>
    </row>
    <row r="95">
      <c r="A95" s="5" t="str">
        <f>IF(Recruiting_Data!A95="", "", Recruiting_Data!A95)</f>
        <v>C-10094</v>
      </c>
      <c r="B95" s="5" t="str">
        <f>IF(Recruiting_Data!B95="", "", Recruiting_Data!B95)</f>
        <v>REQ-2026-0045</v>
      </c>
      <c r="C95" s="5" t="str">
        <f>IF(AND(ISNUMBER(Recruiting_Data!N95), ISNUMBER(Recruiting_Data!P95)), Recruiting_Data!N95 - Recruiting_Data!P95, "")</f>
        <v/>
      </c>
      <c r="D95" s="5">
        <v>1.0</v>
      </c>
      <c r="E95" s="5" t="str">
        <f>IF(Recruiting_Data!R95="Open", TODAY() - Recruiting_Data!P95, "")</f>
        <v/>
      </c>
      <c r="F95" s="8" t="str">
        <f t="shared" si="1"/>
        <v/>
      </c>
      <c r="G95" s="5" t="b">
        <f>IF(A95="", "", IF(COUNTIF(Recruiting_Data!A:A, A95)&gt;1, TRUE, FALSE))</f>
        <v>0</v>
      </c>
      <c r="H95" s="5" t="b">
        <f>IF(A95="", "", IF(OR(AND(Recruiting_Data!N95&lt;&gt;"", Recruiting_Data!J95&lt;&gt;"", Recruiting_Data!N95&lt;Recruiting_Data!J95), AND(Recruiting_Data!M95&lt;&gt;"", Recruiting_Data!L95&lt;&gt;"", Recruiting_Data!M95&lt;Recruiting_Data!L95), AND(Recruiting_Data!L95&lt;&gt;"", Recruiting_Data!K95&lt;&gt;"", Recruiting_Data!L95&lt;Recruiting_Data!K95)), TRUE, FALSE))</f>
        <v>0</v>
      </c>
    </row>
    <row r="96">
      <c r="A96" s="5" t="str">
        <f>IF(Recruiting_Data!A96="", "", Recruiting_Data!A96)</f>
        <v>C-10095</v>
      </c>
      <c r="B96" s="5" t="str">
        <f>IF(Recruiting_Data!B96="", "", Recruiting_Data!B96)</f>
        <v>REQ-2026-0017</v>
      </c>
      <c r="C96" s="5" t="str">
        <f>IF(AND(ISNUMBER(Recruiting_Data!N96), ISNUMBER(Recruiting_Data!P96)), Recruiting_Data!N96 - Recruiting_Data!P96, "")</f>
        <v/>
      </c>
      <c r="D96" s="5">
        <v>2.0</v>
      </c>
      <c r="E96" s="5" t="str">
        <f>IF(Recruiting_Data!R96="Open", TODAY() - Recruiting_Data!P96, "")</f>
        <v/>
      </c>
      <c r="F96" s="8" t="str">
        <f t="shared" si="1"/>
        <v/>
      </c>
      <c r="G96" s="5" t="b">
        <f>IF(A96="", "", IF(COUNTIF(Recruiting_Data!A:A, A96)&gt;1, TRUE, FALSE))</f>
        <v>0</v>
      </c>
      <c r="H96" s="5" t="b">
        <f>IF(A96="", "", IF(OR(AND(Recruiting_Data!N96&lt;&gt;"", Recruiting_Data!J96&lt;&gt;"", Recruiting_Data!N96&lt;Recruiting_Data!J96), AND(Recruiting_Data!M96&lt;&gt;"", Recruiting_Data!L96&lt;&gt;"", Recruiting_Data!M96&lt;Recruiting_Data!L96), AND(Recruiting_Data!L96&lt;&gt;"", Recruiting_Data!K96&lt;&gt;"", Recruiting_Data!L96&lt;Recruiting_Data!K96)), TRUE, FALSE))</f>
        <v>0</v>
      </c>
    </row>
    <row r="97">
      <c r="A97" s="5" t="str">
        <f>IF(Recruiting_Data!A97="", "", Recruiting_Data!A97)</f>
        <v>C-10096</v>
      </c>
      <c r="B97" s="5" t="str">
        <f>IF(Recruiting_Data!B97="", "", Recruiting_Data!B97)</f>
        <v>REQ-2026-0043</v>
      </c>
      <c r="C97" s="5" t="str">
        <f>IF(AND(ISNUMBER(Recruiting_Data!N97), ISNUMBER(Recruiting_Data!P97)), Recruiting_Data!N97 - Recruiting_Data!P97, "")</f>
        <v/>
      </c>
      <c r="D97" s="5">
        <v>1.0</v>
      </c>
      <c r="E97" s="5">
        <f>IF(Recruiting_Data!R97="Open", TODAY() - Recruiting_Data!P97, "")</f>
        <v>150</v>
      </c>
      <c r="F97" s="8" t="str">
        <f t="shared" si="1"/>
        <v>60+</v>
      </c>
      <c r="G97" s="5" t="b">
        <f>IF(A97="", "", IF(COUNTIF(Recruiting_Data!A:A, A97)&gt;1, TRUE, FALSE))</f>
        <v>0</v>
      </c>
      <c r="H97" s="5" t="b">
        <f>IF(A97="", "", IF(OR(AND(Recruiting_Data!N97&lt;&gt;"", Recruiting_Data!J97&lt;&gt;"", Recruiting_Data!N97&lt;Recruiting_Data!J97), AND(Recruiting_Data!M97&lt;&gt;"", Recruiting_Data!L97&lt;&gt;"", Recruiting_Data!M97&lt;Recruiting_Data!L97), AND(Recruiting_Data!L97&lt;&gt;"", Recruiting_Data!K97&lt;&gt;"", Recruiting_Data!L97&lt;Recruiting_Data!K97)), TRUE, FALSE))</f>
        <v>0</v>
      </c>
    </row>
    <row r="98">
      <c r="A98" s="5" t="str">
        <f>IF(Recruiting_Data!A98="", "", Recruiting_Data!A98)</f>
        <v>C-10097</v>
      </c>
      <c r="B98" s="5" t="str">
        <f>IF(Recruiting_Data!B98="", "", Recruiting_Data!B98)</f>
        <v>REQ-2026-0024</v>
      </c>
      <c r="C98" s="5" t="str">
        <f>IF(AND(ISNUMBER(Recruiting_Data!N98), ISNUMBER(Recruiting_Data!P98)), Recruiting_Data!N98 - Recruiting_Data!P98, "")</f>
        <v/>
      </c>
      <c r="D98" s="5">
        <v>4.0</v>
      </c>
      <c r="E98" s="5" t="str">
        <f>IF(Recruiting_Data!R98="Open", TODAY() - Recruiting_Data!P98, "")</f>
        <v/>
      </c>
      <c r="F98" s="8" t="str">
        <f t="shared" si="1"/>
        <v/>
      </c>
      <c r="G98" s="5" t="b">
        <f>IF(A98="", "", IF(COUNTIF(Recruiting_Data!A:A, A98)&gt;1, TRUE, FALSE))</f>
        <v>0</v>
      </c>
      <c r="H98" s="5" t="b">
        <f>IF(A98="", "", IF(OR(AND(Recruiting_Data!N98&lt;&gt;"", Recruiting_Data!J98&lt;&gt;"", Recruiting_Data!N98&lt;Recruiting_Data!J98), AND(Recruiting_Data!M98&lt;&gt;"", Recruiting_Data!L98&lt;&gt;"", Recruiting_Data!M98&lt;Recruiting_Data!L98), AND(Recruiting_Data!L98&lt;&gt;"", Recruiting_Data!K98&lt;&gt;"", Recruiting_Data!L98&lt;Recruiting_Data!K98)), TRUE, FALSE))</f>
        <v>0</v>
      </c>
    </row>
    <row r="99">
      <c r="A99" s="5" t="str">
        <f>IF(Recruiting_Data!A99="", "", Recruiting_Data!A99)</f>
        <v>C-10098</v>
      </c>
      <c r="B99" s="5" t="str">
        <f>IF(Recruiting_Data!B99="", "", Recruiting_Data!B99)</f>
        <v>REQ-2026-0015</v>
      </c>
      <c r="C99" s="5" t="str">
        <f>IF(AND(ISNUMBER(Recruiting_Data!N99), ISNUMBER(Recruiting_Data!P99)), Recruiting_Data!N99 - Recruiting_Data!P99, "")</f>
        <v/>
      </c>
      <c r="D99" s="5">
        <v>1.0</v>
      </c>
      <c r="E99" s="5" t="str">
        <f>IF(Recruiting_Data!R99="Open", TODAY() - Recruiting_Data!P99, "")</f>
        <v/>
      </c>
      <c r="F99" s="8" t="str">
        <f t="shared" si="1"/>
        <v/>
      </c>
      <c r="G99" s="5" t="b">
        <f>IF(A99="", "", IF(COUNTIF(Recruiting_Data!A:A, A99)&gt;1, TRUE, FALSE))</f>
        <v>0</v>
      </c>
      <c r="H99" s="5" t="b">
        <f>IF(A99="", "", IF(OR(AND(Recruiting_Data!N99&lt;&gt;"", Recruiting_Data!J99&lt;&gt;"", Recruiting_Data!N99&lt;Recruiting_Data!J99), AND(Recruiting_Data!M99&lt;&gt;"", Recruiting_Data!L99&lt;&gt;"", Recruiting_Data!M99&lt;Recruiting_Data!L99), AND(Recruiting_Data!L99&lt;&gt;"", Recruiting_Data!K99&lt;&gt;"", Recruiting_Data!L99&lt;Recruiting_Data!K99)), TRUE, FALSE))</f>
        <v>0</v>
      </c>
    </row>
    <row r="100">
      <c r="A100" s="5" t="str">
        <f>IF(Recruiting_Data!A100="", "", Recruiting_Data!A100)</f>
        <v>C-10099</v>
      </c>
      <c r="B100" s="5" t="str">
        <f>IF(Recruiting_Data!B100="", "", Recruiting_Data!B100)</f>
        <v>REQ-2026-0012</v>
      </c>
      <c r="C100" s="5" t="str">
        <f>IF(AND(ISNUMBER(Recruiting_Data!N100), ISNUMBER(Recruiting_Data!P100)), Recruiting_Data!N100 - Recruiting_Data!P100, "")</f>
        <v/>
      </c>
      <c r="D100" s="5">
        <v>3.0</v>
      </c>
      <c r="E100" s="5" t="str">
        <f>IF(Recruiting_Data!R100="Open", TODAY() - Recruiting_Data!P100, "")</f>
        <v/>
      </c>
      <c r="F100" s="8" t="str">
        <f t="shared" si="1"/>
        <v/>
      </c>
      <c r="G100" s="5" t="b">
        <f>IF(A100="", "", IF(COUNTIF(Recruiting_Data!A:A, A100)&gt;1, TRUE, FALSE))</f>
        <v>0</v>
      </c>
      <c r="H100" s="5" t="b">
        <f>IF(A100="", "", IF(OR(AND(Recruiting_Data!N100&lt;&gt;"", Recruiting_Data!J100&lt;&gt;"", Recruiting_Data!N100&lt;Recruiting_Data!J100), AND(Recruiting_Data!M100&lt;&gt;"", Recruiting_Data!L100&lt;&gt;"", Recruiting_Data!M100&lt;Recruiting_Data!L100), AND(Recruiting_Data!L100&lt;&gt;"", Recruiting_Data!K100&lt;&gt;"", Recruiting_Data!L100&lt;Recruiting_Data!K100)), TRUE, FALSE))</f>
        <v>0</v>
      </c>
    </row>
    <row r="101">
      <c r="A101" s="5" t="str">
        <f>IF(Recruiting_Data!A101="", "", Recruiting_Data!A101)</f>
        <v>C-10100</v>
      </c>
      <c r="B101" s="5" t="str">
        <f>IF(Recruiting_Data!B101="", "", Recruiting_Data!B101)</f>
        <v>REQ-2026-0031</v>
      </c>
      <c r="C101" s="5" t="str">
        <f>IF(AND(ISNUMBER(Recruiting_Data!N101), ISNUMBER(Recruiting_Data!P101)), Recruiting_Data!N101 - Recruiting_Data!P101, "")</f>
        <v/>
      </c>
      <c r="D101" s="5">
        <v>1.0</v>
      </c>
      <c r="E101" s="5">
        <f>IF(Recruiting_Data!R101="Open", TODAY() - Recruiting_Data!P101, "")</f>
        <v>228</v>
      </c>
      <c r="F101" s="8" t="str">
        <f t="shared" si="1"/>
        <v>60+</v>
      </c>
      <c r="G101" s="5" t="b">
        <f>IF(A101="", "", IF(COUNTIF(Recruiting_Data!A:A, A101)&gt;1, TRUE, FALSE))</f>
        <v>0</v>
      </c>
      <c r="H101" s="5" t="b">
        <f>IF(A101="", "", IF(OR(AND(Recruiting_Data!N101&lt;&gt;"", Recruiting_Data!J101&lt;&gt;"", Recruiting_Data!N101&lt;Recruiting_Data!J101), AND(Recruiting_Data!M101&lt;&gt;"", Recruiting_Data!L101&lt;&gt;"", Recruiting_Data!M101&lt;Recruiting_Data!L101), AND(Recruiting_Data!L101&lt;&gt;"", Recruiting_Data!K101&lt;&gt;"", Recruiting_Data!L101&lt;Recruiting_Data!K101)), TRUE, FALSE))</f>
        <v>0</v>
      </c>
    </row>
    <row r="102">
      <c r="A102" s="5" t="str">
        <f>IF(Recruiting_Data!A102="", "", Recruiting_Data!A102)</f>
        <v>C-10101</v>
      </c>
      <c r="B102" s="5" t="str">
        <f>IF(Recruiting_Data!B102="", "", Recruiting_Data!B102)</f>
        <v>REQ-2026-0029</v>
      </c>
      <c r="C102" s="5" t="str">
        <f>IF(AND(ISNUMBER(Recruiting_Data!N102), ISNUMBER(Recruiting_Data!P102)), Recruiting_Data!N102 - Recruiting_Data!P102, "")</f>
        <v/>
      </c>
      <c r="D102" s="5">
        <v>1.0</v>
      </c>
      <c r="E102" s="5" t="str">
        <f>IF(Recruiting_Data!R102="Open", TODAY() - Recruiting_Data!P102, "")</f>
        <v/>
      </c>
      <c r="F102" s="8" t="str">
        <f t="shared" si="1"/>
        <v/>
      </c>
      <c r="G102" s="5" t="b">
        <f>IF(A102="", "", IF(COUNTIF(Recruiting_Data!A:A, A102)&gt;1, TRUE, FALSE))</f>
        <v>0</v>
      </c>
      <c r="H102" s="5" t="b">
        <f>IF(A102="", "", IF(OR(AND(Recruiting_Data!N102&lt;&gt;"", Recruiting_Data!J102&lt;&gt;"", Recruiting_Data!N102&lt;Recruiting_Data!J102), AND(Recruiting_Data!M102&lt;&gt;"", Recruiting_Data!L102&lt;&gt;"", Recruiting_Data!M102&lt;Recruiting_Data!L102), AND(Recruiting_Data!L102&lt;&gt;"", Recruiting_Data!K102&lt;&gt;"", Recruiting_Data!L102&lt;Recruiting_Data!K102)), TRUE, FALSE))</f>
        <v>0</v>
      </c>
    </row>
    <row r="103">
      <c r="A103" s="5" t="str">
        <f>IF(Recruiting_Data!A103="", "", Recruiting_Data!A103)</f>
        <v>C-10102</v>
      </c>
      <c r="B103" s="5" t="str">
        <f>IF(Recruiting_Data!B103="", "", Recruiting_Data!B103)</f>
        <v>REQ-2026-0008</v>
      </c>
      <c r="C103" s="5">
        <f>IF(AND(ISNUMBER(Recruiting_Data!N103), ISNUMBER(Recruiting_Data!P103)), Recruiting_Data!N103 - Recruiting_Data!P103, "")</f>
        <v>44</v>
      </c>
      <c r="D103" s="5">
        <v>5.0</v>
      </c>
      <c r="E103" s="5" t="str">
        <f>IF(Recruiting_Data!R103="Open", TODAY() - Recruiting_Data!P103, "")</f>
        <v/>
      </c>
      <c r="F103" s="8" t="str">
        <f t="shared" si="1"/>
        <v/>
      </c>
      <c r="G103" s="5" t="b">
        <f>IF(A103="", "", IF(COUNTIF(Recruiting_Data!A:A, A103)&gt;1, TRUE, FALSE))</f>
        <v>0</v>
      </c>
      <c r="H103" s="5" t="b">
        <f>IF(A103="", "", IF(OR(AND(Recruiting_Data!N103&lt;&gt;"", Recruiting_Data!J103&lt;&gt;"", Recruiting_Data!N103&lt;Recruiting_Data!J103), AND(Recruiting_Data!M103&lt;&gt;"", Recruiting_Data!L103&lt;&gt;"", Recruiting_Data!M103&lt;Recruiting_Data!L103), AND(Recruiting_Data!L103&lt;&gt;"", Recruiting_Data!K103&lt;&gt;"", Recruiting_Data!L103&lt;Recruiting_Data!K103)), TRUE, FALSE))</f>
        <v>0</v>
      </c>
    </row>
    <row r="104">
      <c r="A104" s="5" t="str">
        <f>IF(Recruiting_Data!A104="", "", Recruiting_Data!A104)</f>
        <v>C-10103</v>
      </c>
      <c r="B104" s="5" t="str">
        <f>IF(Recruiting_Data!B104="", "", Recruiting_Data!B104)</f>
        <v>REQ-2026-0009</v>
      </c>
      <c r="C104" s="5" t="str">
        <f>IF(AND(ISNUMBER(Recruiting_Data!N104), ISNUMBER(Recruiting_Data!P104)), Recruiting_Data!N104 - Recruiting_Data!P104, "")</f>
        <v/>
      </c>
      <c r="D104" s="5">
        <v>3.0</v>
      </c>
      <c r="E104" s="5" t="str">
        <f>IF(Recruiting_Data!R104="Open", TODAY() - Recruiting_Data!P104, "")</f>
        <v/>
      </c>
      <c r="F104" s="8" t="str">
        <f t="shared" si="1"/>
        <v/>
      </c>
      <c r="G104" s="5" t="b">
        <f>IF(A104="", "", IF(COUNTIF(Recruiting_Data!A:A, A104)&gt;1, TRUE, FALSE))</f>
        <v>0</v>
      </c>
      <c r="H104" s="5" t="b">
        <f>IF(A104="", "", IF(OR(AND(Recruiting_Data!N104&lt;&gt;"", Recruiting_Data!J104&lt;&gt;"", Recruiting_Data!N104&lt;Recruiting_Data!J104), AND(Recruiting_Data!M104&lt;&gt;"", Recruiting_Data!L104&lt;&gt;"", Recruiting_Data!M104&lt;Recruiting_Data!L104), AND(Recruiting_Data!L104&lt;&gt;"", Recruiting_Data!K104&lt;&gt;"", Recruiting_Data!L104&lt;Recruiting_Data!K104)), TRUE, FALSE))</f>
        <v>0</v>
      </c>
    </row>
    <row r="105">
      <c r="A105" s="5" t="str">
        <f>IF(Recruiting_Data!A105="", "", Recruiting_Data!A105)</f>
        <v>C-10104</v>
      </c>
      <c r="B105" s="5" t="str">
        <f>IF(Recruiting_Data!B105="", "", Recruiting_Data!B105)</f>
        <v>REQ-2026-0045</v>
      </c>
      <c r="C105" s="5">
        <f>IF(AND(ISNUMBER(Recruiting_Data!N105), ISNUMBER(Recruiting_Data!P105)), Recruiting_Data!N105 - Recruiting_Data!P105, "")</f>
        <v>41</v>
      </c>
      <c r="D105" s="5">
        <v>5.0</v>
      </c>
      <c r="E105" s="5" t="str">
        <f>IF(Recruiting_Data!R105="Open", TODAY() - Recruiting_Data!P105, "")</f>
        <v/>
      </c>
      <c r="F105" s="8" t="str">
        <f t="shared" si="1"/>
        <v/>
      </c>
      <c r="G105" s="5" t="b">
        <f>IF(A105="", "", IF(COUNTIF(Recruiting_Data!A:A, A105)&gt;1, TRUE, FALSE))</f>
        <v>0</v>
      </c>
      <c r="H105" s="5" t="b">
        <f>IF(A105="", "", IF(OR(AND(Recruiting_Data!N105&lt;&gt;"", Recruiting_Data!J105&lt;&gt;"", Recruiting_Data!N105&lt;Recruiting_Data!J105), AND(Recruiting_Data!M105&lt;&gt;"", Recruiting_Data!L105&lt;&gt;"", Recruiting_Data!M105&lt;Recruiting_Data!L105), AND(Recruiting_Data!L105&lt;&gt;"", Recruiting_Data!K105&lt;&gt;"", Recruiting_Data!L105&lt;Recruiting_Data!K105)), TRUE, FALSE))</f>
        <v>0</v>
      </c>
    </row>
    <row r="106">
      <c r="A106" s="5" t="str">
        <f>IF(Recruiting_Data!A106="", "", Recruiting_Data!A106)</f>
        <v>C-10105</v>
      </c>
      <c r="B106" s="5" t="str">
        <f>IF(Recruiting_Data!B106="", "", Recruiting_Data!B106)</f>
        <v>REQ-2026-0017</v>
      </c>
      <c r="C106" s="5" t="str">
        <f>IF(AND(ISNUMBER(Recruiting_Data!N106), ISNUMBER(Recruiting_Data!P106)), Recruiting_Data!N106 - Recruiting_Data!P106, "")</f>
        <v/>
      </c>
      <c r="D106" s="5">
        <v>1.0</v>
      </c>
      <c r="E106" s="5" t="str">
        <f>IF(Recruiting_Data!R106="Open", TODAY() - Recruiting_Data!P106, "")</f>
        <v/>
      </c>
      <c r="F106" s="8" t="str">
        <f t="shared" si="1"/>
        <v/>
      </c>
      <c r="G106" s="5" t="b">
        <f>IF(A106="", "", IF(COUNTIF(Recruiting_Data!A:A, A106)&gt;1, TRUE, FALSE))</f>
        <v>0</v>
      </c>
      <c r="H106" s="5" t="b">
        <f>IF(A106="", "", IF(OR(AND(Recruiting_Data!N106&lt;&gt;"", Recruiting_Data!J106&lt;&gt;"", Recruiting_Data!N106&lt;Recruiting_Data!J106), AND(Recruiting_Data!M106&lt;&gt;"", Recruiting_Data!L106&lt;&gt;"", Recruiting_Data!M106&lt;Recruiting_Data!L106), AND(Recruiting_Data!L106&lt;&gt;"", Recruiting_Data!K106&lt;&gt;"", Recruiting_Data!L106&lt;Recruiting_Data!K106)), TRUE, FALSE))</f>
        <v>0</v>
      </c>
    </row>
    <row r="107">
      <c r="A107" s="5" t="str">
        <f>IF(Recruiting_Data!A107="", "", Recruiting_Data!A107)</f>
        <v>C-10106</v>
      </c>
      <c r="B107" s="5" t="str">
        <f>IF(Recruiting_Data!B107="", "", Recruiting_Data!B107)</f>
        <v>REQ-2026-0027</v>
      </c>
      <c r="C107" s="5" t="str">
        <f>IF(AND(ISNUMBER(Recruiting_Data!N107), ISNUMBER(Recruiting_Data!P107)), Recruiting_Data!N107 - Recruiting_Data!P107, "")</f>
        <v/>
      </c>
      <c r="D107" s="5">
        <v>1.0</v>
      </c>
      <c r="E107" s="5" t="str">
        <f>IF(Recruiting_Data!R107="Open", TODAY() - Recruiting_Data!P107, "")</f>
        <v/>
      </c>
      <c r="F107" s="8" t="str">
        <f t="shared" si="1"/>
        <v/>
      </c>
      <c r="G107" s="5" t="b">
        <f>IF(A107="", "", IF(COUNTIF(Recruiting_Data!A:A, A107)&gt;1, TRUE, FALSE))</f>
        <v>0</v>
      </c>
      <c r="H107" s="5" t="b">
        <f>IF(A107="", "", IF(OR(AND(Recruiting_Data!N107&lt;&gt;"", Recruiting_Data!J107&lt;&gt;"", Recruiting_Data!N107&lt;Recruiting_Data!J107), AND(Recruiting_Data!M107&lt;&gt;"", Recruiting_Data!L107&lt;&gt;"", Recruiting_Data!M107&lt;Recruiting_Data!L107), AND(Recruiting_Data!L107&lt;&gt;"", Recruiting_Data!K107&lt;&gt;"", Recruiting_Data!L107&lt;Recruiting_Data!K107)), TRUE, FALSE))</f>
        <v>0</v>
      </c>
    </row>
    <row r="108">
      <c r="A108" s="5" t="str">
        <f>IF(Recruiting_Data!A108="", "", Recruiting_Data!A108)</f>
        <v>C-10107</v>
      </c>
      <c r="B108" s="5" t="str">
        <f>IF(Recruiting_Data!B108="", "", Recruiting_Data!B108)</f>
        <v>REQ-2026-0027</v>
      </c>
      <c r="C108" s="5" t="str">
        <f>IF(AND(ISNUMBER(Recruiting_Data!N108), ISNUMBER(Recruiting_Data!P108)), Recruiting_Data!N108 - Recruiting_Data!P108, "")</f>
        <v/>
      </c>
      <c r="D108" s="5">
        <v>4.0</v>
      </c>
      <c r="E108" s="5" t="str">
        <f>IF(Recruiting_Data!R108="Open", TODAY() - Recruiting_Data!P108, "")</f>
        <v/>
      </c>
      <c r="F108" s="8" t="str">
        <f t="shared" si="1"/>
        <v/>
      </c>
      <c r="G108" s="5" t="b">
        <f>IF(A108="", "", IF(COUNTIF(Recruiting_Data!A:A, A108)&gt;1, TRUE, FALSE))</f>
        <v>0</v>
      </c>
      <c r="H108" s="5" t="b">
        <f>IF(A108="", "", IF(OR(AND(Recruiting_Data!N108&lt;&gt;"", Recruiting_Data!J108&lt;&gt;"", Recruiting_Data!N108&lt;Recruiting_Data!J108), AND(Recruiting_Data!M108&lt;&gt;"", Recruiting_Data!L108&lt;&gt;"", Recruiting_Data!M108&lt;Recruiting_Data!L108), AND(Recruiting_Data!L108&lt;&gt;"", Recruiting_Data!K108&lt;&gt;"", Recruiting_Data!L108&lt;Recruiting_Data!K108)), TRUE, FALSE))</f>
        <v>0</v>
      </c>
    </row>
    <row r="109">
      <c r="A109" s="5" t="str">
        <f>IF(Recruiting_Data!A109="", "", Recruiting_Data!A109)</f>
        <v>C-10108</v>
      </c>
      <c r="B109" s="5" t="str">
        <f>IF(Recruiting_Data!B109="", "", Recruiting_Data!B109)</f>
        <v>REQ-2026-0004</v>
      </c>
      <c r="C109" s="5" t="str">
        <f>IF(AND(ISNUMBER(Recruiting_Data!N109), ISNUMBER(Recruiting_Data!P109)), Recruiting_Data!N109 - Recruiting_Data!P109, "")</f>
        <v/>
      </c>
      <c r="D109" s="5">
        <v>3.0</v>
      </c>
      <c r="E109" s="5" t="str">
        <f>IF(Recruiting_Data!R109="Open", TODAY() - Recruiting_Data!P109, "")</f>
        <v/>
      </c>
      <c r="F109" s="8" t="str">
        <f t="shared" si="1"/>
        <v/>
      </c>
      <c r="G109" s="5" t="b">
        <f>IF(A109="", "", IF(COUNTIF(Recruiting_Data!A:A, A109)&gt;1, TRUE, FALSE))</f>
        <v>0</v>
      </c>
      <c r="H109" s="5" t="b">
        <f>IF(A109="", "", IF(OR(AND(Recruiting_Data!N109&lt;&gt;"", Recruiting_Data!J109&lt;&gt;"", Recruiting_Data!N109&lt;Recruiting_Data!J109), AND(Recruiting_Data!M109&lt;&gt;"", Recruiting_Data!L109&lt;&gt;"", Recruiting_Data!M109&lt;Recruiting_Data!L109), AND(Recruiting_Data!L109&lt;&gt;"", Recruiting_Data!K109&lt;&gt;"", Recruiting_Data!L109&lt;Recruiting_Data!K109)), TRUE, FALSE))</f>
        <v>0</v>
      </c>
    </row>
    <row r="110">
      <c r="A110" s="5" t="str">
        <f>IF(Recruiting_Data!A110="", "", Recruiting_Data!A110)</f>
        <v>C-10109</v>
      </c>
      <c r="B110" s="5" t="str">
        <f>IF(Recruiting_Data!B110="", "", Recruiting_Data!B110)</f>
        <v>REQ-2026-0005</v>
      </c>
      <c r="C110" s="5" t="str">
        <f>IF(AND(ISNUMBER(Recruiting_Data!N110), ISNUMBER(Recruiting_Data!P110)), Recruiting_Data!N110 - Recruiting_Data!P110, "")</f>
        <v/>
      </c>
      <c r="D110" s="5">
        <v>1.0</v>
      </c>
      <c r="E110" s="5">
        <f>IF(Recruiting_Data!R110="Open", TODAY() - Recruiting_Data!P110, "")</f>
        <v>109</v>
      </c>
      <c r="F110" s="8" t="str">
        <f t="shared" si="1"/>
        <v>60+</v>
      </c>
      <c r="G110" s="5" t="b">
        <f>IF(A110="", "", IF(COUNTIF(Recruiting_Data!A:A, A110)&gt;1, TRUE, FALSE))</f>
        <v>0</v>
      </c>
      <c r="H110" s="5" t="b">
        <f>IF(A110="", "", IF(OR(AND(Recruiting_Data!N110&lt;&gt;"", Recruiting_Data!J110&lt;&gt;"", Recruiting_Data!N110&lt;Recruiting_Data!J110), AND(Recruiting_Data!M110&lt;&gt;"", Recruiting_Data!L110&lt;&gt;"", Recruiting_Data!M110&lt;Recruiting_Data!L110), AND(Recruiting_Data!L110&lt;&gt;"", Recruiting_Data!K110&lt;&gt;"", Recruiting_Data!L110&lt;Recruiting_Data!K110)), TRUE, FALSE))</f>
        <v>0</v>
      </c>
    </row>
    <row r="111">
      <c r="A111" s="5" t="str">
        <f>IF(Recruiting_Data!A111="", "", Recruiting_Data!A111)</f>
        <v>C-10110</v>
      </c>
      <c r="B111" s="5" t="str">
        <f>IF(Recruiting_Data!B111="", "", Recruiting_Data!B111)</f>
        <v>REQ-2026-0037</v>
      </c>
      <c r="C111" s="5" t="str">
        <f>IF(AND(ISNUMBER(Recruiting_Data!N111), ISNUMBER(Recruiting_Data!P111)), Recruiting_Data!N111 - Recruiting_Data!P111, "")</f>
        <v/>
      </c>
      <c r="D111" s="5">
        <v>1.0</v>
      </c>
      <c r="E111" s="5" t="str">
        <f>IF(Recruiting_Data!R111="Open", TODAY() - Recruiting_Data!P111, "")</f>
        <v/>
      </c>
      <c r="F111" s="8" t="str">
        <f t="shared" si="1"/>
        <v/>
      </c>
      <c r="G111" s="5" t="b">
        <f>IF(A111="", "", IF(COUNTIF(Recruiting_Data!A:A, A111)&gt;1, TRUE, FALSE))</f>
        <v>0</v>
      </c>
      <c r="H111" s="5" t="b">
        <f>IF(A111="", "", IF(OR(AND(Recruiting_Data!N111&lt;&gt;"", Recruiting_Data!J111&lt;&gt;"", Recruiting_Data!N111&lt;Recruiting_Data!J111), AND(Recruiting_Data!M111&lt;&gt;"", Recruiting_Data!L111&lt;&gt;"", Recruiting_Data!M111&lt;Recruiting_Data!L111), AND(Recruiting_Data!L111&lt;&gt;"", Recruiting_Data!K111&lt;&gt;"", Recruiting_Data!L111&lt;Recruiting_Data!K111)), TRUE, FALSE))</f>
        <v>0</v>
      </c>
    </row>
    <row r="112">
      <c r="A112" s="5" t="str">
        <f>IF(Recruiting_Data!A112="", "", Recruiting_Data!A112)</f>
        <v>C-10111</v>
      </c>
      <c r="B112" s="5" t="str">
        <f>IF(Recruiting_Data!B112="", "", Recruiting_Data!B112)</f>
        <v>REQ-2026-0001</v>
      </c>
      <c r="C112" s="5" t="str">
        <f>IF(AND(ISNUMBER(Recruiting_Data!N112), ISNUMBER(Recruiting_Data!P112)), Recruiting_Data!N112 - Recruiting_Data!P112, "")</f>
        <v/>
      </c>
      <c r="D112" s="5">
        <v>3.0</v>
      </c>
      <c r="E112" s="5" t="str">
        <f>IF(Recruiting_Data!R112="Open", TODAY() - Recruiting_Data!P112, "")</f>
        <v/>
      </c>
      <c r="F112" s="8" t="str">
        <f t="shared" si="1"/>
        <v/>
      </c>
      <c r="G112" s="5" t="b">
        <f>IF(A112="", "", IF(COUNTIF(Recruiting_Data!A:A, A112)&gt;1, TRUE, FALSE))</f>
        <v>0</v>
      </c>
      <c r="H112" s="5" t="b">
        <f>IF(A112="", "", IF(OR(AND(Recruiting_Data!N112&lt;&gt;"", Recruiting_Data!J112&lt;&gt;"", Recruiting_Data!N112&lt;Recruiting_Data!J112), AND(Recruiting_Data!M112&lt;&gt;"", Recruiting_Data!L112&lt;&gt;"", Recruiting_Data!M112&lt;Recruiting_Data!L112), AND(Recruiting_Data!L112&lt;&gt;"", Recruiting_Data!K112&lt;&gt;"", Recruiting_Data!L112&lt;Recruiting_Data!K112)), TRUE, FALSE))</f>
        <v>0</v>
      </c>
    </row>
    <row r="113">
      <c r="A113" s="5" t="str">
        <f>IF(Recruiting_Data!A113="", "", Recruiting_Data!A113)</f>
        <v>C-10112</v>
      </c>
      <c r="B113" s="5" t="str">
        <f>IF(Recruiting_Data!B113="", "", Recruiting_Data!B113)</f>
        <v>REQ-2026-0007</v>
      </c>
      <c r="C113" s="5" t="str">
        <f>IF(AND(ISNUMBER(Recruiting_Data!N113), ISNUMBER(Recruiting_Data!P113)), Recruiting_Data!N113 - Recruiting_Data!P113, "")</f>
        <v/>
      </c>
      <c r="D113" s="5">
        <v>1.0</v>
      </c>
      <c r="E113" s="5">
        <f>IF(Recruiting_Data!R113="Open", TODAY() - Recruiting_Data!P113, "")</f>
        <v>196</v>
      </c>
      <c r="F113" s="8" t="str">
        <f t="shared" si="1"/>
        <v>60+</v>
      </c>
      <c r="G113" s="5" t="b">
        <f>IF(A113="", "", IF(COUNTIF(Recruiting_Data!A:A, A113)&gt;1, TRUE, FALSE))</f>
        <v>0</v>
      </c>
      <c r="H113" s="5" t="b">
        <f>IF(A113="", "", IF(OR(AND(Recruiting_Data!N113&lt;&gt;"", Recruiting_Data!J113&lt;&gt;"", Recruiting_Data!N113&lt;Recruiting_Data!J113), AND(Recruiting_Data!M113&lt;&gt;"", Recruiting_Data!L113&lt;&gt;"", Recruiting_Data!M113&lt;Recruiting_Data!L113), AND(Recruiting_Data!L113&lt;&gt;"", Recruiting_Data!K113&lt;&gt;"", Recruiting_Data!L113&lt;Recruiting_Data!K113)), TRUE, FALSE))</f>
        <v>0</v>
      </c>
    </row>
    <row r="114">
      <c r="A114" s="5" t="str">
        <f>IF(Recruiting_Data!A114="", "", Recruiting_Data!A114)</f>
        <v>C-10113</v>
      </c>
      <c r="B114" s="5" t="str">
        <f>IF(Recruiting_Data!B114="", "", Recruiting_Data!B114)</f>
        <v>REQ-2026-0038</v>
      </c>
      <c r="C114" s="5" t="str">
        <f>IF(AND(ISNUMBER(Recruiting_Data!N114), ISNUMBER(Recruiting_Data!P114)), Recruiting_Data!N114 - Recruiting_Data!P114, "")</f>
        <v/>
      </c>
      <c r="D114" s="5">
        <v>1.0</v>
      </c>
      <c r="E114" s="5" t="str">
        <f>IF(Recruiting_Data!R114="Open", TODAY() - Recruiting_Data!P114, "")</f>
        <v/>
      </c>
      <c r="F114" s="8" t="str">
        <f t="shared" si="1"/>
        <v/>
      </c>
      <c r="G114" s="5" t="b">
        <f>IF(A114="", "", IF(COUNTIF(Recruiting_Data!A:A, A114)&gt;1, TRUE, FALSE))</f>
        <v>0</v>
      </c>
      <c r="H114" s="5" t="b">
        <f>IF(A114="", "", IF(OR(AND(Recruiting_Data!N114&lt;&gt;"", Recruiting_Data!J114&lt;&gt;"", Recruiting_Data!N114&lt;Recruiting_Data!J114), AND(Recruiting_Data!M114&lt;&gt;"", Recruiting_Data!L114&lt;&gt;"", Recruiting_Data!M114&lt;Recruiting_Data!L114), AND(Recruiting_Data!L114&lt;&gt;"", Recruiting_Data!K114&lt;&gt;"", Recruiting_Data!L114&lt;Recruiting_Data!K114)), TRUE, FALSE))</f>
        <v>0</v>
      </c>
    </row>
    <row r="115">
      <c r="A115" s="5" t="str">
        <f>IF(Recruiting_Data!A115="", "", Recruiting_Data!A115)</f>
        <v>C-10114</v>
      </c>
      <c r="B115" s="5" t="str">
        <f>IF(Recruiting_Data!B115="", "", Recruiting_Data!B115)</f>
        <v>REQ-2026-0037</v>
      </c>
      <c r="C115" s="5" t="str">
        <f>IF(AND(ISNUMBER(Recruiting_Data!N115), ISNUMBER(Recruiting_Data!P115)), Recruiting_Data!N115 - Recruiting_Data!P115, "")</f>
        <v/>
      </c>
      <c r="D115" s="5">
        <v>1.0</v>
      </c>
      <c r="E115" s="5" t="str">
        <f>IF(Recruiting_Data!R115="Open", TODAY() - Recruiting_Data!P115, "")</f>
        <v/>
      </c>
      <c r="F115" s="8" t="str">
        <f t="shared" si="1"/>
        <v/>
      </c>
      <c r="G115" s="5" t="b">
        <f>IF(A115="", "", IF(COUNTIF(Recruiting_Data!A:A, A115)&gt;1, TRUE, FALSE))</f>
        <v>0</v>
      </c>
      <c r="H115" s="5" t="b">
        <f>IF(A115="", "", IF(OR(AND(Recruiting_Data!N115&lt;&gt;"", Recruiting_Data!J115&lt;&gt;"", Recruiting_Data!N115&lt;Recruiting_Data!J115), AND(Recruiting_Data!M115&lt;&gt;"", Recruiting_Data!L115&lt;&gt;"", Recruiting_Data!M115&lt;Recruiting_Data!L115), AND(Recruiting_Data!L115&lt;&gt;"", Recruiting_Data!K115&lt;&gt;"", Recruiting_Data!L115&lt;Recruiting_Data!K115)), TRUE, FALSE))</f>
        <v>0</v>
      </c>
    </row>
    <row r="116">
      <c r="A116" s="5" t="str">
        <f>IF(Recruiting_Data!A116="", "", Recruiting_Data!A116)</f>
        <v>C-10115</v>
      </c>
      <c r="B116" s="5" t="str">
        <f>IF(Recruiting_Data!B116="", "", Recruiting_Data!B116)</f>
        <v>REQ-2026-0012</v>
      </c>
      <c r="C116" s="5" t="str">
        <f>IF(AND(ISNUMBER(Recruiting_Data!N116), ISNUMBER(Recruiting_Data!P116)), Recruiting_Data!N116 - Recruiting_Data!P116, "")</f>
        <v/>
      </c>
      <c r="D116" s="5">
        <v>2.0</v>
      </c>
      <c r="E116" s="5" t="str">
        <f>IF(Recruiting_Data!R116="Open", TODAY() - Recruiting_Data!P116, "")</f>
        <v/>
      </c>
      <c r="F116" s="8" t="str">
        <f t="shared" si="1"/>
        <v/>
      </c>
      <c r="G116" s="5" t="b">
        <f>IF(A116="", "", IF(COUNTIF(Recruiting_Data!A:A, A116)&gt;1, TRUE, FALSE))</f>
        <v>0</v>
      </c>
      <c r="H116" s="5" t="b">
        <f>IF(A116="", "", IF(OR(AND(Recruiting_Data!N116&lt;&gt;"", Recruiting_Data!J116&lt;&gt;"", Recruiting_Data!N116&lt;Recruiting_Data!J116), AND(Recruiting_Data!M116&lt;&gt;"", Recruiting_Data!L116&lt;&gt;"", Recruiting_Data!M116&lt;Recruiting_Data!L116), AND(Recruiting_Data!L116&lt;&gt;"", Recruiting_Data!K116&lt;&gt;"", Recruiting_Data!L116&lt;Recruiting_Data!K116)), TRUE, FALSE))</f>
        <v>0</v>
      </c>
    </row>
    <row r="117">
      <c r="A117" s="5" t="str">
        <f>IF(Recruiting_Data!A117="", "", Recruiting_Data!A117)</f>
        <v>C-10116</v>
      </c>
      <c r="B117" s="5" t="str">
        <f>IF(Recruiting_Data!B117="", "", Recruiting_Data!B117)</f>
        <v>REQ-2026-0039</v>
      </c>
      <c r="C117" s="5" t="str">
        <f>IF(AND(ISNUMBER(Recruiting_Data!N117), ISNUMBER(Recruiting_Data!P117)), Recruiting_Data!N117 - Recruiting_Data!P117, "")</f>
        <v/>
      </c>
      <c r="D117" s="5">
        <v>4.0</v>
      </c>
      <c r="E117" s="5">
        <f>IF(Recruiting_Data!R117="Open", TODAY() - Recruiting_Data!P117, "")</f>
        <v>242</v>
      </c>
      <c r="F117" s="8" t="str">
        <f t="shared" si="1"/>
        <v>60+</v>
      </c>
      <c r="G117" s="5" t="b">
        <f>IF(A117="", "", IF(COUNTIF(Recruiting_Data!A:A, A117)&gt;1, TRUE, FALSE))</f>
        <v>0</v>
      </c>
      <c r="H117" s="5" t="b">
        <f>IF(A117="", "", IF(OR(AND(Recruiting_Data!N117&lt;&gt;"", Recruiting_Data!J117&lt;&gt;"", Recruiting_Data!N117&lt;Recruiting_Data!J117), AND(Recruiting_Data!M117&lt;&gt;"", Recruiting_Data!L117&lt;&gt;"", Recruiting_Data!M117&lt;Recruiting_Data!L117), AND(Recruiting_Data!L117&lt;&gt;"", Recruiting_Data!K117&lt;&gt;"", Recruiting_Data!L117&lt;Recruiting_Data!K117)), TRUE, FALSE))</f>
        <v>0</v>
      </c>
    </row>
    <row r="118">
      <c r="A118" s="5" t="str">
        <f>IF(Recruiting_Data!A118="", "", Recruiting_Data!A118)</f>
        <v>C-10117</v>
      </c>
      <c r="B118" s="5" t="str">
        <f>IF(Recruiting_Data!B118="", "", Recruiting_Data!B118)</f>
        <v>REQ-2026-0048</v>
      </c>
      <c r="C118" s="5" t="str">
        <f>IF(AND(ISNUMBER(Recruiting_Data!N118), ISNUMBER(Recruiting_Data!P118)), Recruiting_Data!N118 - Recruiting_Data!P118, "")</f>
        <v/>
      </c>
      <c r="D118" s="5">
        <v>2.0</v>
      </c>
      <c r="E118" s="5" t="str">
        <f>IF(Recruiting_Data!R118="Open", TODAY() - Recruiting_Data!P118, "")</f>
        <v/>
      </c>
      <c r="F118" s="8" t="str">
        <f t="shared" si="1"/>
        <v/>
      </c>
      <c r="G118" s="5" t="b">
        <f>IF(A118="", "", IF(COUNTIF(Recruiting_Data!A:A, A118)&gt;1, TRUE, FALSE))</f>
        <v>0</v>
      </c>
      <c r="H118" s="5" t="b">
        <f>IF(A118="", "", IF(OR(AND(Recruiting_Data!N118&lt;&gt;"", Recruiting_Data!J118&lt;&gt;"", Recruiting_Data!N118&lt;Recruiting_Data!J118), AND(Recruiting_Data!M118&lt;&gt;"", Recruiting_Data!L118&lt;&gt;"", Recruiting_Data!M118&lt;Recruiting_Data!L118), AND(Recruiting_Data!L118&lt;&gt;"", Recruiting_Data!K118&lt;&gt;"", Recruiting_Data!L118&lt;Recruiting_Data!K118)), TRUE, FALSE))</f>
        <v>0</v>
      </c>
    </row>
    <row r="119">
      <c r="A119" s="5" t="str">
        <f>IF(Recruiting_Data!A119="", "", Recruiting_Data!A119)</f>
        <v>C-10118</v>
      </c>
      <c r="B119" s="5" t="str">
        <f>IF(Recruiting_Data!B119="", "", Recruiting_Data!B119)</f>
        <v>REQ-2026-0004</v>
      </c>
      <c r="C119" s="5" t="str">
        <f>IF(AND(ISNUMBER(Recruiting_Data!N119), ISNUMBER(Recruiting_Data!P119)), Recruiting_Data!N119 - Recruiting_Data!P119, "")</f>
        <v/>
      </c>
      <c r="D119" s="5">
        <v>4.0</v>
      </c>
      <c r="E119" s="5" t="str">
        <f>IF(Recruiting_Data!R119="Open", TODAY() - Recruiting_Data!P119, "")</f>
        <v/>
      </c>
      <c r="F119" s="8" t="str">
        <f t="shared" si="1"/>
        <v/>
      </c>
      <c r="G119" s="5" t="b">
        <f>IF(A119="", "", IF(COUNTIF(Recruiting_Data!A:A, A119)&gt;1, TRUE, FALSE))</f>
        <v>0</v>
      </c>
      <c r="H119" s="5" t="b">
        <f>IF(A119="", "", IF(OR(AND(Recruiting_Data!N119&lt;&gt;"", Recruiting_Data!J119&lt;&gt;"", Recruiting_Data!N119&lt;Recruiting_Data!J119), AND(Recruiting_Data!M119&lt;&gt;"", Recruiting_Data!L119&lt;&gt;"", Recruiting_Data!M119&lt;Recruiting_Data!L119), AND(Recruiting_Data!L119&lt;&gt;"", Recruiting_Data!K119&lt;&gt;"", Recruiting_Data!L119&lt;Recruiting_Data!K119)), TRUE, FALSE))</f>
        <v>0</v>
      </c>
    </row>
    <row r="120">
      <c r="A120" s="5" t="str">
        <f>IF(Recruiting_Data!A120="", "", Recruiting_Data!A120)</f>
        <v>C-10119</v>
      </c>
      <c r="B120" s="5" t="str">
        <f>IF(Recruiting_Data!B120="", "", Recruiting_Data!B120)</f>
        <v>REQ-2026-0046</v>
      </c>
      <c r="C120" s="5" t="str">
        <f>IF(AND(ISNUMBER(Recruiting_Data!N120), ISNUMBER(Recruiting_Data!P120)), Recruiting_Data!N120 - Recruiting_Data!P120, "")</f>
        <v/>
      </c>
      <c r="D120" s="5">
        <v>3.0</v>
      </c>
      <c r="E120" s="5">
        <f>IF(Recruiting_Data!R120="Open", TODAY() - Recruiting_Data!P120, "")</f>
        <v>221</v>
      </c>
      <c r="F120" s="8" t="str">
        <f t="shared" si="1"/>
        <v>60+</v>
      </c>
      <c r="G120" s="5" t="b">
        <f>IF(A120="", "", IF(COUNTIF(Recruiting_Data!A:A, A120)&gt;1, TRUE, FALSE))</f>
        <v>0</v>
      </c>
      <c r="H120" s="5" t="b">
        <f>IF(A120="", "", IF(OR(AND(Recruiting_Data!N120&lt;&gt;"", Recruiting_Data!J120&lt;&gt;"", Recruiting_Data!N120&lt;Recruiting_Data!J120), AND(Recruiting_Data!M120&lt;&gt;"", Recruiting_Data!L120&lt;&gt;"", Recruiting_Data!M120&lt;Recruiting_Data!L120), AND(Recruiting_Data!L120&lt;&gt;"", Recruiting_Data!K120&lt;&gt;"", Recruiting_Data!L120&lt;Recruiting_Data!K120)), TRUE, FALSE))</f>
        <v>0</v>
      </c>
    </row>
    <row r="121">
      <c r="A121" s="5" t="str">
        <f>IF(Recruiting_Data!A121="", "", Recruiting_Data!A121)</f>
        <v>C-10120</v>
      </c>
      <c r="B121" s="5" t="str">
        <f>IF(Recruiting_Data!B121="", "", Recruiting_Data!B121)</f>
        <v>REQ-2026-0048</v>
      </c>
      <c r="C121" s="5">
        <f>IF(AND(ISNUMBER(Recruiting_Data!N121), ISNUMBER(Recruiting_Data!P121)), Recruiting_Data!N121 - Recruiting_Data!P121, "")</f>
        <v>50</v>
      </c>
      <c r="D121" s="5">
        <v>5.0</v>
      </c>
      <c r="E121" s="5" t="str">
        <f>IF(Recruiting_Data!R121="Open", TODAY() - Recruiting_Data!P121, "")</f>
        <v/>
      </c>
      <c r="F121" s="8" t="str">
        <f t="shared" si="1"/>
        <v/>
      </c>
      <c r="G121" s="5" t="b">
        <f>IF(A121="", "", IF(COUNTIF(Recruiting_Data!A:A, A121)&gt;1, TRUE, FALSE))</f>
        <v>0</v>
      </c>
      <c r="H121" s="5" t="b">
        <f>IF(A121="", "", IF(OR(AND(Recruiting_Data!N121&lt;&gt;"", Recruiting_Data!J121&lt;&gt;"", Recruiting_Data!N121&lt;Recruiting_Data!J121), AND(Recruiting_Data!M121&lt;&gt;"", Recruiting_Data!L121&lt;&gt;"", Recruiting_Data!M121&lt;Recruiting_Data!L121), AND(Recruiting_Data!L121&lt;&gt;"", Recruiting_Data!K121&lt;&gt;"", Recruiting_Data!L121&lt;Recruiting_Data!K121)), TRUE, FALSE))</f>
        <v>0</v>
      </c>
    </row>
    <row r="122">
      <c r="A122" s="5" t="str">
        <f>IF(Recruiting_Data!A122="", "", Recruiting_Data!A122)</f>
        <v>C-10121</v>
      </c>
      <c r="B122" s="5" t="str">
        <f>IF(Recruiting_Data!B122="", "", Recruiting_Data!B122)</f>
        <v>REQ-2026-0039</v>
      </c>
      <c r="C122" s="5" t="str">
        <f>IF(AND(ISNUMBER(Recruiting_Data!N122), ISNUMBER(Recruiting_Data!P122)), Recruiting_Data!N122 - Recruiting_Data!P122, "")</f>
        <v/>
      </c>
      <c r="D122" s="5">
        <v>3.0</v>
      </c>
      <c r="E122" s="5">
        <f>IF(Recruiting_Data!R122="Open", TODAY() - Recruiting_Data!P122, "")</f>
        <v>223</v>
      </c>
      <c r="F122" s="8" t="str">
        <f t="shared" si="1"/>
        <v>60+</v>
      </c>
      <c r="G122" s="5" t="b">
        <f>IF(A122="", "", IF(COUNTIF(Recruiting_Data!A:A, A122)&gt;1, TRUE, FALSE))</f>
        <v>0</v>
      </c>
      <c r="H122" s="5" t="b">
        <f>IF(A122="", "", IF(OR(AND(Recruiting_Data!N122&lt;&gt;"", Recruiting_Data!J122&lt;&gt;"", Recruiting_Data!N122&lt;Recruiting_Data!J122), AND(Recruiting_Data!M122&lt;&gt;"", Recruiting_Data!L122&lt;&gt;"", Recruiting_Data!M122&lt;Recruiting_Data!L122), AND(Recruiting_Data!L122&lt;&gt;"", Recruiting_Data!K122&lt;&gt;"", Recruiting_Data!L122&lt;Recruiting_Data!K122)), TRUE, FALSE))</f>
        <v>0</v>
      </c>
    </row>
    <row r="123">
      <c r="A123" s="5" t="str">
        <f>IF(Recruiting_Data!A123="", "", Recruiting_Data!A123)</f>
        <v>C-10122</v>
      </c>
      <c r="B123" s="5" t="str">
        <f>IF(Recruiting_Data!B123="", "", Recruiting_Data!B123)</f>
        <v>REQ-2026-0040</v>
      </c>
      <c r="C123" s="5" t="str">
        <f>IF(AND(ISNUMBER(Recruiting_Data!N123), ISNUMBER(Recruiting_Data!P123)), Recruiting_Data!N123 - Recruiting_Data!P123, "")</f>
        <v/>
      </c>
      <c r="D123" s="5">
        <v>1.0</v>
      </c>
      <c r="E123" s="5" t="str">
        <f>IF(Recruiting_Data!R123="Open", TODAY() - Recruiting_Data!P123, "")</f>
        <v/>
      </c>
      <c r="F123" s="8" t="str">
        <f t="shared" si="1"/>
        <v/>
      </c>
      <c r="G123" s="5" t="b">
        <f>IF(A123="", "", IF(COUNTIF(Recruiting_Data!A:A, A123)&gt;1, TRUE, FALSE))</f>
        <v>0</v>
      </c>
      <c r="H123" s="5" t="b">
        <f>IF(A123="", "", IF(OR(AND(Recruiting_Data!N123&lt;&gt;"", Recruiting_Data!J123&lt;&gt;"", Recruiting_Data!N123&lt;Recruiting_Data!J123), AND(Recruiting_Data!M123&lt;&gt;"", Recruiting_Data!L123&lt;&gt;"", Recruiting_Data!M123&lt;Recruiting_Data!L123), AND(Recruiting_Data!L123&lt;&gt;"", Recruiting_Data!K123&lt;&gt;"", Recruiting_Data!L123&lt;Recruiting_Data!K123)), TRUE, FALSE))</f>
        <v>0</v>
      </c>
    </row>
    <row r="124">
      <c r="A124" s="5" t="str">
        <f>IF(Recruiting_Data!A124="", "", Recruiting_Data!A124)</f>
        <v>C-10123</v>
      </c>
      <c r="B124" s="5" t="str">
        <f>IF(Recruiting_Data!B124="", "", Recruiting_Data!B124)</f>
        <v>REQ-2026-0046</v>
      </c>
      <c r="C124" s="5" t="str">
        <f>IF(AND(ISNUMBER(Recruiting_Data!N124), ISNUMBER(Recruiting_Data!P124)), Recruiting_Data!N124 - Recruiting_Data!P124, "")</f>
        <v/>
      </c>
      <c r="D124" s="5">
        <v>1.0</v>
      </c>
      <c r="E124" s="5">
        <f>IF(Recruiting_Data!R124="Open", TODAY() - Recruiting_Data!P124, "")</f>
        <v>165</v>
      </c>
      <c r="F124" s="8" t="str">
        <f t="shared" si="1"/>
        <v>60+</v>
      </c>
      <c r="G124" s="5" t="b">
        <f>IF(A124="", "", IF(COUNTIF(Recruiting_Data!A:A, A124)&gt;1, TRUE, FALSE))</f>
        <v>0</v>
      </c>
      <c r="H124" s="5" t="b">
        <f>IF(A124="", "", IF(OR(AND(Recruiting_Data!N124&lt;&gt;"", Recruiting_Data!J124&lt;&gt;"", Recruiting_Data!N124&lt;Recruiting_Data!J124), AND(Recruiting_Data!M124&lt;&gt;"", Recruiting_Data!L124&lt;&gt;"", Recruiting_Data!M124&lt;Recruiting_Data!L124), AND(Recruiting_Data!L124&lt;&gt;"", Recruiting_Data!K124&lt;&gt;"", Recruiting_Data!L124&lt;Recruiting_Data!K124)), TRUE, FALSE))</f>
        <v>0</v>
      </c>
    </row>
    <row r="125">
      <c r="A125" s="5" t="str">
        <f>IF(Recruiting_Data!A125="", "", Recruiting_Data!A125)</f>
        <v>C-10124</v>
      </c>
      <c r="B125" s="5" t="str">
        <f>IF(Recruiting_Data!B125="", "", Recruiting_Data!B125)</f>
        <v>REQ-2026-0047</v>
      </c>
      <c r="C125" s="5" t="str">
        <f>IF(AND(ISNUMBER(Recruiting_Data!N125), ISNUMBER(Recruiting_Data!P125)), Recruiting_Data!N125 - Recruiting_Data!P125, "")</f>
        <v/>
      </c>
      <c r="D125" s="5">
        <v>1.0</v>
      </c>
      <c r="E125" s="5">
        <f>IF(Recruiting_Data!R125="Open", TODAY() - Recruiting_Data!P125, "")</f>
        <v>154</v>
      </c>
      <c r="F125" s="8" t="str">
        <f t="shared" si="1"/>
        <v>60+</v>
      </c>
      <c r="G125" s="5" t="b">
        <f>IF(A125="", "", IF(COUNTIF(Recruiting_Data!A:A, A125)&gt;1, TRUE, FALSE))</f>
        <v>0</v>
      </c>
      <c r="H125" s="5" t="b">
        <f>IF(A125="", "", IF(OR(AND(Recruiting_Data!N125&lt;&gt;"", Recruiting_Data!J125&lt;&gt;"", Recruiting_Data!N125&lt;Recruiting_Data!J125), AND(Recruiting_Data!M125&lt;&gt;"", Recruiting_Data!L125&lt;&gt;"", Recruiting_Data!M125&lt;Recruiting_Data!L125), AND(Recruiting_Data!L125&lt;&gt;"", Recruiting_Data!K125&lt;&gt;"", Recruiting_Data!L125&lt;Recruiting_Data!K125)), TRUE, FALSE))</f>
        <v>0</v>
      </c>
    </row>
    <row r="126">
      <c r="A126" s="5" t="str">
        <f>IF(Recruiting_Data!A126="", "", Recruiting_Data!A126)</f>
        <v>C-10125</v>
      </c>
      <c r="B126" s="5" t="str">
        <f>IF(Recruiting_Data!B126="", "", Recruiting_Data!B126)</f>
        <v>REQ-2026-0001</v>
      </c>
      <c r="C126" s="5" t="str">
        <f>IF(AND(ISNUMBER(Recruiting_Data!N126), ISNUMBER(Recruiting_Data!P126)), Recruiting_Data!N126 - Recruiting_Data!P126, "")</f>
        <v/>
      </c>
      <c r="D126" s="5">
        <v>3.0</v>
      </c>
      <c r="E126" s="5" t="str">
        <f>IF(Recruiting_Data!R126="Open", TODAY() - Recruiting_Data!P126, "")</f>
        <v/>
      </c>
      <c r="F126" s="8" t="str">
        <f t="shared" si="1"/>
        <v/>
      </c>
      <c r="G126" s="5" t="b">
        <f>IF(A126="", "", IF(COUNTIF(Recruiting_Data!A:A, A126)&gt;1, TRUE, FALSE))</f>
        <v>0</v>
      </c>
      <c r="H126" s="5" t="b">
        <f>IF(A126="", "", IF(OR(AND(Recruiting_Data!N126&lt;&gt;"", Recruiting_Data!J126&lt;&gt;"", Recruiting_Data!N126&lt;Recruiting_Data!J126), AND(Recruiting_Data!M126&lt;&gt;"", Recruiting_Data!L126&lt;&gt;"", Recruiting_Data!M126&lt;Recruiting_Data!L126), AND(Recruiting_Data!L126&lt;&gt;"", Recruiting_Data!K126&lt;&gt;"", Recruiting_Data!L126&lt;Recruiting_Data!K126)), TRUE, FALSE))</f>
        <v>0</v>
      </c>
    </row>
    <row r="127">
      <c r="A127" s="5" t="str">
        <f>IF(Recruiting_Data!A127="", "", Recruiting_Data!A127)</f>
        <v>C-10126</v>
      </c>
      <c r="B127" s="5" t="str">
        <f>IF(Recruiting_Data!B127="", "", Recruiting_Data!B127)</f>
        <v>REQ-2026-0033</v>
      </c>
      <c r="C127" s="5" t="str">
        <f>IF(AND(ISNUMBER(Recruiting_Data!N127), ISNUMBER(Recruiting_Data!P127)), Recruiting_Data!N127 - Recruiting_Data!P127, "")</f>
        <v/>
      </c>
      <c r="D127" s="5">
        <v>1.0</v>
      </c>
      <c r="E127" s="5" t="str">
        <f>IF(Recruiting_Data!R127="Open", TODAY() - Recruiting_Data!P127, "")</f>
        <v/>
      </c>
      <c r="F127" s="8" t="str">
        <f t="shared" si="1"/>
        <v/>
      </c>
      <c r="G127" s="5" t="b">
        <f>IF(A127="", "", IF(COUNTIF(Recruiting_Data!A:A, A127)&gt;1, TRUE, FALSE))</f>
        <v>0</v>
      </c>
      <c r="H127" s="5" t="b">
        <f>IF(A127="", "", IF(OR(AND(Recruiting_Data!N127&lt;&gt;"", Recruiting_Data!J127&lt;&gt;"", Recruiting_Data!N127&lt;Recruiting_Data!J127), AND(Recruiting_Data!M127&lt;&gt;"", Recruiting_Data!L127&lt;&gt;"", Recruiting_Data!M127&lt;Recruiting_Data!L127), AND(Recruiting_Data!L127&lt;&gt;"", Recruiting_Data!K127&lt;&gt;"", Recruiting_Data!L127&lt;Recruiting_Data!K127)), TRUE, FALSE))</f>
        <v>0</v>
      </c>
    </row>
    <row r="128">
      <c r="A128" s="5" t="str">
        <f>IF(Recruiting_Data!A128="", "", Recruiting_Data!A128)</f>
        <v>C-10127</v>
      </c>
      <c r="B128" s="5" t="str">
        <f>IF(Recruiting_Data!B128="", "", Recruiting_Data!B128)</f>
        <v>REQ-2026-0040</v>
      </c>
      <c r="C128" s="5" t="str">
        <f>IF(AND(ISNUMBER(Recruiting_Data!N128), ISNUMBER(Recruiting_Data!P128)), Recruiting_Data!N128 - Recruiting_Data!P128, "")</f>
        <v/>
      </c>
      <c r="D128" s="5">
        <v>3.0</v>
      </c>
      <c r="E128" s="5" t="str">
        <f>IF(Recruiting_Data!R128="Open", TODAY() - Recruiting_Data!P128, "")</f>
        <v/>
      </c>
      <c r="F128" s="8" t="str">
        <f t="shared" si="1"/>
        <v/>
      </c>
      <c r="G128" s="5" t="b">
        <f>IF(A128="", "", IF(COUNTIF(Recruiting_Data!A:A, A128)&gt;1, TRUE, FALSE))</f>
        <v>0</v>
      </c>
      <c r="H128" s="5" t="b">
        <f>IF(A128="", "", IF(OR(AND(Recruiting_Data!N128&lt;&gt;"", Recruiting_Data!J128&lt;&gt;"", Recruiting_Data!N128&lt;Recruiting_Data!J128), AND(Recruiting_Data!M128&lt;&gt;"", Recruiting_Data!L128&lt;&gt;"", Recruiting_Data!M128&lt;Recruiting_Data!L128), AND(Recruiting_Data!L128&lt;&gt;"", Recruiting_Data!K128&lt;&gt;"", Recruiting_Data!L128&lt;Recruiting_Data!K128)), TRUE, FALSE))</f>
        <v>0</v>
      </c>
    </row>
    <row r="129">
      <c r="A129" s="5" t="str">
        <f>IF(Recruiting_Data!A129="", "", Recruiting_Data!A129)</f>
        <v>C-10128</v>
      </c>
      <c r="B129" s="5" t="str">
        <f>IF(Recruiting_Data!B129="", "", Recruiting_Data!B129)</f>
        <v>REQ-2026-0037</v>
      </c>
      <c r="C129" s="5">
        <f>IF(AND(ISNUMBER(Recruiting_Data!N129), ISNUMBER(Recruiting_Data!P129)), Recruiting_Data!N129 - Recruiting_Data!P129, "")</f>
        <v>53</v>
      </c>
      <c r="D129" s="5">
        <v>5.0</v>
      </c>
      <c r="E129" s="5" t="str">
        <f>IF(Recruiting_Data!R129="Open", TODAY() - Recruiting_Data!P129, "")</f>
        <v/>
      </c>
      <c r="F129" s="8" t="str">
        <f t="shared" si="1"/>
        <v/>
      </c>
      <c r="G129" s="5" t="b">
        <f>IF(A129="", "", IF(COUNTIF(Recruiting_Data!A:A, A129)&gt;1, TRUE, FALSE))</f>
        <v>0</v>
      </c>
      <c r="H129" s="5" t="b">
        <f>IF(A129="", "", IF(OR(AND(Recruiting_Data!N129&lt;&gt;"", Recruiting_Data!J129&lt;&gt;"", Recruiting_Data!N129&lt;Recruiting_Data!J129), AND(Recruiting_Data!M129&lt;&gt;"", Recruiting_Data!L129&lt;&gt;"", Recruiting_Data!M129&lt;Recruiting_Data!L129), AND(Recruiting_Data!L129&lt;&gt;"", Recruiting_Data!K129&lt;&gt;"", Recruiting_Data!L129&lt;Recruiting_Data!K129)), TRUE, FALSE))</f>
        <v>0</v>
      </c>
    </row>
    <row r="130">
      <c r="A130" s="5" t="str">
        <f>IF(Recruiting_Data!A130="", "", Recruiting_Data!A130)</f>
        <v>C-10129</v>
      </c>
      <c r="B130" s="5" t="str">
        <f>IF(Recruiting_Data!B130="", "", Recruiting_Data!B130)</f>
        <v>REQ-2026-0025</v>
      </c>
      <c r="C130" s="5" t="str">
        <f>IF(AND(ISNUMBER(Recruiting_Data!N130), ISNUMBER(Recruiting_Data!P130)), Recruiting_Data!N130 - Recruiting_Data!P130, "")</f>
        <v/>
      </c>
      <c r="D130" s="5">
        <v>4.0</v>
      </c>
      <c r="E130" s="5" t="str">
        <f>IF(Recruiting_Data!R130="Open", TODAY() - Recruiting_Data!P130, "")</f>
        <v/>
      </c>
      <c r="F130" s="8" t="str">
        <f t="shared" si="1"/>
        <v/>
      </c>
      <c r="G130" s="5" t="b">
        <f>IF(A130="", "", IF(COUNTIF(Recruiting_Data!A:A, A130)&gt;1, TRUE, FALSE))</f>
        <v>0</v>
      </c>
      <c r="H130" s="5" t="b">
        <f>IF(A130="", "", IF(OR(AND(Recruiting_Data!N130&lt;&gt;"", Recruiting_Data!J130&lt;&gt;"", Recruiting_Data!N130&lt;Recruiting_Data!J130), AND(Recruiting_Data!M130&lt;&gt;"", Recruiting_Data!L130&lt;&gt;"", Recruiting_Data!M130&lt;Recruiting_Data!L130), AND(Recruiting_Data!L130&lt;&gt;"", Recruiting_Data!K130&lt;&gt;"", Recruiting_Data!L130&lt;Recruiting_Data!K130)), TRUE, FALSE))</f>
        <v>0</v>
      </c>
    </row>
    <row r="131">
      <c r="A131" s="5" t="str">
        <f>IF(Recruiting_Data!A131="", "", Recruiting_Data!A131)</f>
        <v>C-10130</v>
      </c>
      <c r="B131" s="5" t="str">
        <f>IF(Recruiting_Data!B131="", "", Recruiting_Data!B131)</f>
        <v>REQ-2026-0003</v>
      </c>
      <c r="C131" s="5" t="str">
        <f>IF(AND(ISNUMBER(Recruiting_Data!N131), ISNUMBER(Recruiting_Data!P131)), Recruiting_Data!N131 - Recruiting_Data!P131, "")</f>
        <v/>
      </c>
      <c r="D131" s="5">
        <v>1.0</v>
      </c>
      <c r="E131" s="5" t="str">
        <f>IF(Recruiting_Data!R131="Open", TODAY() - Recruiting_Data!P131, "")</f>
        <v/>
      </c>
      <c r="F131" s="8" t="str">
        <f t="shared" si="1"/>
        <v/>
      </c>
      <c r="G131" s="5" t="b">
        <f>IF(A131="", "", IF(COUNTIF(Recruiting_Data!A:A, A131)&gt;1, TRUE, FALSE))</f>
        <v>0</v>
      </c>
      <c r="H131" s="5" t="b">
        <f>IF(A131="", "", IF(OR(AND(Recruiting_Data!N131&lt;&gt;"", Recruiting_Data!J131&lt;&gt;"", Recruiting_Data!N131&lt;Recruiting_Data!J131), AND(Recruiting_Data!M131&lt;&gt;"", Recruiting_Data!L131&lt;&gt;"", Recruiting_Data!M131&lt;Recruiting_Data!L131), AND(Recruiting_Data!L131&lt;&gt;"", Recruiting_Data!K131&lt;&gt;"", Recruiting_Data!L131&lt;Recruiting_Data!K131)), TRUE, FALSE))</f>
        <v>0</v>
      </c>
    </row>
    <row r="132">
      <c r="A132" s="5" t="str">
        <f>IF(Recruiting_Data!A132="", "", Recruiting_Data!A132)</f>
        <v>C-10131</v>
      </c>
      <c r="B132" s="5" t="str">
        <f>IF(Recruiting_Data!B132="", "", Recruiting_Data!B132)</f>
        <v>REQ-2026-0043</v>
      </c>
      <c r="C132" s="5" t="str">
        <f>IF(AND(ISNUMBER(Recruiting_Data!N132), ISNUMBER(Recruiting_Data!P132)), Recruiting_Data!N132 - Recruiting_Data!P132, "")</f>
        <v/>
      </c>
      <c r="D132" s="5">
        <v>1.0</v>
      </c>
      <c r="E132" s="5">
        <f>IF(Recruiting_Data!R132="Open", TODAY() - Recruiting_Data!P132, "")</f>
        <v>112</v>
      </c>
      <c r="F132" s="8" t="str">
        <f t="shared" si="1"/>
        <v>60+</v>
      </c>
      <c r="G132" s="5" t="b">
        <f>IF(A132="", "", IF(COUNTIF(Recruiting_Data!A:A, A132)&gt;1, TRUE, FALSE))</f>
        <v>0</v>
      </c>
      <c r="H132" s="5" t="b">
        <f>IF(A132="", "", IF(OR(AND(Recruiting_Data!N132&lt;&gt;"", Recruiting_Data!J132&lt;&gt;"", Recruiting_Data!N132&lt;Recruiting_Data!J132), AND(Recruiting_Data!M132&lt;&gt;"", Recruiting_Data!L132&lt;&gt;"", Recruiting_Data!M132&lt;Recruiting_Data!L132), AND(Recruiting_Data!L132&lt;&gt;"", Recruiting_Data!K132&lt;&gt;"", Recruiting_Data!L132&lt;Recruiting_Data!K132)), TRUE, FALSE))</f>
        <v>0</v>
      </c>
    </row>
    <row r="133">
      <c r="A133" s="5" t="str">
        <f>IF(Recruiting_Data!A133="", "", Recruiting_Data!A133)</f>
        <v>C-10132</v>
      </c>
      <c r="B133" s="5" t="str">
        <f>IF(Recruiting_Data!B133="", "", Recruiting_Data!B133)</f>
        <v>REQ-2026-0047</v>
      </c>
      <c r="C133" s="5" t="str">
        <f>IF(AND(ISNUMBER(Recruiting_Data!N133), ISNUMBER(Recruiting_Data!P133)), Recruiting_Data!N133 - Recruiting_Data!P133, "")</f>
        <v/>
      </c>
      <c r="D133" s="5">
        <v>1.0</v>
      </c>
      <c r="E133" s="5">
        <f>IF(Recruiting_Data!R133="Open", TODAY() - Recruiting_Data!P133, "")</f>
        <v>229</v>
      </c>
      <c r="F133" s="8" t="str">
        <f t="shared" si="1"/>
        <v>60+</v>
      </c>
      <c r="G133" s="5" t="b">
        <f>IF(A133="", "", IF(COUNTIF(Recruiting_Data!A:A, A133)&gt;1, TRUE, FALSE))</f>
        <v>0</v>
      </c>
      <c r="H133" s="5" t="b">
        <f>IF(A133="", "", IF(OR(AND(Recruiting_Data!N133&lt;&gt;"", Recruiting_Data!J133&lt;&gt;"", Recruiting_Data!N133&lt;Recruiting_Data!J133), AND(Recruiting_Data!M133&lt;&gt;"", Recruiting_Data!L133&lt;&gt;"", Recruiting_Data!M133&lt;Recruiting_Data!L133), AND(Recruiting_Data!L133&lt;&gt;"", Recruiting_Data!K133&lt;&gt;"", Recruiting_Data!L133&lt;Recruiting_Data!K133)), TRUE, FALSE))</f>
        <v>0</v>
      </c>
    </row>
    <row r="134">
      <c r="A134" s="5" t="str">
        <f>IF(Recruiting_Data!A134="", "", Recruiting_Data!A134)</f>
        <v>C-10133</v>
      </c>
      <c r="B134" s="5" t="str">
        <f>IF(Recruiting_Data!B134="", "", Recruiting_Data!B134)</f>
        <v>REQ-2026-0018</v>
      </c>
      <c r="C134" s="5" t="str">
        <f>IF(AND(ISNUMBER(Recruiting_Data!N134), ISNUMBER(Recruiting_Data!P134)), Recruiting_Data!N134 - Recruiting_Data!P134, "")</f>
        <v/>
      </c>
      <c r="D134" s="5">
        <v>1.0</v>
      </c>
      <c r="E134" s="5" t="str">
        <f>IF(Recruiting_Data!R134="Open", TODAY() - Recruiting_Data!P134, "")</f>
        <v/>
      </c>
      <c r="F134" s="8" t="str">
        <f t="shared" si="1"/>
        <v/>
      </c>
      <c r="G134" s="5" t="b">
        <f>IF(A134="", "", IF(COUNTIF(Recruiting_Data!A:A, A134)&gt;1, TRUE, FALSE))</f>
        <v>0</v>
      </c>
      <c r="H134" s="5" t="b">
        <f>IF(A134="", "", IF(OR(AND(Recruiting_Data!N134&lt;&gt;"", Recruiting_Data!J134&lt;&gt;"", Recruiting_Data!N134&lt;Recruiting_Data!J134), AND(Recruiting_Data!M134&lt;&gt;"", Recruiting_Data!L134&lt;&gt;"", Recruiting_Data!M134&lt;Recruiting_Data!L134), AND(Recruiting_Data!L134&lt;&gt;"", Recruiting_Data!K134&lt;&gt;"", Recruiting_Data!L134&lt;Recruiting_Data!K134)), TRUE, FALSE))</f>
        <v>0</v>
      </c>
    </row>
    <row r="135">
      <c r="A135" s="5" t="str">
        <f>IF(Recruiting_Data!A135="", "", Recruiting_Data!A135)</f>
        <v>C-10134</v>
      </c>
      <c r="B135" s="5" t="str">
        <f>IF(Recruiting_Data!B135="", "", Recruiting_Data!B135)</f>
        <v>REQ-2026-0010</v>
      </c>
      <c r="C135" s="5" t="str">
        <f>IF(AND(ISNUMBER(Recruiting_Data!N135), ISNUMBER(Recruiting_Data!P135)), Recruiting_Data!N135 - Recruiting_Data!P135, "")</f>
        <v/>
      </c>
      <c r="D135" s="5">
        <v>1.0</v>
      </c>
      <c r="E135" s="5" t="str">
        <f>IF(Recruiting_Data!R135="Open", TODAY() - Recruiting_Data!P135, "")</f>
        <v/>
      </c>
      <c r="F135" s="8" t="str">
        <f t="shared" si="1"/>
        <v/>
      </c>
      <c r="G135" s="5" t="b">
        <f>IF(A135="", "", IF(COUNTIF(Recruiting_Data!A:A, A135)&gt;1, TRUE, FALSE))</f>
        <v>0</v>
      </c>
      <c r="H135" s="5" t="b">
        <f>IF(A135="", "", IF(OR(AND(Recruiting_Data!N135&lt;&gt;"", Recruiting_Data!J135&lt;&gt;"", Recruiting_Data!N135&lt;Recruiting_Data!J135), AND(Recruiting_Data!M135&lt;&gt;"", Recruiting_Data!L135&lt;&gt;"", Recruiting_Data!M135&lt;Recruiting_Data!L135), AND(Recruiting_Data!L135&lt;&gt;"", Recruiting_Data!K135&lt;&gt;"", Recruiting_Data!L135&lt;Recruiting_Data!K135)), TRUE, FALSE))</f>
        <v>0</v>
      </c>
    </row>
    <row r="136">
      <c r="A136" s="5" t="str">
        <f>IF(Recruiting_Data!A136="", "", Recruiting_Data!A136)</f>
        <v>C-10135</v>
      </c>
      <c r="B136" s="5" t="str">
        <f>IF(Recruiting_Data!B136="", "", Recruiting_Data!B136)</f>
        <v>REQ-2026-0007</v>
      </c>
      <c r="C136" s="5" t="str">
        <f>IF(AND(ISNUMBER(Recruiting_Data!N136), ISNUMBER(Recruiting_Data!P136)), Recruiting_Data!N136 - Recruiting_Data!P136, "")</f>
        <v/>
      </c>
      <c r="D136" s="5">
        <v>4.0</v>
      </c>
      <c r="E136" s="5">
        <f>IF(Recruiting_Data!R136="Open", TODAY() - Recruiting_Data!P136, "")</f>
        <v>256</v>
      </c>
      <c r="F136" s="8" t="str">
        <f t="shared" si="1"/>
        <v>60+</v>
      </c>
      <c r="G136" s="5" t="b">
        <f>IF(A136="", "", IF(COUNTIF(Recruiting_Data!A:A, A136)&gt;1, TRUE, FALSE))</f>
        <v>0</v>
      </c>
      <c r="H136" s="5" t="b">
        <f>IF(A136="", "", IF(OR(AND(Recruiting_Data!N136&lt;&gt;"", Recruiting_Data!J136&lt;&gt;"", Recruiting_Data!N136&lt;Recruiting_Data!J136), AND(Recruiting_Data!M136&lt;&gt;"", Recruiting_Data!L136&lt;&gt;"", Recruiting_Data!M136&lt;Recruiting_Data!L136), AND(Recruiting_Data!L136&lt;&gt;"", Recruiting_Data!K136&lt;&gt;"", Recruiting_Data!L136&lt;Recruiting_Data!K136)), TRUE, FALSE))</f>
        <v>0</v>
      </c>
    </row>
    <row r="137">
      <c r="A137" s="5" t="str">
        <f>IF(Recruiting_Data!A137="", "", Recruiting_Data!A137)</f>
        <v>C-10136</v>
      </c>
      <c r="B137" s="5" t="str">
        <f>IF(Recruiting_Data!B137="", "", Recruiting_Data!B137)</f>
        <v>REQ-2026-0027</v>
      </c>
      <c r="C137" s="5" t="str">
        <f>IF(AND(ISNUMBER(Recruiting_Data!N137), ISNUMBER(Recruiting_Data!P137)), Recruiting_Data!N137 - Recruiting_Data!P137, "")</f>
        <v/>
      </c>
      <c r="D137" s="5">
        <v>4.0</v>
      </c>
      <c r="E137" s="5" t="str">
        <f>IF(Recruiting_Data!R137="Open", TODAY() - Recruiting_Data!P137, "")</f>
        <v/>
      </c>
      <c r="F137" s="8" t="str">
        <f t="shared" si="1"/>
        <v/>
      </c>
      <c r="G137" s="5" t="b">
        <f>IF(A137="", "", IF(COUNTIF(Recruiting_Data!A:A, A137)&gt;1, TRUE, FALSE))</f>
        <v>0</v>
      </c>
      <c r="H137" s="5" t="b">
        <f>IF(A137="", "", IF(OR(AND(Recruiting_Data!N137&lt;&gt;"", Recruiting_Data!J137&lt;&gt;"", Recruiting_Data!N137&lt;Recruiting_Data!J137), AND(Recruiting_Data!M137&lt;&gt;"", Recruiting_Data!L137&lt;&gt;"", Recruiting_Data!M137&lt;Recruiting_Data!L137), AND(Recruiting_Data!L137&lt;&gt;"", Recruiting_Data!K137&lt;&gt;"", Recruiting_Data!L137&lt;Recruiting_Data!K137)), TRUE, FALSE))</f>
        <v>0</v>
      </c>
    </row>
    <row r="138">
      <c r="A138" s="5" t="str">
        <f>IF(Recruiting_Data!A138="", "", Recruiting_Data!A138)</f>
        <v>C-10137</v>
      </c>
      <c r="B138" s="5" t="str">
        <f>IF(Recruiting_Data!B138="", "", Recruiting_Data!B138)</f>
        <v>REQ-2026-0027</v>
      </c>
      <c r="C138" s="5" t="str">
        <f>IF(AND(ISNUMBER(Recruiting_Data!N138), ISNUMBER(Recruiting_Data!P138)), Recruiting_Data!N138 - Recruiting_Data!P138, "")</f>
        <v/>
      </c>
      <c r="D138" s="5">
        <v>4.0</v>
      </c>
      <c r="E138" s="5" t="str">
        <f>IF(Recruiting_Data!R138="Open", TODAY() - Recruiting_Data!P138, "")</f>
        <v/>
      </c>
      <c r="F138" s="8" t="str">
        <f t="shared" si="1"/>
        <v/>
      </c>
      <c r="G138" s="5" t="b">
        <f>IF(A138="", "", IF(COUNTIF(Recruiting_Data!A:A, A138)&gt;1, TRUE, FALSE))</f>
        <v>0</v>
      </c>
      <c r="H138" s="5" t="b">
        <f>IF(A138="", "", IF(OR(AND(Recruiting_Data!N138&lt;&gt;"", Recruiting_Data!J138&lt;&gt;"", Recruiting_Data!N138&lt;Recruiting_Data!J138), AND(Recruiting_Data!M138&lt;&gt;"", Recruiting_Data!L138&lt;&gt;"", Recruiting_Data!M138&lt;Recruiting_Data!L138), AND(Recruiting_Data!L138&lt;&gt;"", Recruiting_Data!K138&lt;&gt;"", Recruiting_Data!L138&lt;Recruiting_Data!K138)), TRUE, FALSE))</f>
        <v>0</v>
      </c>
    </row>
    <row r="139">
      <c r="A139" s="5" t="str">
        <f>IF(Recruiting_Data!A139="", "", Recruiting_Data!A139)</f>
        <v>C-10138</v>
      </c>
      <c r="B139" s="5" t="str">
        <f>IF(Recruiting_Data!B139="", "", Recruiting_Data!B139)</f>
        <v>REQ-2026-0037</v>
      </c>
      <c r="C139" s="5" t="str">
        <f>IF(AND(ISNUMBER(Recruiting_Data!N139), ISNUMBER(Recruiting_Data!P139)), Recruiting_Data!N139 - Recruiting_Data!P139, "")</f>
        <v/>
      </c>
      <c r="D139" s="5">
        <v>3.0</v>
      </c>
      <c r="E139" s="5" t="str">
        <f>IF(Recruiting_Data!R139="Open", TODAY() - Recruiting_Data!P139, "")</f>
        <v/>
      </c>
      <c r="F139" s="8" t="str">
        <f t="shared" si="1"/>
        <v/>
      </c>
      <c r="G139" s="5" t="b">
        <f>IF(A139="", "", IF(COUNTIF(Recruiting_Data!A:A, A139)&gt;1, TRUE, FALSE))</f>
        <v>0</v>
      </c>
      <c r="H139" s="5" t="b">
        <f>IF(A139="", "", IF(OR(AND(Recruiting_Data!N139&lt;&gt;"", Recruiting_Data!J139&lt;&gt;"", Recruiting_Data!N139&lt;Recruiting_Data!J139), AND(Recruiting_Data!M139&lt;&gt;"", Recruiting_Data!L139&lt;&gt;"", Recruiting_Data!M139&lt;Recruiting_Data!L139), AND(Recruiting_Data!L139&lt;&gt;"", Recruiting_Data!K139&lt;&gt;"", Recruiting_Data!L139&lt;Recruiting_Data!K139)), TRUE, FALSE))</f>
        <v>0</v>
      </c>
    </row>
    <row r="140">
      <c r="A140" s="5" t="str">
        <f>IF(Recruiting_Data!A140="", "", Recruiting_Data!A140)</f>
        <v>C-10139</v>
      </c>
      <c r="B140" s="5" t="str">
        <f>IF(Recruiting_Data!B140="", "", Recruiting_Data!B140)</f>
        <v>REQ-2026-0014</v>
      </c>
      <c r="C140" s="5" t="str">
        <f>IF(AND(ISNUMBER(Recruiting_Data!N140), ISNUMBER(Recruiting_Data!P140)), Recruiting_Data!N140 - Recruiting_Data!P140, "")</f>
        <v/>
      </c>
      <c r="D140" s="5">
        <v>1.0</v>
      </c>
      <c r="E140" s="5">
        <f>IF(Recruiting_Data!R140="Open", TODAY() - Recruiting_Data!P140, "")</f>
        <v>112</v>
      </c>
      <c r="F140" s="8" t="str">
        <f t="shared" si="1"/>
        <v>60+</v>
      </c>
      <c r="G140" s="5" t="b">
        <f>IF(A140="", "", IF(COUNTIF(Recruiting_Data!A:A, A140)&gt;1, TRUE, FALSE))</f>
        <v>0</v>
      </c>
      <c r="H140" s="5" t="b">
        <f>IF(A140="", "", IF(OR(AND(Recruiting_Data!N140&lt;&gt;"", Recruiting_Data!J140&lt;&gt;"", Recruiting_Data!N140&lt;Recruiting_Data!J140), AND(Recruiting_Data!M140&lt;&gt;"", Recruiting_Data!L140&lt;&gt;"", Recruiting_Data!M140&lt;Recruiting_Data!L140), AND(Recruiting_Data!L140&lt;&gt;"", Recruiting_Data!K140&lt;&gt;"", Recruiting_Data!L140&lt;Recruiting_Data!K140)), TRUE, FALSE))</f>
        <v>0</v>
      </c>
    </row>
    <row r="141">
      <c r="A141" s="5" t="str">
        <f>IF(Recruiting_Data!A141="", "", Recruiting_Data!A141)</f>
        <v>C-10140</v>
      </c>
      <c r="B141" s="5" t="str">
        <f>IF(Recruiting_Data!B141="", "", Recruiting_Data!B141)</f>
        <v>REQ-2026-0027</v>
      </c>
      <c r="C141" s="5" t="str">
        <f>IF(AND(ISNUMBER(Recruiting_Data!N141), ISNUMBER(Recruiting_Data!P141)), Recruiting_Data!N141 - Recruiting_Data!P141, "")</f>
        <v/>
      </c>
      <c r="D141" s="5">
        <v>1.0</v>
      </c>
      <c r="E141" s="5" t="str">
        <f>IF(Recruiting_Data!R141="Open", TODAY() - Recruiting_Data!P141, "")</f>
        <v/>
      </c>
      <c r="F141" s="8" t="str">
        <f t="shared" si="1"/>
        <v/>
      </c>
      <c r="G141" s="5" t="b">
        <f>IF(A141="", "", IF(COUNTIF(Recruiting_Data!A:A, A141)&gt;1, TRUE, FALSE))</f>
        <v>0</v>
      </c>
      <c r="H141" s="5" t="b">
        <f>IF(A141="", "", IF(OR(AND(Recruiting_Data!N141&lt;&gt;"", Recruiting_Data!J141&lt;&gt;"", Recruiting_Data!N141&lt;Recruiting_Data!J141), AND(Recruiting_Data!M141&lt;&gt;"", Recruiting_Data!L141&lt;&gt;"", Recruiting_Data!M141&lt;Recruiting_Data!L141), AND(Recruiting_Data!L141&lt;&gt;"", Recruiting_Data!K141&lt;&gt;"", Recruiting_Data!L141&lt;Recruiting_Data!K141)), TRUE, FALSE))</f>
        <v>0</v>
      </c>
    </row>
    <row r="142">
      <c r="A142" s="5" t="str">
        <f>IF(Recruiting_Data!A142="", "", Recruiting_Data!A142)</f>
        <v>C-10141</v>
      </c>
      <c r="B142" s="5" t="str">
        <f>IF(Recruiting_Data!B142="", "", Recruiting_Data!B142)</f>
        <v>REQ-2026-0040</v>
      </c>
      <c r="C142" s="5" t="str">
        <f>IF(AND(ISNUMBER(Recruiting_Data!N142), ISNUMBER(Recruiting_Data!P142)), Recruiting_Data!N142 - Recruiting_Data!P142, "")</f>
        <v/>
      </c>
      <c r="D142" s="5">
        <v>1.0</v>
      </c>
      <c r="E142" s="5" t="str">
        <f>IF(Recruiting_Data!R142="Open", TODAY() - Recruiting_Data!P142, "")</f>
        <v/>
      </c>
      <c r="F142" s="8" t="str">
        <f t="shared" si="1"/>
        <v/>
      </c>
      <c r="G142" s="5" t="b">
        <f>IF(A142="", "", IF(COUNTIF(Recruiting_Data!A:A, A142)&gt;1, TRUE, FALSE))</f>
        <v>0</v>
      </c>
      <c r="H142" s="5" t="b">
        <f>IF(A142="", "", IF(OR(AND(Recruiting_Data!N142&lt;&gt;"", Recruiting_Data!J142&lt;&gt;"", Recruiting_Data!N142&lt;Recruiting_Data!J142), AND(Recruiting_Data!M142&lt;&gt;"", Recruiting_Data!L142&lt;&gt;"", Recruiting_Data!M142&lt;Recruiting_Data!L142), AND(Recruiting_Data!L142&lt;&gt;"", Recruiting_Data!K142&lt;&gt;"", Recruiting_Data!L142&lt;Recruiting_Data!K142)), TRUE, FALSE))</f>
        <v>0</v>
      </c>
    </row>
    <row r="143">
      <c r="A143" s="5" t="str">
        <f>IF(Recruiting_Data!A143="", "", Recruiting_Data!A143)</f>
        <v>C-10142</v>
      </c>
      <c r="B143" s="5" t="str">
        <f>IF(Recruiting_Data!B143="", "", Recruiting_Data!B143)</f>
        <v>REQ-2026-0040</v>
      </c>
      <c r="C143" s="5">
        <f>IF(AND(ISNUMBER(Recruiting_Data!N143), ISNUMBER(Recruiting_Data!P143)), Recruiting_Data!N143 - Recruiting_Data!P143, "")</f>
        <v>42</v>
      </c>
      <c r="D143" s="5">
        <v>5.0</v>
      </c>
      <c r="E143" s="5" t="str">
        <f>IF(Recruiting_Data!R143="Open", TODAY() - Recruiting_Data!P143, "")</f>
        <v/>
      </c>
      <c r="F143" s="8" t="str">
        <f t="shared" si="1"/>
        <v/>
      </c>
      <c r="G143" s="5" t="b">
        <f>IF(A143="", "", IF(COUNTIF(Recruiting_Data!A:A, A143)&gt;1, TRUE, FALSE))</f>
        <v>0</v>
      </c>
      <c r="H143" s="5" t="b">
        <f>IF(A143="", "", IF(OR(AND(Recruiting_Data!N143&lt;&gt;"", Recruiting_Data!J143&lt;&gt;"", Recruiting_Data!N143&lt;Recruiting_Data!J143), AND(Recruiting_Data!M143&lt;&gt;"", Recruiting_Data!L143&lt;&gt;"", Recruiting_Data!M143&lt;Recruiting_Data!L143), AND(Recruiting_Data!L143&lt;&gt;"", Recruiting_Data!K143&lt;&gt;"", Recruiting_Data!L143&lt;Recruiting_Data!K143)), TRUE, FALSE))</f>
        <v>0</v>
      </c>
    </row>
    <row r="144">
      <c r="A144" s="5" t="str">
        <f>IF(Recruiting_Data!A144="", "", Recruiting_Data!A144)</f>
        <v>C-10143</v>
      </c>
      <c r="B144" s="5" t="str">
        <f>IF(Recruiting_Data!B144="", "", Recruiting_Data!B144)</f>
        <v>REQ-2026-0023</v>
      </c>
      <c r="C144" s="5" t="str">
        <f>IF(AND(ISNUMBER(Recruiting_Data!N144), ISNUMBER(Recruiting_Data!P144)), Recruiting_Data!N144 - Recruiting_Data!P144, "")</f>
        <v/>
      </c>
      <c r="D144" s="5">
        <v>4.0</v>
      </c>
      <c r="E144" s="5" t="str">
        <f>IF(Recruiting_Data!R144="Open", TODAY() - Recruiting_Data!P144, "")</f>
        <v/>
      </c>
      <c r="F144" s="8" t="str">
        <f t="shared" si="1"/>
        <v/>
      </c>
      <c r="G144" s="5" t="b">
        <f>IF(A144="", "", IF(COUNTIF(Recruiting_Data!A:A, A144)&gt;1, TRUE, FALSE))</f>
        <v>0</v>
      </c>
      <c r="H144" s="5" t="b">
        <f>IF(A144="", "", IF(OR(AND(Recruiting_Data!N144&lt;&gt;"", Recruiting_Data!J144&lt;&gt;"", Recruiting_Data!N144&lt;Recruiting_Data!J144), AND(Recruiting_Data!M144&lt;&gt;"", Recruiting_Data!L144&lt;&gt;"", Recruiting_Data!M144&lt;Recruiting_Data!L144), AND(Recruiting_Data!L144&lt;&gt;"", Recruiting_Data!K144&lt;&gt;"", Recruiting_Data!L144&lt;Recruiting_Data!K144)), TRUE, FALSE))</f>
        <v>0</v>
      </c>
    </row>
    <row r="145">
      <c r="A145" s="5" t="str">
        <f>IF(Recruiting_Data!A145="", "", Recruiting_Data!A145)</f>
        <v>C-10144</v>
      </c>
      <c r="B145" s="5" t="str">
        <f>IF(Recruiting_Data!B145="", "", Recruiting_Data!B145)</f>
        <v>REQ-2026-0049</v>
      </c>
      <c r="C145" s="5" t="str">
        <f>IF(AND(ISNUMBER(Recruiting_Data!N145), ISNUMBER(Recruiting_Data!P145)), Recruiting_Data!N145 - Recruiting_Data!P145, "")</f>
        <v/>
      </c>
      <c r="D145" s="5">
        <v>1.0</v>
      </c>
      <c r="E145" s="5">
        <f>IF(Recruiting_Data!R145="Open", TODAY() - Recruiting_Data!P145, "")</f>
        <v>106</v>
      </c>
      <c r="F145" s="8" t="str">
        <f t="shared" si="1"/>
        <v>60+</v>
      </c>
      <c r="G145" s="5" t="b">
        <f>IF(A145="", "", IF(COUNTIF(Recruiting_Data!A:A, A145)&gt;1, TRUE, FALSE))</f>
        <v>0</v>
      </c>
      <c r="H145" s="5" t="b">
        <f>IF(A145="", "", IF(OR(AND(Recruiting_Data!N145&lt;&gt;"", Recruiting_Data!J145&lt;&gt;"", Recruiting_Data!N145&lt;Recruiting_Data!J145), AND(Recruiting_Data!M145&lt;&gt;"", Recruiting_Data!L145&lt;&gt;"", Recruiting_Data!M145&lt;Recruiting_Data!L145), AND(Recruiting_Data!L145&lt;&gt;"", Recruiting_Data!K145&lt;&gt;"", Recruiting_Data!L145&lt;Recruiting_Data!K145)), TRUE, FALSE))</f>
        <v>0</v>
      </c>
    </row>
    <row r="146">
      <c r="A146" s="5" t="str">
        <f>IF(Recruiting_Data!A146="", "", Recruiting_Data!A146)</f>
        <v>C-10145</v>
      </c>
      <c r="B146" s="5" t="str">
        <f>IF(Recruiting_Data!B146="", "", Recruiting_Data!B146)</f>
        <v>REQ-2026-0022</v>
      </c>
      <c r="C146" s="5" t="str">
        <f>IF(AND(ISNUMBER(Recruiting_Data!N146), ISNUMBER(Recruiting_Data!P146)), Recruiting_Data!N146 - Recruiting_Data!P146, "")</f>
        <v/>
      </c>
      <c r="D146" s="5">
        <v>3.0</v>
      </c>
      <c r="E146" s="5" t="str">
        <f>IF(Recruiting_Data!R146="Open", TODAY() - Recruiting_Data!P146, "")</f>
        <v/>
      </c>
      <c r="F146" s="8" t="str">
        <f t="shared" si="1"/>
        <v/>
      </c>
      <c r="G146" s="5" t="b">
        <f>IF(A146="", "", IF(COUNTIF(Recruiting_Data!A:A, A146)&gt;1, TRUE, FALSE))</f>
        <v>0</v>
      </c>
      <c r="H146" s="5" t="b">
        <f>IF(A146="", "", IF(OR(AND(Recruiting_Data!N146&lt;&gt;"", Recruiting_Data!J146&lt;&gt;"", Recruiting_Data!N146&lt;Recruiting_Data!J146), AND(Recruiting_Data!M146&lt;&gt;"", Recruiting_Data!L146&lt;&gt;"", Recruiting_Data!M146&lt;Recruiting_Data!L146), AND(Recruiting_Data!L146&lt;&gt;"", Recruiting_Data!K146&lt;&gt;"", Recruiting_Data!L146&lt;Recruiting_Data!K146)), TRUE, FALSE))</f>
        <v>0</v>
      </c>
    </row>
    <row r="147">
      <c r="A147" s="5" t="str">
        <f>IF(Recruiting_Data!A147="", "", Recruiting_Data!A147)</f>
        <v>C-10146</v>
      </c>
      <c r="B147" s="5" t="str">
        <f>IF(Recruiting_Data!B147="", "", Recruiting_Data!B147)</f>
        <v>REQ-2026-0027</v>
      </c>
      <c r="C147" s="5" t="str">
        <f>IF(AND(ISNUMBER(Recruiting_Data!N147), ISNUMBER(Recruiting_Data!P147)), Recruiting_Data!N147 - Recruiting_Data!P147, "")</f>
        <v/>
      </c>
      <c r="D147" s="5">
        <v>4.0</v>
      </c>
      <c r="E147" s="5" t="str">
        <f>IF(Recruiting_Data!R147="Open", TODAY() - Recruiting_Data!P147, "")</f>
        <v/>
      </c>
      <c r="F147" s="8" t="str">
        <f t="shared" si="1"/>
        <v/>
      </c>
      <c r="G147" s="5" t="b">
        <f>IF(A147="", "", IF(COUNTIF(Recruiting_Data!A:A, A147)&gt;1, TRUE, FALSE))</f>
        <v>0</v>
      </c>
      <c r="H147" s="5" t="b">
        <f>IF(A147="", "", IF(OR(AND(Recruiting_Data!N147&lt;&gt;"", Recruiting_Data!J147&lt;&gt;"", Recruiting_Data!N147&lt;Recruiting_Data!J147), AND(Recruiting_Data!M147&lt;&gt;"", Recruiting_Data!L147&lt;&gt;"", Recruiting_Data!M147&lt;Recruiting_Data!L147), AND(Recruiting_Data!L147&lt;&gt;"", Recruiting_Data!K147&lt;&gt;"", Recruiting_Data!L147&lt;Recruiting_Data!K147)), TRUE, FALSE))</f>
        <v>0</v>
      </c>
    </row>
    <row r="148">
      <c r="A148" s="5" t="str">
        <f>IF(Recruiting_Data!A148="", "", Recruiting_Data!A148)</f>
        <v>C-10147</v>
      </c>
      <c r="B148" s="5" t="str">
        <f>IF(Recruiting_Data!B148="", "", Recruiting_Data!B148)</f>
        <v>REQ-2026-0045</v>
      </c>
      <c r="C148" s="5" t="str">
        <f>IF(AND(ISNUMBER(Recruiting_Data!N148), ISNUMBER(Recruiting_Data!P148)), Recruiting_Data!N148 - Recruiting_Data!P148, "")</f>
        <v/>
      </c>
      <c r="D148" s="5">
        <v>1.0</v>
      </c>
      <c r="E148" s="5" t="str">
        <f>IF(Recruiting_Data!R148="Open", TODAY() - Recruiting_Data!P148, "")</f>
        <v/>
      </c>
      <c r="F148" s="8" t="str">
        <f t="shared" si="1"/>
        <v/>
      </c>
      <c r="G148" s="5" t="b">
        <f>IF(A148="", "", IF(COUNTIF(Recruiting_Data!A:A, A148)&gt;1, TRUE, FALSE))</f>
        <v>0</v>
      </c>
      <c r="H148" s="5" t="b">
        <f>IF(A148="", "", IF(OR(AND(Recruiting_Data!N148&lt;&gt;"", Recruiting_Data!J148&lt;&gt;"", Recruiting_Data!N148&lt;Recruiting_Data!J148), AND(Recruiting_Data!M148&lt;&gt;"", Recruiting_Data!L148&lt;&gt;"", Recruiting_Data!M148&lt;Recruiting_Data!L148), AND(Recruiting_Data!L148&lt;&gt;"", Recruiting_Data!K148&lt;&gt;"", Recruiting_Data!L148&lt;Recruiting_Data!K148)), TRUE, FALSE))</f>
        <v>0</v>
      </c>
    </row>
    <row r="149">
      <c r="A149" s="5" t="str">
        <f>IF(Recruiting_Data!A149="", "", Recruiting_Data!A149)</f>
        <v>C-10148</v>
      </c>
      <c r="B149" s="5" t="str">
        <f>IF(Recruiting_Data!B149="", "", Recruiting_Data!B149)</f>
        <v>REQ-2026-0006</v>
      </c>
      <c r="C149" s="5" t="str">
        <f>IF(AND(ISNUMBER(Recruiting_Data!N149), ISNUMBER(Recruiting_Data!P149)), Recruiting_Data!N149 - Recruiting_Data!P149, "")</f>
        <v/>
      </c>
      <c r="D149" s="5">
        <v>1.0</v>
      </c>
      <c r="E149" s="5" t="str">
        <f>IF(Recruiting_Data!R149="Open", TODAY() - Recruiting_Data!P149, "")</f>
        <v/>
      </c>
      <c r="F149" s="8" t="str">
        <f t="shared" si="1"/>
        <v/>
      </c>
      <c r="G149" s="5" t="b">
        <f>IF(A149="", "", IF(COUNTIF(Recruiting_Data!A:A, A149)&gt;1, TRUE, FALSE))</f>
        <v>0</v>
      </c>
      <c r="H149" s="5" t="b">
        <f>IF(A149="", "", IF(OR(AND(Recruiting_Data!N149&lt;&gt;"", Recruiting_Data!J149&lt;&gt;"", Recruiting_Data!N149&lt;Recruiting_Data!J149), AND(Recruiting_Data!M149&lt;&gt;"", Recruiting_Data!L149&lt;&gt;"", Recruiting_Data!M149&lt;Recruiting_Data!L149), AND(Recruiting_Data!L149&lt;&gt;"", Recruiting_Data!K149&lt;&gt;"", Recruiting_Data!L149&lt;Recruiting_Data!K149)), TRUE, FALSE))</f>
        <v>0</v>
      </c>
    </row>
    <row r="150">
      <c r="A150" s="5" t="str">
        <f>IF(Recruiting_Data!A150="", "", Recruiting_Data!A150)</f>
        <v>C-10149</v>
      </c>
      <c r="B150" s="5" t="str">
        <f>IF(Recruiting_Data!B150="", "", Recruiting_Data!B150)</f>
        <v>REQ-2026-0032</v>
      </c>
      <c r="C150" s="5" t="str">
        <f>IF(AND(ISNUMBER(Recruiting_Data!N150), ISNUMBER(Recruiting_Data!P150)), Recruiting_Data!N150 - Recruiting_Data!P150, "")</f>
        <v/>
      </c>
      <c r="D150" s="5">
        <v>3.0</v>
      </c>
      <c r="E150" s="5">
        <f>IF(Recruiting_Data!R150="Open", TODAY() - Recruiting_Data!P150, "")</f>
        <v>178</v>
      </c>
      <c r="F150" s="8" t="str">
        <f t="shared" si="1"/>
        <v>60+</v>
      </c>
      <c r="G150" s="5" t="b">
        <f>IF(A150="", "", IF(COUNTIF(Recruiting_Data!A:A, A150)&gt;1, TRUE, FALSE))</f>
        <v>0</v>
      </c>
      <c r="H150" s="5" t="b">
        <f>IF(A150="", "", IF(OR(AND(Recruiting_Data!N150&lt;&gt;"", Recruiting_Data!J150&lt;&gt;"", Recruiting_Data!N150&lt;Recruiting_Data!J150), AND(Recruiting_Data!M150&lt;&gt;"", Recruiting_Data!L150&lt;&gt;"", Recruiting_Data!M150&lt;Recruiting_Data!L150), AND(Recruiting_Data!L150&lt;&gt;"", Recruiting_Data!K150&lt;&gt;"", Recruiting_Data!L150&lt;Recruiting_Data!K150)), TRUE, FALSE))</f>
        <v>0</v>
      </c>
    </row>
    <row r="151">
      <c r="A151" s="5" t="str">
        <f>IF(Recruiting_Data!A151="", "", Recruiting_Data!A151)</f>
        <v>C-10150</v>
      </c>
      <c r="B151" s="5" t="str">
        <f>IF(Recruiting_Data!B151="", "", Recruiting_Data!B151)</f>
        <v>REQ-2026-0002</v>
      </c>
      <c r="C151" s="5" t="str">
        <f>IF(AND(ISNUMBER(Recruiting_Data!N151), ISNUMBER(Recruiting_Data!P151)), Recruiting_Data!N151 - Recruiting_Data!P151, "")</f>
        <v/>
      </c>
      <c r="D151" s="5">
        <v>1.0</v>
      </c>
      <c r="E151" s="5">
        <f>IF(Recruiting_Data!R151="Open", TODAY() - Recruiting_Data!P151, "")</f>
        <v>124</v>
      </c>
      <c r="F151" s="8" t="str">
        <f t="shared" si="1"/>
        <v>60+</v>
      </c>
      <c r="G151" s="5" t="b">
        <f>IF(A151="", "", IF(COUNTIF(Recruiting_Data!A:A, A151)&gt;1, TRUE, FALSE))</f>
        <v>0</v>
      </c>
      <c r="H151" s="5" t="b">
        <f>IF(A151="", "", IF(OR(AND(Recruiting_Data!N151&lt;&gt;"", Recruiting_Data!J151&lt;&gt;"", Recruiting_Data!N151&lt;Recruiting_Data!J151), AND(Recruiting_Data!M151&lt;&gt;"", Recruiting_Data!L151&lt;&gt;"", Recruiting_Data!M151&lt;Recruiting_Data!L151), AND(Recruiting_Data!L151&lt;&gt;"", Recruiting_Data!K151&lt;&gt;"", Recruiting_Data!L151&lt;Recruiting_Data!K151)), TRUE, FALSE))</f>
        <v>0</v>
      </c>
    </row>
    <row r="152">
      <c r="A152" s="5" t="str">
        <f>IF(Recruiting_Data!A152="", "", Recruiting_Data!A152)</f>
        <v>C-10151</v>
      </c>
      <c r="B152" s="5" t="str">
        <f>IF(Recruiting_Data!B152="", "", Recruiting_Data!B152)</f>
        <v>REQ-2026-0048</v>
      </c>
      <c r="C152" s="5" t="str">
        <f>IF(AND(ISNUMBER(Recruiting_Data!N152), ISNUMBER(Recruiting_Data!P152)), Recruiting_Data!N152 - Recruiting_Data!P152, "")</f>
        <v/>
      </c>
      <c r="D152" s="5">
        <v>4.0</v>
      </c>
      <c r="E152" s="5" t="str">
        <f>IF(Recruiting_Data!R152="Open", TODAY() - Recruiting_Data!P152, "")</f>
        <v/>
      </c>
      <c r="F152" s="8" t="str">
        <f t="shared" si="1"/>
        <v/>
      </c>
      <c r="G152" s="5" t="b">
        <f>IF(A152="", "", IF(COUNTIF(Recruiting_Data!A:A, A152)&gt;1, TRUE, FALSE))</f>
        <v>0</v>
      </c>
      <c r="H152" s="5" t="b">
        <f>IF(A152="", "", IF(OR(AND(Recruiting_Data!N152&lt;&gt;"", Recruiting_Data!J152&lt;&gt;"", Recruiting_Data!N152&lt;Recruiting_Data!J152), AND(Recruiting_Data!M152&lt;&gt;"", Recruiting_Data!L152&lt;&gt;"", Recruiting_Data!M152&lt;Recruiting_Data!L152), AND(Recruiting_Data!L152&lt;&gt;"", Recruiting_Data!K152&lt;&gt;"", Recruiting_Data!L152&lt;Recruiting_Data!K152)), TRUE, FALSE))</f>
        <v>0</v>
      </c>
    </row>
    <row r="153">
      <c r="A153" s="5" t="str">
        <f>IF(Recruiting_Data!A153="", "", Recruiting_Data!A153)</f>
        <v>C-10152</v>
      </c>
      <c r="B153" s="5" t="str">
        <f>IF(Recruiting_Data!B153="", "", Recruiting_Data!B153)</f>
        <v>REQ-2026-0042</v>
      </c>
      <c r="C153" s="5" t="str">
        <f>IF(AND(ISNUMBER(Recruiting_Data!N153), ISNUMBER(Recruiting_Data!P153)), Recruiting_Data!N153 - Recruiting_Data!P153, "")</f>
        <v/>
      </c>
      <c r="D153" s="5">
        <v>1.0</v>
      </c>
      <c r="E153" s="5" t="str">
        <f>IF(Recruiting_Data!R153="Open", TODAY() - Recruiting_Data!P153, "")</f>
        <v/>
      </c>
      <c r="F153" s="8" t="str">
        <f t="shared" si="1"/>
        <v/>
      </c>
      <c r="G153" s="5" t="b">
        <f>IF(A153="", "", IF(COUNTIF(Recruiting_Data!A:A, A153)&gt;1, TRUE, FALSE))</f>
        <v>0</v>
      </c>
      <c r="H153" s="5" t="b">
        <f>IF(A153="", "", IF(OR(AND(Recruiting_Data!N153&lt;&gt;"", Recruiting_Data!J153&lt;&gt;"", Recruiting_Data!N153&lt;Recruiting_Data!J153), AND(Recruiting_Data!M153&lt;&gt;"", Recruiting_Data!L153&lt;&gt;"", Recruiting_Data!M153&lt;Recruiting_Data!L153), AND(Recruiting_Data!L153&lt;&gt;"", Recruiting_Data!K153&lt;&gt;"", Recruiting_Data!L153&lt;Recruiting_Data!K153)), TRUE, FALSE))</f>
        <v>0</v>
      </c>
    </row>
    <row r="154">
      <c r="A154" s="5" t="str">
        <f>IF(Recruiting_Data!A154="", "", Recruiting_Data!A154)</f>
        <v>C-10153</v>
      </c>
      <c r="B154" s="5" t="str">
        <f>IF(Recruiting_Data!B154="", "", Recruiting_Data!B154)</f>
        <v>REQ-2026-0046</v>
      </c>
      <c r="C154" s="5" t="str">
        <f>IF(AND(ISNUMBER(Recruiting_Data!N154), ISNUMBER(Recruiting_Data!P154)), Recruiting_Data!N154 - Recruiting_Data!P154, "")</f>
        <v/>
      </c>
      <c r="D154" s="5">
        <v>1.0</v>
      </c>
      <c r="E154" s="5">
        <f>IF(Recruiting_Data!R154="Open", TODAY() - Recruiting_Data!P154, "")</f>
        <v>167</v>
      </c>
      <c r="F154" s="8" t="str">
        <f t="shared" si="1"/>
        <v>60+</v>
      </c>
      <c r="G154" s="5" t="b">
        <f>IF(A154="", "", IF(COUNTIF(Recruiting_Data!A:A, A154)&gt;1, TRUE, FALSE))</f>
        <v>0</v>
      </c>
      <c r="H154" s="5" t="b">
        <f>IF(A154="", "", IF(OR(AND(Recruiting_Data!N154&lt;&gt;"", Recruiting_Data!J154&lt;&gt;"", Recruiting_Data!N154&lt;Recruiting_Data!J154), AND(Recruiting_Data!M154&lt;&gt;"", Recruiting_Data!L154&lt;&gt;"", Recruiting_Data!M154&lt;Recruiting_Data!L154), AND(Recruiting_Data!L154&lt;&gt;"", Recruiting_Data!K154&lt;&gt;"", Recruiting_Data!L154&lt;Recruiting_Data!K154)), TRUE, FALSE))</f>
        <v>0</v>
      </c>
    </row>
    <row r="155">
      <c r="A155" s="5" t="str">
        <f>IF(Recruiting_Data!A155="", "", Recruiting_Data!A155)</f>
        <v>C-10154</v>
      </c>
      <c r="B155" s="5" t="str">
        <f>IF(Recruiting_Data!B155="", "", Recruiting_Data!B155)</f>
        <v>REQ-2026-0004</v>
      </c>
      <c r="C155" s="5" t="str">
        <f>IF(AND(ISNUMBER(Recruiting_Data!N155), ISNUMBER(Recruiting_Data!P155)), Recruiting_Data!N155 - Recruiting_Data!P155, "")</f>
        <v/>
      </c>
      <c r="D155" s="5">
        <v>2.0</v>
      </c>
      <c r="E155" s="5" t="str">
        <f>IF(Recruiting_Data!R155="Open", TODAY() - Recruiting_Data!P155, "")</f>
        <v/>
      </c>
      <c r="F155" s="8" t="str">
        <f t="shared" si="1"/>
        <v/>
      </c>
      <c r="G155" s="5" t="b">
        <f>IF(A155="", "", IF(COUNTIF(Recruiting_Data!A:A, A155)&gt;1, TRUE, FALSE))</f>
        <v>0</v>
      </c>
      <c r="H155" s="5" t="b">
        <f>IF(A155="", "", IF(OR(AND(Recruiting_Data!N155&lt;&gt;"", Recruiting_Data!J155&lt;&gt;"", Recruiting_Data!N155&lt;Recruiting_Data!J155), AND(Recruiting_Data!M155&lt;&gt;"", Recruiting_Data!L155&lt;&gt;"", Recruiting_Data!M155&lt;Recruiting_Data!L155), AND(Recruiting_Data!L155&lt;&gt;"", Recruiting_Data!K155&lt;&gt;"", Recruiting_Data!L155&lt;Recruiting_Data!K155)), TRUE, FALSE))</f>
        <v>0</v>
      </c>
    </row>
    <row r="156">
      <c r="A156" s="5" t="str">
        <f>IF(Recruiting_Data!A156="", "", Recruiting_Data!A156)</f>
        <v>C-10155</v>
      </c>
      <c r="B156" s="5" t="str">
        <f>IF(Recruiting_Data!B156="", "", Recruiting_Data!B156)</f>
        <v>REQ-2026-0034</v>
      </c>
      <c r="C156" s="5" t="str">
        <f>IF(AND(ISNUMBER(Recruiting_Data!N156), ISNUMBER(Recruiting_Data!P156)), Recruiting_Data!N156 - Recruiting_Data!P156, "")</f>
        <v/>
      </c>
      <c r="D156" s="5">
        <v>4.0</v>
      </c>
      <c r="E156" s="5" t="str">
        <f>IF(Recruiting_Data!R156="Open", TODAY() - Recruiting_Data!P156, "")</f>
        <v/>
      </c>
      <c r="F156" s="8" t="str">
        <f t="shared" si="1"/>
        <v/>
      </c>
      <c r="G156" s="5" t="b">
        <f>IF(A156="", "", IF(COUNTIF(Recruiting_Data!A:A, A156)&gt;1, TRUE, FALSE))</f>
        <v>0</v>
      </c>
      <c r="H156" s="5" t="b">
        <f>IF(A156="", "", IF(OR(AND(Recruiting_Data!N156&lt;&gt;"", Recruiting_Data!J156&lt;&gt;"", Recruiting_Data!N156&lt;Recruiting_Data!J156), AND(Recruiting_Data!M156&lt;&gt;"", Recruiting_Data!L156&lt;&gt;"", Recruiting_Data!M156&lt;Recruiting_Data!L156), AND(Recruiting_Data!L156&lt;&gt;"", Recruiting_Data!K156&lt;&gt;"", Recruiting_Data!L156&lt;Recruiting_Data!K156)), TRUE, FALSE))</f>
        <v>0</v>
      </c>
    </row>
    <row r="157">
      <c r="A157" s="5" t="str">
        <f>IF(Recruiting_Data!A157="", "", Recruiting_Data!A157)</f>
        <v>C-10156</v>
      </c>
      <c r="B157" s="5" t="str">
        <f>IF(Recruiting_Data!B157="", "", Recruiting_Data!B157)</f>
        <v>REQ-2026-0043</v>
      </c>
      <c r="C157" s="5" t="str">
        <f>IF(AND(ISNUMBER(Recruiting_Data!N157), ISNUMBER(Recruiting_Data!P157)), Recruiting_Data!N157 - Recruiting_Data!P157, "")</f>
        <v/>
      </c>
      <c r="D157" s="5">
        <v>2.0</v>
      </c>
      <c r="E157" s="5">
        <f>IF(Recruiting_Data!R157="Open", TODAY() - Recruiting_Data!P157, "")</f>
        <v>140</v>
      </c>
      <c r="F157" s="8" t="str">
        <f t="shared" si="1"/>
        <v>60+</v>
      </c>
      <c r="G157" s="5" t="b">
        <f>IF(A157="", "", IF(COUNTIF(Recruiting_Data!A:A, A157)&gt;1, TRUE, FALSE))</f>
        <v>0</v>
      </c>
      <c r="H157" s="5" t="b">
        <f>IF(A157="", "", IF(OR(AND(Recruiting_Data!N157&lt;&gt;"", Recruiting_Data!J157&lt;&gt;"", Recruiting_Data!N157&lt;Recruiting_Data!J157), AND(Recruiting_Data!M157&lt;&gt;"", Recruiting_Data!L157&lt;&gt;"", Recruiting_Data!M157&lt;Recruiting_Data!L157), AND(Recruiting_Data!L157&lt;&gt;"", Recruiting_Data!K157&lt;&gt;"", Recruiting_Data!L157&lt;Recruiting_Data!K157)), TRUE, FALSE))</f>
        <v>0</v>
      </c>
    </row>
    <row r="158">
      <c r="A158" s="5" t="str">
        <f>IF(Recruiting_Data!A158="", "", Recruiting_Data!A158)</f>
        <v>C-10157</v>
      </c>
      <c r="B158" s="5" t="str">
        <f>IF(Recruiting_Data!B158="", "", Recruiting_Data!B158)</f>
        <v>REQ-2026-0006</v>
      </c>
      <c r="C158" s="5" t="str">
        <f>IF(AND(ISNUMBER(Recruiting_Data!N158), ISNUMBER(Recruiting_Data!P158)), Recruiting_Data!N158 - Recruiting_Data!P158, "")</f>
        <v/>
      </c>
      <c r="D158" s="5">
        <v>1.0</v>
      </c>
      <c r="E158" s="5" t="str">
        <f>IF(Recruiting_Data!R158="Open", TODAY() - Recruiting_Data!P158, "")</f>
        <v/>
      </c>
      <c r="F158" s="8" t="str">
        <f t="shared" si="1"/>
        <v/>
      </c>
      <c r="G158" s="5" t="b">
        <f>IF(A158="", "", IF(COUNTIF(Recruiting_Data!A:A, A158)&gt;1, TRUE, FALSE))</f>
        <v>0</v>
      </c>
      <c r="H158" s="5" t="b">
        <f>IF(A158="", "", IF(OR(AND(Recruiting_Data!N158&lt;&gt;"", Recruiting_Data!J158&lt;&gt;"", Recruiting_Data!N158&lt;Recruiting_Data!J158), AND(Recruiting_Data!M158&lt;&gt;"", Recruiting_Data!L158&lt;&gt;"", Recruiting_Data!M158&lt;Recruiting_Data!L158), AND(Recruiting_Data!L158&lt;&gt;"", Recruiting_Data!K158&lt;&gt;"", Recruiting_Data!L158&lt;Recruiting_Data!K158)), TRUE, FALSE))</f>
        <v>0</v>
      </c>
    </row>
    <row r="159">
      <c r="A159" s="5" t="str">
        <f>IF(Recruiting_Data!A159="", "", Recruiting_Data!A159)</f>
        <v>C-10158</v>
      </c>
      <c r="B159" s="5" t="str">
        <f>IF(Recruiting_Data!B159="", "", Recruiting_Data!B159)</f>
        <v>REQ-2026-0034</v>
      </c>
      <c r="C159" s="5" t="str">
        <f>IF(AND(ISNUMBER(Recruiting_Data!N159), ISNUMBER(Recruiting_Data!P159)), Recruiting_Data!N159 - Recruiting_Data!P159, "")</f>
        <v/>
      </c>
      <c r="D159" s="5">
        <v>4.0</v>
      </c>
      <c r="E159" s="5" t="str">
        <f>IF(Recruiting_Data!R159="Open", TODAY() - Recruiting_Data!P159, "")</f>
        <v/>
      </c>
      <c r="F159" s="8" t="str">
        <f t="shared" si="1"/>
        <v/>
      </c>
      <c r="G159" s="5" t="b">
        <f>IF(A159="", "", IF(COUNTIF(Recruiting_Data!A:A, A159)&gt;1, TRUE, FALSE))</f>
        <v>0</v>
      </c>
      <c r="H159" s="5" t="b">
        <f>IF(A159="", "", IF(OR(AND(Recruiting_Data!N159&lt;&gt;"", Recruiting_Data!J159&lt;&gt;"", Recruiting_Data!N159&lt;Recruiting_Data!J159), AND(Recruiting_Data!M159&lt;&gt;"", Recruiting_Data!L159&lt;&gt;"", Recruiting_Data!M159&lt;Recruiting_Data!L159), AND(Recruiting_Data!L159&lt;&gt;"", Recruiting_Data!K159&lt;&gt;"", Recruiting_Data!L159&lt;Recruiting_Data!K159)), TRUE, FALSE))</f>
        <v>0</v>
      </c>
    </row>
    <row r="160">
      <c r="A160" s="5" t="str">
        <f>IF(Recruiting_Data!A160="", "", Recruiting_Data!A160)</f>
        <v>C-10159</v>
      </c>
      <c r="B160" s="5" t="str">
        <f>IF(Recruiting_Data!B160="", "", Recruiting_Data!B160)</f>
        <v>REQ-2026-0027</v>
      </c>
      <c r="C160" s="5" t="str">
        <f>IF(AND(ISNUMBER(Recruiting_Data!N160), ISNUMBER(Recruiting_Data!P160)), Recruiting_Data!N160 - Recruiting_Data!P160, "")</f>
        <v/>
      </c>
      <c r="D160" s="5">
        <v>3.0</v>
      </c>
      <c r="E160" s="5" t="str">
        <f>IF(Recruiting_Data!R160="Open", TODAY() - Recruiting_Data!P160, "")</f>
        <v/>
      </c>
      <c r="F160" s="8" t="str">
        <f t="shared" si="1"/>
        <v/>
      </c>
      <c r="G160" s="5" t="b">
        <f>IF(A160="", "", IF(COUNTIF(Recruiting_Data!A:A, A160)&gt;1, TRUE, FALSE))</f>
        <v>0</v>
      </c>
      <c r="H160" s="5" t="b">
        <f>IF(A160="", "", IF(OR(AND(Recruiting_Data!N160&lt;&gt;"", Recruiting_Data!J160&lt;&gt;"", Recruiting_Data!N160&lt;Recruiting_Data!J160), AND(Recruiting_Data!M160&lt;&gt;"", Recruiting_Data!L160&lt;&gt;"", Recruiting_Data!M160&lt;Recruiting_Data!L160), AND(Recruiting_Data!L160&lt;&gt;"", Recruiting_Data!K160&lt;&gt;"", Recruiting_Data!L160&lt;Recruiting_Data!K160)), TRUE, FALSE))</f>
        <v>0</v>
      </c>
    </row>
    <row r="161">
      <c r="A161" s="5" t="str">
        <f>IF(Recruiting_Data!A161="", "", Recruiting_Data!A161)</f>
        <v>C-10160</v>
      </c>
      <c r="B161" s="5" t="str">
        <f>IF(Recruiting_Data!B161="", "", Recruiting_Data!B161)</f>
        <v>REQ-2026-0017</v>
      </c>
      <c r="C161" s="5" t="str">
        <f>IF(AND(ISNUMBER(Recruiting_Data!N161), ISNUMBER(Recruiting_Data!P161)), Recruiting_Data!N161 - Recruiting_Data!P161, "")</f>
        <v/>
      </c>
      <c r="D161" s="5">
        <v>1.0</v>
      </c>
      <c r="E161" s="5" t="str">
        <f>IF(Recruiting_Data!R161="Open", TODAY() - Recruiting_Data!P161, "")</f>
        <v/>
      </c>
      <c r="F161" s="8" t="str">
        <f t="shared" si="1"/>
        <v/>
      </c>
      <c r="G161" s="5" t="b">
        <f>IF(A161="", "", IF(COUNTIF(Recruiting_Data!A:A, A161)&gt;1, TRUE, FALSE))</f>
        <v>0</v>
      </c>
      <c r="H161" s="5" t="b">
        <f>IF(A161="", "", IF(OR(AND(Recruiting_Data!N161&lt;&gt;"", Recruiting_Data!J161&lt;&gt;"", Recruiting_Data!N161&lt;Recruiting_Data!J161), AND(Recruiting_Data!M161&lt;&gt;"", Recruiting_Data!L161&lt;&gt;"", Recruiting_Data!M161&lt;Recruiting_Data!L161), AND(Recruiting_Data!L161&lt;&gt;"", Recruiting_Data!K161&lt;&gt;"", Recruiting_Data!L161&lt;Recruiting_Data!K161)), TRUE, FALSE))</f>
        <v>0</v>
      </c>
    </row>
    <row r="162">
      <c r="A162" s="5" t="str">
        <f>IF(Recruiting_Data!A162="", "", Recruiting_Data!A162)</f>
        <v>C-10161</v>
      </c>
      <c r="B162" s="5" t="str">
        <f>IF(Recruiting_Data!B162="", "", Recruiting_Data!B162)</f>
        <v>REQ-2026-0024</v>
      </c>
      <c r="C162" s="5" t="str">
        <f>IF(AND(ISNUMBER(Recruiting_Data!N162), ISNUMBER(Recruiting_Data!P162)), Recruiting_Data!N162 - Recruiting_Data!P162, "")</f>
        <v/>
      </c>
      <c r="D162" s="5">
        <v>1.0</v>
      </c>
      <c r="E162" s="5" t="str">
        <f>IF(Recruiting_Data!R162="Open", TODAY() - Recruiting_Data!P162, "")</f>
        <v/>
      </c>
      <c r="F162" s="8" t="str">
        <f t="shared" si="1"/>
        <v/>
      </c>
      <c r="G162" s="5" t="b">
        <f>IF(A162="", "", IF(COUNTIF(Recruiting_Data!A:A, A162)&gt;1, TRUE, FALSE))</f>
        <v>0</v>
      </c>
      <c r="H162" s="5" t="b">
        <f>IF(A162="", "", IF(OR(AND(Recruiting_Data!N162&lt;&gt;"", Recruiting_Data!J162&lt;&gt;"", Recruiting_Data!N162&lt;Recruiting_Data!J162), AND(Recruiting_Data!M162&lt;&gt;"", Recruiting_Data!L162&lt;&gt;"", Recruiting_Data!M162&lt;Recruiting_Data!L162), AND(Recruiting_Data!L162&lt;&gt;"", Recruiting_Data!K162&lt;&gt;"", Recruiting_Data!L162&lt;Recruiting_Data!K162)), TRUE, FALSE))</f>
        <v>0</v>
      </c>
    </row>
    <row r="163">
      <c r="A163" s="5" t="str">
        <f>IF(Recruiting_Data!A163="", "", Recruiting_Data!A163)</f>
        <v>C-10162</v>
      </c>
      <c r="B163" s="5" t="str">
        <f>IF(Recruiting_Data!B163="", "", Recruiting_Data!B163)</f>
        <v>REQ-2026-0017</v>
      </c>
      <c r="C163" s="5" t="str">
        <f>IF(AND(ISNUMBER(Recruiting_Data!N163), ISNUMBER(Recruiting_Data!P163)), Recruiting_Data!N163 - Recruiting_Data!P163, "")</f>
        <v/>
      </c>
      <c r="D163" s="5">
        <v>4.0</v>
      </c>
      <c r="E163" s="5" t="str">
        <f>IF(Recruiting_Data!R163="Open", TODAY() - Recruiting_Data!P163, "")</f>
        <v/>
      </c>
      <c r="F163" s="8" t="str">
        <f t="shared" si="1"/>
        <v/>
      </c>
      <c r="G163" s="5" t="b">
        <f>IF(A163="", "", IF(COUNTIF(Recruiting_Data!A:A, A163)&gt;1, TRUE, FALSE))</f>
        <v>0</v>
      </c>
      <c r="H163" s="5" t="b">
        <f>IF(A163="", "", IF(OR(AND(Recruiting_Data!N163&lt;&gt;"", Recruiting_Data!J163&lt;&gt;"", Recruiting_Data!N163&lt;Recruiting_Data!J163), AND(Recruiting_Data!M163&lt;&gt;"", Recruiting_Data!L163&lt;&gt;"", Recruiting_Data!M163&lt;Recruiting_Data!L163), AND(Recruiting_Data!L163&lt;&gt;"", Recruiting_Data!K163&lt;&gt;"", Recruiting_Data!L163&lt;Recruiting_Data!K163)), TRUE, FALSE))</f>
        <v>0</v>
      </c>
    </row>
    <row r="164">
      <c r="A164" s="5" t="str">
        <f>IF(Recruiting_Data!A164="", "", Recruiting_Data!A164)</f>
        <v>C-10163</v>
      </c>
      <c r="B164" s="5" t="str">
        <f>IF(Recruiting_Data!B164="", "", Recruiting_Data!B164)</f>
        <v>REQ-2026-0030</v>
      </c>
      <c r="C164" s="5" t="str">
        <f>IF(AND(ISNUMBER(Recruiting_Data!N164), ISNUMBER(Recruiting_Data!P164)), Recruiting_Data!N164 - Recruiting_Data!P164, "")</f>
        <v/>
      </c>
      <c r="D164" s="5">
        <v>4.0</v>
      </c>
      <c r="E164" s="5" t="str">
        <f>IF(Recruiting_Data!R164="Open", TODAY() - Recruiting_Data!P164, "")</f>
        <v/>
      </c>
      <c r="F164" s="8" t="str">
        <f t="shared" si="1"/>
        <v/>
      </c>
      <c r="G164" s="5" t="b">
        <f>IF(A164="", "", IF(COUNTIF(Recruiting_Data!A:A, A164)&gt;1, TRUE, FALSE))</f>
        <v>0</v>
      </c>
      <c r="H164" s="5" t="b">
        <f>IF(A164="", "", IF(OR(AND(Recruiting_Data!N164&lt;&gt;"", Recruiting_Data!J164&lt;&gt;"", Recruiting_Data!N164&lt;Recruiting_Data!J164), AND(Recruiting_Data!M164&lt;&gt;"", Recruiting_Data!L164&lt;&gt;"", Recruiting_Data!M164&lt;Recruiting_Data!L164), AND(Recruiting_Data!L164&lt;&gt;"", Recruiting_Data!K164&lt;&gt;"", Recruiting_Data!L164&lt;Recruiting_Data!K164)), TRUE, FALSE))</f>
        <v>0</v>
      </c>
    </row>
    <row r="165">
      <c r="A165" s="5" t="str">
        <f>IF(Recruiting_Data!A165="", "", Recruiting_Data!A165)</f>
        <v>C-10164</v>
      </c>
      <c r="B165" s="5" t="str">
        <f>IF(Recruiting_Data!B165="", "", Recruiting_Data!B165)</f>
        <v>REQ-2026-0007</v>
      </c>
      <c r="C165" s="5" t="str">
        <f>IF(AND(ISNUMBER(Recruiting_Data!N165), ISNUMBER(Recruiting_Data!P165)), Recruiting_Data!N165 - Recruiting_Data!P165, "")</f>
        <v/>
      </c>
      <c r="D165" s="5">
        <v>3.0</v>
      </c>
      <c r="E165" s="5">
        <f>IF(Recruiting_Data!R165="Open", TODAY() - Recruiting_Data!P165, "")</f>
        <v>198</v>
      </c>
      <c r="F165" s="8" t="str">
        <f t="shared" si="1"/>
        <v>60+</v>
      </c>
      <c r="G165" s="5" t="b">
        <f>IF(A165="", "", IF(COUNTIF(Recruiting_Data!A:A, A165)&gt;1, TRUE, FALSE))</f>
        <v>0</v>
      </c>
      <c r="H165" s="5" t="b">
        <f>IF(A165="", "", IF(OR(AND(Recruiting_Data!N165&lt;&gt;"", Recruiting_Data!J165&lt;&gt;"", Recruiting_Data!N165&lt;Recruiting_Data!J165), AND(Recruiting_Data!M165&lt;&gt;"", Recruiting_Data!L165&lt;&gt;"", Recruiting_Data!M165&lt;Recruiting_Data!L165), AND(Recruiting_Data!L165&lt;&gt;"", Recruiting_Data!K165&lt;&gt;"", Recruiting_Data!L165&lt;Recruiting_Data!K165)), TRUE, FALSE))</f>
        <v>0</v>
      </c>
    </row>
    <row r="166">
      <c r="A166" s="5" t="str">
        <f>IF(Recruiting_Data!A166="", "", Recruiting_Data!A166)</f>
        <v>C-10165</v>
      </c>
      <c r="B166" s="5" t="str">
        <f>IF(Recruiting_Data!B166="", "", Recruiting_Data!B166)</f>
        <v>REQ-2026-0013</v>
      </c>
      <c r="C166" s="5" t="str">
        <f>IF(AND(ISNUMBER(Recruiting_Data!N166), ISNUMBER(Recruiting_Data!P166)), Recruiting_Data!N166 - Recruiting_Data!P166, "")</f>
        <v/>
      </c>
      <c r="D166" s="5">
        <v>1.0</v>
      </c>
      <c r="E166" s="5" t="str">
        <f>IF(Recruiting_Data!R166="Open", TODAY() - Recruiting_Data!P166, "")</f>
        <v/>
      </c>
      <c r="F166" s="8" t="str">
        <f t="shared" si="1"/>
        <v/>
      </c>
      <c r="G166" s="5" t="b">
        <f>IF(A166="", "", IF(COUNTIF(Recruiting_Data!A:A, A166)&gt;1, TRUE, FALSE))</f>
        <v>0</v>
      </c>
      <c r="H166" s="5" t="b">
        <f>IF(A166="", "", IF(OR(AND(Recruiting_Data!N166&lt;&gt;"", Recruiting_Data!J166&lt;&gt;"", Recruiting_Data!N166&lt;Recruiting_Data!J166), AND(Recruiting_Data!M166&lt;&gt;"", Recruiting_Data!L166&lt;&gt;"", Recruiting_Data!M166&lt;Recruiting_Data!L166), AND(Recruiting_Data!L166&lt;&gt;"", Recruiting_Data!K166&lt;&gt;"", Recruiting_Data!L166&lt;Recruiting_Data!K166)), TRUE, FALSE))</f>
        <v>0</v>
      </c>
    </row>
    <row r="167">
      <c r="A167" s="5" t="str">
        <f>IF(Recruiting_Data!A167="", "", Recruiting_Data!A167)</f>
        <v>C-10166</v>
      </c>
      <c r="B167" s="5" t="str">
        <f>IF(Recruiting_Data!B167="", "", Recruiting_Data!B167)</f>
        <v>REQ-2026-0042</v>
      </c>
      <c r="C167" s="5" t="str">
        <f>IF(AND(ISNUMBER(Recruiting_Data!N167), ISNUMBER(Recruiting_Data!P167)), Recruiting_Data!N167 - Recruiting_Data!P167, "")</f>
        <v/>
      </c>
      <c r="D167" s="5">
        <v>3.0</v>
      </c>
      <c r="E167" s="5" t="str">
        <f>IF(Recruiting_Data!R167="Open", TODAY() - Recruiting_Data!P167, "")</f>
        <v/>
      </c>
      <c r="F167" s="8" t="str">
        <f t="shared" si="1"/>
        <v/>
      </c>
      <c r="G167" s="5" t="b">
        <f>IF(A167="", "", IF(COUNTIF(Recruiting_Data!A:A, A167)&gt;1, TRUE, FALSE))</f>
        <v>0</v>
      </c>
      <c r="H167" s="5" t="b">
        <f>IF(A167="", "", IF(OR(AND(Recruiting_Data!N167&lt;&gt;"", Recruiting_Data!J167&lt;&gt;"", Recruiting_Data!N167&lt;Recruiting_Data!J167), AND(Recruiting_Data!M167&lt;&gt;"", Recruiting_Data!L167&lt;&gt;"", Recruiting_Data!M167&lt;Recruiting_Data!L167), AND(Recruiting_Data!L167&lt;&gt;"", Recruiting_Data!K167&lt;&gt;"", Recruiting_Data!L167&lt;Recruiting_Data!K167)), TRUE, FALSE))</f>
        <v>0</v>
      </c>
    </row>
    <row r="168">
      <c r="A168" s="5" t="str">
        <f>IF(Recruiting_Data!A168="", "", Recruiting_Data!A168)</f>
        <v>C-10167</v>
      </c>
      <c r="B168" s="5" t="str">
        <f>IF(Recruiting_Data!B168="", "", Recruiting_Data!B168)</f>
        <v>REQ-2026-0032</v>
      </c>
      <c r="C168" s="5" t="str">
        <f>IF(AND(ISNUMBER(Recruiting_Data!N168), ISNUMBER(Recruiting_Data!P168)), Recruiting_Data!N168 - Recruiting_Data!P168, "")</f>
        <v/>
      </c>
      <c r="D168" s="5">
        <v>1.0</v>
      </c>
      <c r="E168" s="5">
        <f>IF(Recruiting_Data!R168="Open", TODAY() - Recruiting_Data!P168, "")</f>
        <v>204</v>
      </c>
      <c r="F168" s="8" t="str">
        <f t="shared" si="1"/>
        <v>60+</v>
      </c>
      <c r="G168" s="5" t="b">
        <f>IF(A168="", "", IF(COUNTIF(Recruiting_Data!A:A, A168)&gt;1, TRUE, FALSE))</f>
        <v>0</v>
      </c>
      <c r="H168" s="5" t="b">
        <f>IF(A168="", "", IF(OR(AND(Recruiting_Data!N168&lt;&gt;"", Recruiting_Data!J168&lt;&gt;"", Recruiting_Data!N168&lt;Recruiting_Data!J168), AND(Recruiting_Data!M168&lt;&gt;"", Recruiting_Data!L168&lt;&gt;"", Recruiting_Data!M168&lt;Recruiting_Data!L168), AND(Recruiting_Data!L168&lt;&gt;"", Recruiting_Data!K168&lt;&gt;"", Recruiting_Data!L168&lt;Recruiting_Data!K168)), TRUE, FALSE))</f>
        <v>0</v>
      </c>
    </row>
    <row r="169">
      <c r="A169" s="5" t="str">
        <f>IF(Recruiting_Data!A169="", "", Recruiting_Data!A169)</f>
        <v>C-10168</v>
      </c>
      <c r="B169" s="5" t="str">
        <f>IF(Recruiting_Data!B169="", "", Recruiting_Data!B169)</f>
        <v>REQ-2026-0042</v>
      </c>
      <c r="C169" s="5" t="str">
        <f>IF(AND(ISNUMBER(Recruiting_Data!N169), ISNUMBER(Recruiting_Data!P169)), Recruiting_Data!N169 - Recruiting_Data!P169, "")</f>
        <v/>
      </c>
      <c r="D169" s="5">
        <v>1.0</v>
      </c>
      <c r="E169" s="5" t="str">
        <f>IF(Recruiting_Data!R169="Open", TODAY() - Recruiting_Data!P169, "")</f>
        <v/>
      </c>
      <c r="F169" s="8" t="str">
        <f t="shared" si="1"/>
        <v/>
      </c>
      <c r="G169" s="5" t="b">
        <f>IF(A169="", "", IF(COUNTIF(Recruiting_Data!A:A, A169)&gt;1, TRUE, FALSE))</f>
        <v>0</v>
      </c>
      <c r="H169" s="5" t="b">
        <f>IF(A169="", "", IF(OR(AND(Recruiting_Data!N169&lt;&gt;"", Recruiting_Data!J169&lt;&gt;"", Recruiting_Data!N169&lt;Recruiting_Data!J169), AND(Recruiting_Data!M169&lt;&gt;"", Recruiting_Data!L169&lt;&gt;"", Recruiting_Data!M169&lt;Recruiting_Data!L169), AND(Recruiting_Data!L169&lt;&gt;"", Recruiting_Data!K169&lt;&gt;"", Recruiting_Data!L169&lt;Recruiting_Data!K169)), TRUE, FALSE))</f>
        <v>0</v>
      </c>
    </row>
    <row r="170">
      <c r="A170" s="5" t="str">
        <f>IF(Recruiting_Data!A170="", "", Recruiting_Data!A170)</f>
        <v>C-10169</v>
      </c>
      <c r="B170" s="5" t="str">
        <f>IF(Recruiting_Data!B170="", "", Recruiting_Data!B170)</f>
        <v>REQ-2026-0038</v>
      </c>
      <c r="C170" s="5" t="str">
        <f>IF(AND(ISNUMBER(Recruiting_Data!N170), ISNUMBER(Recruiting_Data!P170)), Recruiting_Data!N170 - Recruiting_Data!P170, "")</f>
        <v/>
      </c>
      <c r="D170" s="5">
        <v>3.0</v>
      </c>
      <c r="E170" s="5" t="str">
        <f>IF(Recruiting_Data!R170="Open", TODAY() - Recruiting_Data!P170, "")</f>
        <v/>
      </c>
      <c r="F170" s="8" t="str">
        <f t="shared" si="1"/>
        <v/>
      </c>
      <c r="G170" s="5" t="b">
        <f>IF(A170="", "", IF(COUNTIF(Recruiting_Data!A:A, A170)&gt;1, TRUE, FALSE))</f>
        <v>0</v>
      </c>
      <c r="H170" s="5" t="b">
        <f>IF(A170="", "", IF(OR(AND(Recruiting_Data!N170&lt;&gt;"", Recruiting_Data!J170&lt;&gt;"", Recruiting_Data!N170&lt;Recruiting_Data!J170), AND(Recruiting_Data!M170&lt;&gt;"", Recruiting_Data!L170&lt;&gt;"", Recruiting_Data!M170&lt;Recruiting_Data!L170), AND(Recruiting_Data!L170&lt;&gt;"", Recruiting_Data!K170&lt;&gt;"", Recruiting_Data!L170&lt;Recruiting_Data!K170)), TRUE, FALSE))</f>
        <v>0</v>
      </c>
    </row>
    <row r="171">
      <c r="A171" s="5" t="str">
        <f>IF(Recruiting_Data!A171="", "", Recruiting_Data!A171)</f>
        <v>C-10170</v>
      </c>
      <c r="B171" s="5" t="str">
        <f>IF(Recruiting_Data!B171="", "", Recruiting_Data!B171)</f>
        <v>REQ-2026-0026</v>
      </c>
      <c r="C171" s="5">
        <f>IF(AND(ISNUMBER(Recruiting_Data!N171), ISNUMBER(Recruiting_Data!P171)), Recruiting_Data!N171 - Recruiting_Data!P171, "")</f>
        <v>44</v>
      </c>
      <c r="D171" s="5">
        <v>5.0</v>
      </c>
      <c r="E171" s="5" t="str">
        <f>IF(Recruiting_Data!R171="Open", TODAY() - Recruiting_Data!P171, "")</f>
        <v/>
      </c>
      <c r="F171" s="8" t="str">
        <f t="shared" si="1"/>
        <v/>
      </c>
      <c r="G171" s="5" t="b">
        <f>IF(A171="", "", IF(COUNTIF(Recruiting_Data!A:A, A171)&gt;1, TRUE, FALSE))</f>
        <v>0</v>
      </c>
      <c r="H171" s="5" t="b">
        <f>IF(A171="", "", IF(OR(AND(Recruiting_Data!N171&lt;&gt;"", Recruiting_Data!J171&lt;&gt;"", Recruiting_Data!N171&lt;Recruiting_Data!J171), AND(Recruiting_Data!M171&lt;&gt;"", Recruiting_Data!L171&lt;&gt;"", Recruiting_Data!M171&lt;Recruiting_Data!L171), AND(Recruiting_Data!L171&lt;&gt;"", Recruiting_Data!K171&lt;&gt;"", Recruiting_Data!L171&lt;Recruiting_Data!K171)), TRUE, FALSE))</f>
        <v>0</v>
      </c>
    </row>
    <row r="172">
      <c r="A172" s="5" t="str">
        <f>IF(Recruiting_Data!A172="", "", Recruiting_Data!A172)</f>
        <v>C-10171</v>
      </c>
      <c r="B172" s="5" t="str">
        <f>IF(Recruiting_Data!B172="", "", Recruiting_Data!B172)</f>
        <v>REQ-2026-0022</v>
      </c>
      <c r="C172" s="5" t="str">
        <f>IF(AND(ISNUMBER(Recruiting_Data!N172), ISNUMBER(Recruiting_Data!P172)), Recruiting_Data!N172 - Recruiting_Data!P172, "")</f>
        <v/>
      </c>
      <c r="D172" s="5">
        <v>2.0</v>
      </c>
      <c r="E172" s="5" t="str">
        <f>IF(Recruiting_Data!R172="Open", TODAY() - Recruiting_Data!P172, "")</f>
        <v/>
      </c>
      <c r="F172" s="8" t="str">
        <f t="shared" si="1"/>
        <v/>
      </c>
      <c r="G172" s="5" t="b">
        <f>IF(A172="", "", IF(COUNTIF(Recruiting_Data!A:A, A172)&gt;1, TRUE, FALSE))</f>
        <v>0</v>
      </c>
      <c r="H172" s="5" t="b">
        <f>IF(A172="", "", IF(OR(AND(Recruiting_Data!N172&lt;&gt;"", Recruiting_Data!J172&lt;&gt;"", Recruiting_Data!N172&lt;Recruiting_Data!J172), AND(Recruiting_Data!M172&lt;&gt;"", Recruiting_Data!L172&lt;&gt;"", Recruiting_Data!M172&lt;Recruiting_Data!L172), AND(Recruiting_Data!L172&lt;&gt;"", Recruiting_Data!K172&lt;&gt;"", Recruiting_Data!L172&lt;Recruiting_Data!K172)), TRUE, FALSE))</f>
        <v>0</v>
      </c>
    </row>
    <row r="173">
      <c r="A173" s="5" t="str">
        <f>IF(Recruiting_Data!A173="", "", Recruiting_Data!A173)</f>
        <v>C-10172</v>
      </c>
      <c r="B173" s="5" t="str">
        <f>IF(Recruiting_Data!B173="", "", Recruiting_Data!B173)</f>
        <v>REQ-2026-0023</v>
      </c>
      <c r="C173" s="5" t="str">
        <f>IF(AND(ISNUMBER(Recruiting_Data!N173), ISNUMBER(Recruiting_Data!P173)), Recruiting_Data!N173 - Recruiting_Data!P173, "")</f>
        <v/>
      </c>
      <c r="D173" s="5">
        <v>2.0</v>
      </c>
      <c r="E173" s="5" t="str">
        <f>IF(Recruiting_Data!R173="Open", TODAY() - Recruiting_Data!P173, "")</f>
        <v/>
      </c>
      <c r="F173" s="8" t="str">
        <f t="shared" si="1"/>
        <v/>
      </c>
      <c r="G173" s="5" t="b">
        <f>IF(A173="", "", IF(COUNTIF(Recruiting_Data!A:A, A173)&gt;1, TRUE, FALSE))</f>
        <v>0</v>
      </c>
      <c r="H173" s="5" t="b">
        <f>IF(A173="", "", IF(OR(AND(Recruiting_Data!N173&lt;&gt;"", Recruiting_Data!J173&lt;&gt;"", Recruiting_Data!N173&lt;Recruiting_Data!J173), AND(Recruiting_Data!M173&lt;&gt;"", Recruiting_Data!L173&lt;&gt;"", Recruiting_Data!M173&lt;Recruiting_Data!L173), AND(Recruiting_Data!L173&lt;&gt;"", Recruiting_Data!K173&lt;&gt;"", Recruiting_Data!L173&lt;Recruiting_Data!K173)), TRUE, FALSE))</f>
        <v>0</v>
      </c>
    </row>
    <row r="174">
      <c r="A174" s="5" t="str">
        <f>IF(Recruiting_Data!A174="", "", Recruiting_Data!A174)</f>
        <v>C-10173</v>
      </c>
      <c r="B174" s="5" t="str">
        <f>IF(Recruiting_Data!B174="", "", Recruiting_Data!B174)</f>
        <v>REQ-2026-0004</v>
      </c>
      <c r="C174" s="5" t="str">
        <f>IF(AND(ISNUMBER(Recruiting_Data!N174), ISNUMBER(Recruiting_Data!P174)), Recruiting_Data!N174 - Recruiting_Data!P174, "")</f>
        <v/>
      </c>
      <c r="D174" s="5">
        <v>1.0</v>
      </c>
      <c r="E174" s="5" t="str">
        <f>IF(Recruiting_Data!R174="Open", TODAY() - Recruiting_Data!P174, "")</f>
        <v/>
      </c>
      <c r="F174" s="8" t="str">
        <f t="shared" si="1"/>
        <v/>
      </c>
      <c r="G174" s="5" t="b">
        <f>IF(A174="", "", IF(COUNTIF(Recruiting_Data!A:A, A174)&gt;1, TRUE, FALSE))</f>
        <v>0</v>
      </c>
      <c r="H174" s="5" t="b">
        <f>IF(A174="", "", IF(OR(AND(Recruiting_Data!N174&lt;&gt;"", Recruiting_Data!J174&lt;&gt;"", Recruiting_Data!N174&lt;Recruiting_Data!J174), AND(Recruiting_Data!M174&lt;&gt;"", Recruiting_Data!L174&lt;&gt;"", Recruiting_Data!M174&lt;Recruiting_Data!L174), AND(Recruiting_Data!L174&lt;&gt;"", Recruiting_Data!K174&lt;&gt;"", Recruiting_Data!L174&lt;Recruiting_Data!K174)), TRUE, FALSE))</f>
        <v>0</v>
      </c>
    </row>
    <row r="175">
      <c r="A175" s="5" t="str">
        <f>IF(Recruiting_Data!A175="", "", Recruiting_Data!A175)</f>
        <v>C-10174</v>
      </c>
      <c r="B175" s="5" t="str">
        <f>IF(Recruiting_Data!B175="", "", Recruiting_Data!B175)</f>
        <v>REQ-2026-0022</v>
      </c>
      <c r="C175" s="5" t="str">
        <f>IF(AND(ISNUMBER(Recruiting_Data!N175), ISNUMBER(Recruiting_Data!P175)), Recruiting_Data!N175 - Recruiting_Data!P175, "")</f>
        <v/>
      </c>
      <c r="D175" s="5">
        <v>1.0</v>
      </c>
      <c r="E175" s="5" t="str">
        <f>IF(Recruiting_Data!R175="Open", TODAY() - Recruiting_Data!P175, "")</f>
        <v/>
      </c>
      <c r="F175" s="8" t="str">
        <f t="shared" si="1"/>
        <v/>
      </c>
      <c r="G175" s="5" t="b">
        <f>IF(A175="", "", IF(COUNTIF(Recruiting_Data!A:A, A175)&gt;1, TRUE, FALSE))</f>
        <v>0</v>
      </c>
      <c r="H175" s="5" t="b">
        <f>IF(A175="", "", IF(OR(AND(Recruiting_Data!N175&lt;&gt;"", Recruiting_Data!J175&lt;&gt;"", Recruiting_Data!N175&lt;Recruiting_Data!J175), AND(Recruiting_Data!M175&lt;&gt;"", Recruiting_Data!L175&lt;&gt;"", Recruiting_Data!M175&lt;Recruiting_Data!L175), AND(Recruiting_Data!L175&lt;&gt;"", Recruiting_Data!K175&lt;&gt;"", Recruiting_Data!L175&lt;Recruiting_Data!K175)), TRUE, FALSE))</f>
        <v>0</v>
      </c>
    </row>
    <row r="176">
      <c r="A176" s="5" t="str">
        <f>IF(Recruiting_Data!A176="", "", Recruiting_Data!A176)</f>
        <v>C-10175</v>
      </c>
      <c r="B176" s="5" t="str">
        <f>IF(Recruiting_Data!B176="", "", Recruiting_Data!B176)</f>
        <v>REQ-2026-0004</v>
      </c>
      <c r="C176" s="5">
        <f>IF(AND(ISNUMBER(Recruiting_Data!N176), ISNUMBER(Recruiting_Data!P176)), Recruiting_Data!N176 - Recruiting_Data!P176, "")</f>
        <v>34</v>
      </c>
      <c r="D176" s="5">
        <v>5.0</v>
      </c>
      <c r="E176" s="5" t="str">
        <f>IF(Recruiting_Data!R176="Open", TODAY() - Recruiting_Data!P176, "")</f>
        <v/>
      </c>
      <c r="F176" s="8" t="str">
        <f t="shared" si="1"/>
        <v/>
      </c>
      <c r="G176" s="5" t="b">
        <f>IF(A176="", "", IF(COUNTIF(Recruiting_Data!A:A, A176)&gt;1, TRUE, FALSE))</f>
        <v>0</v>
      </c>
      <c r="H176" s="5" t="b">
        <f>IF(A176="", "", IF(OR(AND(Recruiting_Data!N176&lt;&gt;"", Recruiting_Data!J176&lt;&gt;"", Recruiting_Data!N176&lt;Recruiting_Data!J176), AND(Recruiting_Data!M176&lt;&gt;"", Recruiting_Data!L176&lt;&gt;"", Recruiting_Data!M176&lt;Recruiting_Data!L176), AND(Recruiting_Data!L176&lt;&gt;"", Recruiting_Data!K176&lt;&gt;"", Recruiting_Data!L176&lt;Recruiting_Data!K176)), TRUE, FALSE))</f>
        <v>0</v>
      </c>
    </row>
    <row r="177">
      <c r="A177" s="5" t="str">
        <f>IF(Recruiting_Data!A177="", "", Recruiting_Data!A177)</f>
        <v>C-10176</v>
      </c>
      <c r="B177" s="5" t="str">
        <f>IF(Recruiting_Data!B177="", "", Recruiting_Data!B177)</f>
        <v>REQ-2026-0027</v>
      </c>
      <c r="C177" s="5" t="str">
        <f>IF(AND(ISNUMBER(Recruiting_Data!N177), ISNUMBER(Recruiting_Data!P177)), Recruiting_Data!N177 - Recruiting_Data!P177, "")</f>
        <v/>
      </c>
      <c r="D177" s="5">
        <v>4.0</v>
      </c>
      <c r="E177" s="5" t="str">
        <f>IF(Recruiting_Data!R177="Open", TODAY() - Recruiting_Data!P177, "")</f>
        <v/>
      </c>
      <c r="F177" s="8" t="str">
        <f t="shared" si="1"/>
        <v/>
      </c>
      <c r="G177" s="5" t="b">
        <f>IF(A177="", "", IF(COUNTIF(Recruiting_Data!A:A, A177)&gt;1, TRUE, FALSE))</f>
        <v>0</v>
      </c>
      <c r="H177" s="5" t="b">
        <f>IF(A177="", "", IF(OR(AND(Recruiting_Data!N177&lt;&gt;"", Recruiting_Data!J177&lt;&gt;"", Recruiting_Data!N177&lt;Recruiting_Data!J177), AND(Recruiting_Data!M177&lt;&gt;"", Recruiting_Data!L177&lt;&gt;"", Recruiting_Data!M177&lt;Recruiting_Data!L177), AND(Recruiting_Data!L177&lt;&gt;"", Recruiting_Data!K177&lt;&gt;"", Recruiting_Data!L177&lt;Recruiting_Data!K177)), TRUE, FALSE))</f>
        <v>0</v>
      </c>
    </row>
    <row r="178">
      <c r="A178" s="5" t="str">
        <f>IF(Recruiting_Data!A178="", "", Recruiting_Data!A178)</f>
        <v>C-10177</v>
      </c>
      <c r="B178" s="5" t="str">
        <f>IF(Recruiting_Data!B178="", "", Recruiting_Data!B178)</f>
        <v>REQ-2026-0044</v>
      </c>
      <c r="C178" s="5" t="str">
        <f>IF(AND(ISNUMBER(Recruiting_Data!N178), ISNUMBER(Recruiting_Data!P178)), Recruiting_Data!N178 - Recruiting_Data!P178, "")</f>
        <v/>
      </c>
      <c r="D178" s="5">
        <v>3.0</v>
      </c>
      <c r="E178" s="5" t="str">
        <f>IF(Recruiting_Data!R178="Open", TODAY() - Recruiting_Data!P178, "")</f>
        <v/>
      </c>
      <c r="F178" s="8" t="str">
        <f t="shared" si="1"/>
        <v/>
      </c>
      <c r="G178" s="5" t="b">
        <f>IF(A178="", "", IF(COUNTIF(Recruiting_Data!A:A, A178)&gt;1, TRUE, FALSE))</f>
        <v>0</v>
      </c>
      <c r="H178" s="5" t="b">
        <f>IF(A178="", "", IF(OR(AND(Recruiting_Data!N178&lt;&gt;"", Recruiting_Data!J178&lt;&gt;"", Recruiting_Data!N178&lt;Recruiting_Data!J178), AND(Recruiting_Data!M178&lt;&gt;"", Recruiting_Data!L178&lt;&gt;"", Recruiting_Data!M178&lt;Recruiting_Data!L178), AND(Recruiting_Data!L178&lt;&gt;"", Recruiting_Data!K178&lt;&gt;"", Recruiting_Data!L178&lt;Recruiting_Data!K178)), TRUE, FALSE))</f>
        <v>0</v>
      </c>
    </row>
    <row r="179">
      <c r="A179" s="5" t="str">
        <f>IF(Recruiting_Data!A179="", "", Recruiting_Data!A179)</f>
        <v>C-10178</v>
      </c>
      <c r="B179" s="5" t="str">
        <f>IF(Recruiting_Data!B179="", "", Recruiting_Data!B179)</f>
        <v>REQ-2026-0021</v>
      </c>
      <c r="C179" s="5" t="str">
        <f>IF(AND(ISNUMBER(Recruiting_Data!N179), ISNUMBER(Recruiting_Data!P179)), Recruiting_Data!N179 - Recruiting_Data!P179, "")</f>
        <v/>
      </c>
      <c r="D179" s="5">
        <v>1.0</v>
      </c>
      <c r="E179" s="5" t="str">
        <f>IF(Recruiting_Data!R179="Open", TODAY() - Recruiting_Data!P179, "")</f>
        <v/>
      </c>
      <c r="F179" s="8" t="str">
        <f t="shared" si="1"/>
        <v/>
      </c>
      <c r="G179" s="5" t="b">
        <f>IF(A179="", "", IF(COUNTIF(Recruiting_Data!A:A, A179)&gt;1, TRUE, FALSE))</f>
        <v>0</v>
      </c>
      <c r="H179" s="5" t="b">
        <f>IF(A179="", "", IF(OR(AND(Recruiting_Data!N179&lt;&gt;"", Recruiting_Data!J179&lt;&gt;"", Recruiting_Data!N179&lt;Recruiting_Data!J179), AND(Recruiting_Data!M179&lt;&gt;"", Recruiting_Data!L179&lt;&gt;"", Recruiting_Data!M179&lt;Recruiting_Data!L179), AND(Recruiting_Data!L179&lt;&gt;"", Recruiting_Data!K179&lt;&gt;"", Recruiting_Data!L179&lt;Recruiting_Data!K179)), TRUE, FALSE))</f>
        <v>0</v>
      </c>
    </row>
    <row r="180">
      <c r="A180" s="5" t="str">
        <f>IF(Recruiting_Data!A180="", "", Recruiting_Data!A180)</f>
        <v>C-10179</v>
      </c>
      <c r="B180" s="5" t="str">
        <f>IF(Recruiting_Data!B180="", "", Recruiting_Data!B180)</f>
        <v>REQ-2026-0018</v>
      </c>
      <c r="C180" s="5">
        <f>IF(AND(ISNUMBER(Recruiting_Data!N180), ISNUMBER(Recruiting_Data!P180)), Recruiting_Data!N180 - Recruiting_Data!P180, "")</f>
        <v>52</v>
      </c>
      <c r="D180" s="5">
        <v>5.0</v>
      </c>
      <c r="E180" s="5" t="str">
        <f>IF(Recruiting_Data!R180="Open", TODAY() - Recruiting_Data!P180, "")</f>
        <v/>
      </c>
      <c r="F180" s="8" t="str">
        <f t="shared" si="1"/>
        <v/>
      </c>
      <c r="G180" s="5" t="b">
        <f>IF(A180="", "", IF(COUNTIF(Recruiting_Data!A:A, A180)&gt;1, TRUE, FALSE))</f>
        <v>0</v>
      </c>
      <c r="H180" s="5" t="b">
        <f>IF(A180="", "", IF(OR(AND(Recruiting_Data!N180&lt;&gt;"", Recruiting_Data!J180&lt;&gt;"", Recruiting_Data!N180&lt;Recruiting_Data!J180), AND(Recruiting_Data!M180&lt;&gt;"", Recruiting_Data!L180&lt;&gt;"", Recruiting_Data!M180&lt;Recruiting_Data!L180), AND(Recruiting_Data!L180&lt;&gt;"", Recruiting_Data!K180&lt;&gt;"", Recruiting_Data!L180&lt;Recruiting_Data!K180)), TRUE, FALSE))</f>
        <v>0</v>
      </c>
    </row>
    <row r="181">
      <c r="A181" s="5" t="str">
        <f>IF(Recruiting_Data!A181="", "", Recruiting_Data!A181)</f>
        <v>C-10180</v>
      </c>
      <c r="B181" s="5" t="str">
        <f>IF(Recruiting_Data!B181="", "", Recruiting_Data!B181)</f>
        <v>REQ-2026-0049</v>
      </c>
      <c r="C181" s="5" t="str">
        <f>IF(AND(ISNUMBER(Recruiting_Data!N181), ISNUMBER(Recruiting_Data!P181)), Recruiting_Data!N181 - Recruiting_Data!P181, "")</f>
        <v/>
      </c>
      <c r="D181" s="5">
        <v>1.0</v>
      </c>
      <c r="E181" s="5">
        <f>IF(Recruiting_Data!R181="Open", TODAY() - Recruiting_Data!P181, "")</f>
        <v>216</v>
      </c>
      <c r="F181" s="8" t="str">
        <f t="shared" si="1"/>
        <v>60+</v>
      </c>
      <c r="G181" s="5" t="b">
        <f>IF(A181="", "", IF(COUNTIF(Recruiting_Data!A:A, A181)&gt;1, TRUE, FALSE))</f>
        <v>0</v>
      </c>
      <c r="H181" s="5" t="b">
        <f>IF(A181="", "", IF(OR(AND(Recruiting_Data!N181&lt;&gt;"", Recruiting_Data!J181&lt;&gt;"", Recruiting_Data!N181&lt;Recruiting_Data!J181), AND(Recruiting_Data!M181&lt;&gt;"", Recruiting_Data!L181&lt;&gt;"", Recruiting_Data!M181&lt;Recruiting_Data!L181), AND(Recruiting_Data!L181&lt;&gt;"", Recruiting_Data!K181&lt;&gt;"", Recruiting_Data!L181&lt;Recruiting_Data!K181)), TRUE, FALSE))</f>
        <v>0</v>
      </c>
    </row>
    <row r="182">
      <c r="A182" s="5" t="str">
        <f>IF(Recruiting_Data!A182="", "", Recruiting_Data!A182)</f>
        <v>C-10181</v>
      </c>
      <c r="B182" s="5" t="str">
        <f>IF(Recruiting_Data!B182="", "", Recruiting_Data!B182)</f>
        <v>REQ-2026-0024</v>
      </c>
      <c r="C182" s="5">
        <f>IF(AND(ISNUMBER(Recruiting_Data!N182), ISNUMBER(Recruiting_Data!P182)), Recruiting_Data!N182 - Recruiting_Data!P182, "")</f>
        <v>27</v>
      </c>
      <c r="D182" s="5">
        <v>5.0</v>
      </c>
      <c r="E182" s="5" t="str">
        <f>IF(Recruiting_Data!R182="Open", TODAY() - Recruiting_Data!P182, "")</f>
        <v/>
      </c>
      <c r="F182" s="8" t="str">
        <f t="shared" si="1"/>
        <v/>
      </c>
      <c r="G182" s="5" t="b">
        <f>IF(A182="", "", IF(COUNTIF(Recruiting_Data!A:A, A182)&gt;1, TRUE, FALSE))</f>
        <v>0</v>
      </c>
      <c r="H182" s="5" t="b">
        <f>IF(A182="", "", IF(OR(AND(Recruiting_Data!N182&lt;&gt;"", Recruiting_Data!J182&lt;&gt;"", Recruiting_Data!N182&lt;Recruiting_Data!J182), AND(Recruiting_Data!M182&lt;&gt;"", Recruiting_Data!L182&lt;&gt;"", Recruiting_Data!M182&lt;Recruiting_Data!L182), AND(Recruiting_Data!L182&lt;&gt;"", Recruiting_Data!K182&lt;&gt;"", Recruiting_Data!L182&lt;Recruiting_Data!K182)), TRUE, FALSE))</f>
        <v>0</v>
      </c>
    </row>
    <row r="183">
      <c r="A183" s="5" t="str">
        <f>IF(Recruiting_Data!A183="", "", Recruiting_Data!A183)</f>
        <v>C-10182</v>
      </c>
      <c r="B183" s="5" t="str">
        <f>IF(Recruiting_Data!B183="", "", Recruiting_Data!B183)</f>
        <v>REQ-2026-0037</v>
      </c>
      <c r="C183" s="5">
        <f>IF(AND(ISNUMBER(Recruiting_Data!N183), ISNUMBER(Recruiting_Data!P183)), Recruiting_Data!N183 - Recruiting_Data!P183, "")</f>
        <v>36</v>
      </c>
      <c r="D183" s="5">
        <v>5.0</v>
      </c>
      <c r="E183" s="5" t="str">
        <f>IF(Recruiting_Data!R183="Open", TODAY() - Recruiting_Data!P183, "")</f>
        <v/>
      </c>
      <c r="F183" s="8" t="str">
        <f t="shared" si="1"/>
        <v/>
      </c>
      <c r="G183" s="5" t="b">
        <f>IF(A183="", "", IF(COUNTIF(Recruiting_Data!A:A, A183)&gt;1, TRUE, FALSE))</f>
        <v>0</v>
      </c>
      <c r="H183" s="5" t="b">
        <f>IF(A183="", "", IF(OR(AND(Recruiting_Data!N183&lt;&gt;"", Recruiting_Data!J183&lt;&gt;"", Recruiting_Data!N183&lt;Recruiting_Data!J183), AND(Recruiting_Data!M183&lt;&gt;"", Recruiting_Data!L183&lt;&gt;"", Recruiting_Data!M183&lt;Recruiting_Data!L183), AND(Recruiting_Data!L183&lt;&gt;"", Recruiting_Data!K183&lt;&gt;"", Recruiting_Data!L183&lt;Recruiting_Data!K183)), TRUE, FALSE))</f>
        <v>0</v>
      </c>
    </row>
    <row r="184">
      <c r="A184" s="5" t="str">
        <f>IF(Recruiting_Data!A184="", "", Recruiting_Data!A184)</f>
        <v>C-10183</v>
      </c>
      <c r="B184" s="5" t="str">
        <f>IF(Recruiting_Data!B184="", "", Recruiting_Data!B184)</f>
        <v>REQ-2026-0038</v>
      </c>
      <c r="C184" s="5">
        <f>IF(AND(ISNUMBER(Recruiting_Data!N184), ISNUMBER(Recruiting_Data!P184)), Recruiting_Data!N184 - Recruiting_Data!P184, "")</f>
        <v>41</v>
      </c>
      <c r="D184" s="5">
        <v>5.0</v>
      </c>
      <c r="E184" s="5" t="str">
        <f>IF(Recruiting_Data!R184="Open", TODAY() - Recruiting_Data!P184, "")</f>
        <v/>
      </c>
      <c r="F184" s="8" t="str">
        <f t="shared" si="1"/>
        <v/>
      </c>
      <c r="G184" s="5" t="b">
        <f>IF(A184="", "", IF(COUNTIF(Recruiting_Data!A:A, A184)&gt;1, TRUE, FALSE))</f>
        <v>0</v>
      </c>
      <c r="H184" s="5" t="b">
        <f>IF(A184="", "", IF(OR(AND(Recruiting_Data!N184&lt;&gt;"", Recruiting_Data!J184&lt;&gt;"", Recruiting_Data!N184&lt;Recruiting_Data!J184), AND(Recruiting_Data!M184&lt;&gt;"", Recruiting_Data!L184&lt;&gt;"", Recruiting_Data!M184&lt;Recruiting_Data!L184), AND(Recruiting_Data!L184&lt;&gt;"", Recruiting_Data!K184&lt;&gt;"", Recruiting_Data!L184&lt;Recruiting_Data!K184)), TRUE, FALSE))</f>
        <v>0</v>
      </c>
    </row>
    <row r="185">
      <c r="A185" s="5" t="str">
        <f>IF(Recruiting_Data!A185="", "", Recruiting_Data!A185)</f>
        <v>C-10184</v>
      </c>
      <c r="B185" s="5" t="str">
        <f>IF(Recruiting_Data!B185="", "", Recruiting_Data!B185)</f>
        <v>REQ-2026-0009</v>
      </c>
      <c r="C185" s="5" t="str">
        <f>IF(AND(ISNUMBER(Recruiting_Data!N185), ISNUMBER(Recruiting_Data!P185)), Recruiting_Data!N185 - Recruiting_Data!P185, "")</f>
        <v/>
      </c>
      <c r="D185" s="5">
        <v>1.0</v>
      </c>
      <c r="E185" s="5" t="str">
        <f>IF(Recruiting_Data!R185="Open", TODAY() - Recruiting_Data!P185, "")</f>
        <v/>
      </c>
      <c r="F185" s="8" t="str">
        <f t="shared" si="1"/>
        <v/>
      </c>
      <c r="G185" s="5" t="b">
        <f>IF(A185="", "", IF(COUNTIF(Recruiting_Data!A:A, A185)&gt;1, TRUE, FALSE))</f>
        <v>0</v>
      </c>
      <c r="H185" s="5" t="b">
        <f>IF(A185="", "", IF(OR(AND(Recruiting_Data!N185&lt;&gt;"", Recruiting_Data!J185&lt;&gt;"", Recruiting_Data!N185&lt;Recruiting_Data!J185), AND(Recruiting_Data!M185&lt;&gt;"", Recruiting_Data!L185&lt;&gt;"", Recruiting_Data!M185&lt;Recruiting_Data!L185), AND(Recruiting_Data!L185&lt;&gt;"", Recruiting_Data!K185&lt;&gt;"", Recruiting_Data!L185&lt;Recruiting_Data!K185)), TRUE, FALSE))</f>
        <v>0</v>
      </c>
    </row>
    <row r="186">
      <c r="A186" s="5" t="str">
        <f>IF(Recruiting_Data!A186="", "", Recruiting_Data!A186)</f>
        <v>C-10185</v>
      </c>
      <c r="B186" s="5" t="str">
        <f>IF(Recruiting_Data!B186="", "", Recruiting_Data!B186)</f>
        <v>REQ-2026-0046</v>
      </c>
      <c r="C186" s="5" t="str">
        <f>IF(AND(ISNUMBER(Recruiting_Data!N186), ISNUMBER(Recruiting_Data!P186)), Recruiting_Data!N186 - Recruiting_Data!P186, "")</f>
        <v/>
      </c>
      <c r="D186" s="5">
        <v>3.0</v>
      </c>
      <c r="E186" s="5">
        <f>IF(Recruiting_Data!R186="Open", TODAY() - Recruiting_Data!P186, "")</f>
        <v>132</v>
      </c>
      <c r="F186" s="8" t="str">
        <f t="shared" si="1"/>
        <v>60+</v>
      </c>
      <c r="G186" s="5" t="b">
        <f>IF(A186="", "", IF(COUNTIF(Recruiting_Data!A:A, A186)&gt;1, TRUE, FALSE))</f>
        <v>0</v>
      </c>
      <c r="H186" s="5" t="b">
        <f>IF(A186="", "", IF(OR(AND(Recruiting_Data!N186&lt;&gt;"", Recruiting_Data!J186&lt;&gt;"", Recruiting_Data!N186&lt;Recruiting_Data!J186), AND(Recruiting_Data!M186&lt;&gt;"", Recruiting_Data!L186&lt;&gt;"", Recruiting_Data!M186&lt;Recruiting_Data!L186), AND(Recruiting_Data!L186&lt;&gt;"", Recruiting_Data!K186&lt;&gt;"", Recruiting_Data!L186&lt;Recruiting_Data!K186)), TRUE, FALSE))</f>
        <v>0</v>
      </c>
    </row>
    <row r="187">
      <c r="A187" s="5" t="str">
        <f>IF(Recruiting_Data!A187="", "", Recruiting_Data!A187)</f>
        <v>C-10186</v>
      </c>
      <c r="B187" s="5" t="str">
        <f>IF(Recruiting_Data!B187="", "", Recruiting_Data!B187)</f>
        <v>REQ-2026-0049</v>
      </c>
      <c r="C187" s="5" t="str">
        <f>IF(AND(ISNUMBER(Recruiting_Data!N187), ISNUMBER(Recruiting_Data!P187)), Recruiting_Data!N187 - Recruiting_Data!P187, "")</f>
        <v/>
      </c>
      <c r="D187" s="5">
        <v>3.0</v>
      </c>
      <c r="E187" s="5">
        <f>IF(Recruiting_Data!R187="Open", TODAY() - Recruiting_Data!P187, "")</f>
        <v>151</v>
      </c>
      <c r="F187" s="8" t="str">
        <f t="shared" si="1"/>
        <v>60+</v>
      </c>
      <c r="G187" s="5" t="b">
        <f>IF(A187="", "", IF(COUNTIF(Recruiting_Data!A:A, A187)&gt;1, TRUE, FALSE))</f>
        <v>0</v>
      </c>
      <c r="H187" s="5" t="b">
        <f>IF(A187="", "", IF(OR(AND(Recruiting_Data!N187&lt;&gt;"", Recruiting_Data!J187&lt;&gt;"", Recruiting_Data!N187&lt;Recruiting_Data!J187), AND(Recruiting_Data!M187&lt;&gt;"", Recruiting_Data!L187&lt;&gt;"", Recruiting_Data!M187&lt;Recruiting_Data!L187), AND(Recruiting_Data!L187&lt;&gt;"", Recruiting_Data!K187&lt;&gt;"", Recruiting_Data!L187&lt;Recruiting_Data!K187)), TRUE, FALSE))</f>
        <v>0</v>
      </c>
    </row>
    <row r="188">
      <c r="A188" s="5" t="str">
        <f>IF(Recruiting_Data!A188="", "", Recruiting_Data!A188)</f>
        <v>C-10187</v>
      </c>
      <c r="B188" s="5" t="str">
        <f>IF(Recruiting_Data!B188="", "", Recruiting_Data!B188)</f>
        <v>REQ-2026-0008</v>
      </c>
      <c r="C188" s="5" t="str">
        <f>IF(AND(ISNUMBER(Recruiting_Data!N188), ISNUMBER(Recruiting_Data!P188)), Recruiting_Data!N188 - Recruiting_Data!P188, "")</f>
        <v/>
      </c>
      <c r="D188" s="5">
        <v>4.0</v>
      </c>
      <c r="E188" s="5" t="str">
        <f>IF(Recruiting_Data!R188="Open", TODAY() - Recruiting_Data!P188, "")</f>
        <v/>
      </c>
      <c r="F188" s="8" t="str">
        <f t="shared" si="1"/>
        <v/>
      </c>
      <c r="G188" s="5" t="b">
        <f>IF(A188="", "", IF(COUNTIF(Recruiting_Data!A:A, A188)&gt;1, TRUE, FALSE))</f>
        <v>0</v>
      </c>
      <c r="H188" s="5" t="b">
        <f>IF(A188="", "", IF(OR(AND(Recruiting_Data!N188&lt;&gt;"", Recruiting_Data!J188&lt;&gt;"", Recruiting_Data!N188&lt;Recruiting_Data!J188), AND(Recruiting_Data!M188&lt;&gt;"", Recruiting_Data!L188&lt;&gt;"", Recruiting_Data!M188&lt;Recruiting_Data!L188), AND(Recruiting_Data!L188&lt;&gt;"", Recruiting_Data!K188&lt;&gt;"", Recruiting_Data!L188&lt;Recruiting_Data!K188)), TRUE, FALSE))</f>
        <v>0</v>
      </c>
    </row>
    <row r="189">
      <c r="A189" s="5" t="str">
        <f>IF(Recruiting_Data!A189="", "", Recruiting_Data!A189)</f>
        <v>C-10188</v>
      </c>
      <c r="B189" s="5" t="str">
        <f>IF(Recruiting_Data!B189="", "", Recruiting_Data!B189)</f>
        <v>REQ-2026-0035</v>
      </c>
      <c r="C189" s="5" t="str">
        <f>IF(AND(ISNUMBER(Recruiting_Data!N189), ISNUMBER(Recruiting_Data!P189)), Recruiting_Data!N189 - Recruiting_Data!P189, "")</f>
        <v/>
      </c>
      <c r="D189" s="5">
        <v>2.0</v>
      </c>
      <c r="E189" s="5" t="str">
        <f>IF(Recruiting_Data!R189="Open", TODAY() - Recruiting_Data!P189, "")</f>
        <v/>
      </c>
      <c r="F189" s="8" t="str">
        <f t="shared" si="1"/>
        <v/>
      </c>
      <c r="G189" s="5" t="b">
        <f>IF(A189="", "", IF(COUNTIF(Recruiting_Data!A:A, A189)&gt;1, TRUE, FALSE))</f>
        <v>0</v>
      </c>
      <c r="H189" s="5" t="b">
        <f>IF(A189="", "", IF(OR(AND(Recruiting_Data!N189&lt;&gt;"", Recruiting_Data!J189&lt;&gt;"", Recruiting_Data!N189&lt;Recruiting_Data!J189), AND(Recruiting_Data!M189&lt;&gt;"", Recruiting_Data!L189&lt;&gt;"", Recruiting_Data!M189&lt;Recruiting_Data!L189), AND(Recruiting_Data!L189&lt;&gt;"", Recruiting_Data!K189&lt;&gt;"", Recruiting_Data!L189&lt;Recruiting_Data!K189)), TRUE, FALSE))</f>
        <v>0</v>
      </c>
    </row>
    <row r="190">
      <c r="A190" s="5" t="str">
        <f>IF(Recruiting_Data!A190="", "", Recruiting_Data!A190)</f>
        <v>C-10189</v>
      </c>
      <c r="B190" s="5" t="str">
        <f>IF(Recruiting_Data!B190="", "", Recruiting_Data!B190)</f>
        <v>REQ-2026-0048</v>
      </c>
      <c r="C190" s="5" t="str">
        <f>IF(AND(ISNUMBER(Recruiting_Data!N190), ISNUMBER(Recruiting_Data!P190)), Recruiting_Data!N190 - Recruiting_Data!P190, "")</f>
        <v/>
      </c>
      <c r="D190" s="5">
        <v>3.0</v>
      </c>
      <c r="E190" s="5" t="str">
        <f>IF(Recruiting_Data!R190="Open", TODAY() - Recruiting_Data!P190, "")</f>
        <v/>
      </c>
      <c r="F190" s="8" t="str">
        <f t="shared" si="1"/>
        <v/>
      </c>
      <c r="G190" s="5" t="b">
        <f>IF(A190="", "", IF(COUNTIF(Recruiting_Data!A:A, A190)&gt;1, TRUE, FALSE))</f>
        <v>0</v>
      </c>
      <c r="H190" s="5" t="b">
        <f>IF(A190="", "", IF(OR(AND(Recruiting_Data!N190&lt;&gt;"", Recruiting_Data!J190&lt;&gt;"", Recruiting_Data!N190&lt;Recruiting_Data!J190), AND(Recruiting_Data!M190&lt;&gt;"", Recruiting_Data!L190&lt;&gt;"", Recruiting_Data!M190&lt;Recruiting_Data!L190), AND(Recruiting_Data!L190&lt;&gt;"", Recruiting_Data!K190&lt;&gt;"", Recruiting_Data!L190&lt;Recruiting_Data!K190)), TRUE, FALSE))</f>
        <v>0</v>
      </c>
    </row>
    <row r="191">
      <c r="A191" s="5" t="str">
        <f>IF(Recruiting_Data!A191="", "", Recruiting_Data!A191)</f>
        <v>C-10190</v>
      </c>
      <c r="B191" s="5" t="str">
        <f>IF(Recruiting_Data!B191="", "", Recruiting_Data!B191)</f>
        <v>REQ-2026-0027</v>
      </c>
      <c r="C191" s="5" t="str">
        <f>IF(AND(ISNUMBER(Recruiting_Data!N191), ISNUMBER(Recruiting_Data!P191)), Recruiting_Data!N191 - Recruiting_Data!P191, "")</f>
        <v/>
      </c>
      <c r="D191" s="5">
        <v>4.0</v>
      </c>
      <c r="E191" s="5" t="str">
        <f>IF(Recruiting_Data!R191="Open", TODAY() - Recruiting_Data!P191, "")</f>
        <v/>
      </c>
      <c r="F191" s="8" t="str">
        <f t="shared" si="1"/>
        <v/>
      </c>
      <c r="G191" s="5" t="b">
        <f>IF(A191="", "", IF(COUNTIF(Recruiting_Data!A:A, A191)&gt;1, TRUE, FALSE))</f>
        <v>0</v>
      </c>
      <c r="H191" s="5" t="b">
        <f>IF(A191="", "", IF(OR(AND(Recruiting_Data!N191&lt;&gt;"", Recruiting_Data!J191&lt;&gt;"", Recruiting_Data!N191&lt;Recruiting_Data!J191), AND(Recruiting_Data!M191&lt;&gt;"", Recruiting_Data!L191&lt;&gt;"", Recruiting_Data!M191&lt;Recruiting_Data!L191), AND(Recruiting_Data!L191&lt;&gt;"", Recruiting_Data!K191&lt;&gt;"", Recruiting_Data!L191&lt;Recruiting_Data!K191)), TRUE, FALSE))</f>
        <v>0</v>
      </c>
    </row>
    <row r="192">
      <c r="A192" s="5" t="str">
        <f>IF(Recruiting_Data!A192="", "", Recruiting_Data!A192)</f>
        <v>C-10191</v>
      </c>
      <c r="B192" s="5" t="str">
        <f>IF(Recruiting_Data!B192="", "", Recruiting_Data!B192)</f>
        <v>REQ-2026-0048</v>
      </c>
      <c r="C192" s="5">
        <f>IF(AND(ISNUMBER(Recruiting_Data!N192), ISNUMBER(Recruiting_Data!P192)), Recruiting_Data!N192 - Recruiting_Data!P192, "")</f>
        <v>39</v>
      </c>
      <c r="D192" s="5">
        <v>5.0</v>
      </c>
      <c r="E192" s="5" t="str">
        <f>IF(Recruiting_Data!R192="Open", TODAY() - Recruiting_Data!P192, "")</f>
        <v/>
      </c>
      <c r="F192" s="8" t="str">
        <f t="shared" si="1"/>
        <v/>
      </c>
      <c r="G192" s="5" t="b">
        <f>IF(A192="", "", IF(COUNTIF(Recruiting_Data!A:A, A192)&gt;1, TRUE, FALSE))</f>
        <v>0</v>
      </c>
      <c r="H192" s="5" t="b">
        <f>IF(A192="", "", IF(OR(AND(Recruiting_Data!N192&lt;&gt;"", Recruiting_Data!J192&lt;&gt;"", Recruiting_Data!N192&lt;Recruiting_Data!J192), AND(Recruiting_Data!M192&lt;&gt;"", Recruiting_Data!L192&lt;&gt;"", Recruiting_Data!M192&lt;Recruiting_Data!L192), AND(Recruiting_Data!L192&lt;&gt;"", Recruiting_Data!K192&lt;&gt;"", Recruiting_Data!L192&lt;Recruiting_Data!K192)), TRUE, FALSE))</f>
        <v>0</v>
      </c>
    </row>
    <row r="193">
      <c r="A193" s="5" t="str">
        <f>IF(Recruiting_Data!A193="", "", Recruiting_Data!A193)</f>
        <v>C-10192</v>
      </c>
      <c r="B193" s="5" t="str">
        <f>IF(Recruiting_Data!B193="", "", Recruiting_Data!B193)</f>
        <v>REQ-2026-0018</v>
      </c>
      <c r="C193" s="5" t="str">
        <f>IF(AND(ISNUMBER(Recruiting_Data!N193), ISNUMBER(Recruiting_Data!P193)), Recruiting_Data!N193 - Recruiting_Data!P193, "")</f>
        <v/>
      </c>
      <c r="D193" s="5">
        <v>3.0</v>
      </c>
      <c r="E193" s="5" t="str">
        <f>IF(Recruiting_Data!R193="Open", TODAY() - Recruiting_Data!P193, "")</f>
        <v/>
      </c>
      <c r="F193" s="8" t="str">
        <f t="shared" si="1"/>
        <v/>
      </c>
      <c r="G193" s="5" t="b">
        <f>IF(A193="", "", IF(COUNTIF(Recruiting_Data!A:A, A193)&gt;1, TRUE, FALSE))</f>
        <v>0</v>
      </c>
      <c r="H193" s="5" t="b">
        <f>IF(A193="", "", IF(OR(AND(Recruiting_Data!N193&lt;&gt;"", Recruiting_Data!J193&lt;&gt;"", Recruiting_Data!N193&lt;Recruiting_Data!J193), AND(Recruiting_Data!M193&lt;&gt;"", Recruiting_Data!L193&lt;&gt;"", Recruiting_Data!M193&lt;Recruiting_Data!L193), AND(Recruiting_Data!L193&lt;&gt;"", Recruiting_Data!K193&lt;&gt;"", Recruiting_Data!L193&lt;Recruiting_Data!K193)), TRUE, FALSE))</f>
        <v>0</v>
      </c>
    </row>
    <row r="194">
      <c r="A194" s="5" t="str">
        <f>IF(Recruiting_Data!A194="", "", Recruiting_Data!A194)</f>
        <v>C-10193</v>
      </c>
      <c r="B194" s="5" t="str">
        <f>IF(Recruiting_Data!B194="", "", Recruiting_Data!B194)</f>
        <v>REQ-2026-0016</v>
      </c>
      <c r="C194" s="5" t="str">
        <f>IF(AND(ISNUMBER(Recruiting_Data!N194), ISNUMBER(Recruiting_Data!P194)), Recruiting_Data!N194 - Recruiting_Data!P194, "")</f>
        <v/>
      </c>
      <c r="D194" s="5">
        <v>2.0</v>
      </c>
      <c r="E194" s="5">
        <f>IF(Recruiting_Data!R194="Open", TODAY() - Recruiting_Data!P194, "")</f>
        <v>204</v>
      </c>
      <c r="F194" s="8" t="str">
        <f t="shared" si="1"/>
        <v>60+</v>
      </c>
      <c r="G194" s="5" t="b">
        <f>IF(A194="", "", IF(COUNTIF(Recruiting_Data!A:A, A194)&gt;1, TRUE, FALSE))</f>
        <v>0</v>
      </c>
      <c r="H194" s="5" t="b">
        <f>IF(A194="", "", IF(OR(AND(Recruiting_Data!N194&lt;&gt;"", Recruiting_Data!J194&lt;&gt;"", Recruiting_Data!N194&lt;Recruiting_Data!J194), AND(Recruiting_Data!M194&lt;&gt;"", Recruiting_Data!L194&lt;&gt;"", Recruiting_Data!M194&lt;Recruiting_Data!L194), AND(Recruiting_Data!L194&lt;&gt;"", Recruiting_Data!K194&lt;&gt;"", Recruiting_Data!L194&lt;Recruiting_Data!K194)), TRUE, FALSE))</f>
        <v>0</v>
      </c>
    </row>
    <row r="195">
      <c r="A195" s="5" t="str">
        <f>IF(Recruiting_Data!A195="", "", Recruiting_Data!A195)</f>
        <v>C-10194</v>
      </c>
      <c r="B195" s="5" t="str">
        <f>IF(Recruiting_Data!B195="", "", Recruiting_Data!B195)</f>
        <v>REQ-2026-0027</v>
      </c>
      <c r="C195" s="5" t="str">
        <f>IF(AND(ISNUMBER(Recruiting_Data!N195), ISNUMBER(Recruiting_Data!P195)), Recruiting_Data!N195 - Recruiting_Data!P195, "")</f>
        <v/>
      </c>
      <c r="D195" s="5">
        <v>1.0</v>
      </c>
      <c r="E195" s="5" t="str">
        <f>IF(Recruiting_Data!R195="Open", TODAY() - Recruiting_Data!P195, "")</f>
        <v/>
      </c>
      <c r="F195" s="8" t="str">
        <f t="shared" si="1"/>
        <v/>
      </c>
      <c r="G195" s="5" t="b">
        <f>IF(A195="", "", IF(COUNTIF(Recruiting_Data!A:A, A195)&gt;1, TRUE, FALSE))</f>
        <v>0</v>
      </c>
      <c r="H195" s="5" t="b">
        <f>IF(A195="", "", IF(OR(AND(Recruiting_Data!N195&lt;&gt;"", Recruiting_Data!J195&lt;&gt;"", Recruiting_Data!N195&lt;Recruiting_Data!J195), AND(Recruiting_Data!M195&lt;&gt;"", Recruiting_Data!L195&lt;&gt;"", Recruiting_Data!M195&lt;Recruiting_Data!L195), AND(Recruiting_Data!L195&lt;&gt;"", Recruiting_Data!K195&lt;&gt;"", Recruiting_Data!L195&lt;Recruiting_Data!K195)), TRUE, FALSE))</f>
        <v>0</v>
      </c>
    </row>
    <row r="196">
      <c r="A196" s="5" t="str">
        <f>IF(Recruiting_Data!A196="", "", Recruiting_Data!A196)</f>
        <v>C-10195</v>
      </c>
      <c r="B196" s="5" t="str">
        <f>IF(Recruiting_Data!B196="", "", Recruiting_Data!B196)</f>
        <v>REQ-2026-0043</v>
      </c>
      <c r="C196" s="5" t="str">
        <f>IF(AND(ISNUMBER(Recruiting_Data!N196), ISNUMBER(Recruiting_Data!P196)), Recruiting_Data!N196 - Recruiting_Data!P196, "")</f>
        <v/>
      </c>
      <c r="D196" s="5">
        <v>1.0</v>
      </c>
      <c r="E196" s="5">
        <f>IF(Recruiting_Data!R196="Open", TODAY() - Recruiting_Data!P196, "")</f>
        <v>144</v>
      </c>
      <c r="F196" s="8" t="str">
        <f t="shared" si="1"/>
        <v>60+</v>
      </c>
      <c r="G196" s="5" t="b">
        <f>IF(A196="", "", IF(COUNTIF(Recruiting_Data!A:A, A196)&gt;1, TRUE, FALSE))</f>
        <v>0</v>
      </c>
      <c r="H196" s="5" t="b">
        <f>IF(A196="", "", IF(OR(AND(Recruiting_Data!N196&lt;&gt;"", Recruiting_Data!J196&lt;&gt;"", Recruiting_Data!N196&lt;Recruiting_Data!J196), AND(Recruiting_Data!M196&lt;&gt;"", Recruiting_Data!L196&lt;&gt;"", Recruiting_Data!M196&lt;Recruiting_Data!L196), AND(Recruiting_Data!L196&lt;&gt;"", Recruiting_Data!K196&lt;&gt;"", Recruiting_Data!L196&lt;Recruiting_Data!K196)), TRUE, FALSE))</f>
        <v>0</v>
      </c>
    </row>
    <row r="197">
      <c r="A197" s="5" t="str">
        <f>IF(Recruiting_Data!A197="", "", Recruiting_Data!A197)</f>
        <v>C-10196</v>
      </c>
      <c r="B197" s="5" t="str">
        <f>IF(Recruiting_Data!B197="", "", Recruiting_Data!B197)</f>
        <v>REQ-2026-0026</v>
      </c>
      <c r="C197" s="5">
        <f>IF(AND(ISNUMBER(Recruiting_Data!N197), ISNUMBER(Recruiting_Data!P197)), Recruiting_Data!N197 - Recruiting_Data!P197, "")</f>
        <v>34</v>
      </c>
      <c r="D197" s="5">
        <v>5.0</v>
      </c>
      <c r="E197" s="5" t="str">
        <f>IF(Recruiting_Data!R197="Open", TODAY() - Recruiting_Data!P197, "")</f>
        <v/>
      </c>
      <c r="F197" s="8" t="str">
        <f t="shared" si="1"/>
        <v/>
      </c>
      <c r="G197" s="5" t="b">
        <f>IF(A197="", "", IF(COUNTIF(Recruiting_Data!A:A, A197)&gt;1, TRUE, FALSE))</f>
        <v>0</v>
      </c>
      <c r="H197" s="5" t="b">
        <f>IF(A197="", "", IF(OR(AND(Recruiting_Data!N197&lt;&gt;"", Recruiting_Data!J197&lt;&gt;"", Recruiting_Data!N197&lt;Recruiting_Data!J197), AND(Recruiting_Data!M197&lt;&gt;"", Recruiting_Data!L197&lt;&gt;"", Recruiting_Data!M197&lt;Recruiting_Data!L197), AND(Recruiting_Data!L197&lt;&gt;"", Recruiting_Data!K197&lt;&gt;"", Recruiting_Data!L197&lt;Recruiting_Data!K197)), TRUE, FALSE))</f>
        <v>0</v>
      </c>
    </row>
    <row r="198">
      <c r="A198" s="5" t="str">
        <f>IF(Recruiting_Data!A198="", "", Recruiting_Data!A198)</f>
        <v>C-10197</v>
      </c>
      <c r="B198" s="5" t="str">
        <f>IF(Recruiting_Data!B198="", "", Recruiting_Data!B198)</f>
        <v>REQ-2026-0029</v>
      </c>
      <c r="C198" s="5" t="str">
        <f>IF(AND(ISNUMBER(Recruiting_Data!N198), ISNUMBER(Recruiting_Data!P198)), Recruiting_Data!N198 - Recruiting_Data!P198, "")</f>
        <v/>
      </c>
      <c r="D198" s="5">
        <v>1.0</v>
      </c>
      <c r="E198" s="5" t="str">
        <f>IF(Recruiting_Data!R198="Open", TODAY() - Recruiting_Data!P198, "")</f>
        <v/>
      </c>
      <c r="F198" s="8" t="str">
        <f t="shared" si="1"/>
        <v/>
      </c>
      <c r="G198" s="5" t="b">
        <f>IF(A198="", "", IF(COUNTIF(Recruiting_Data!A:A, A198)&gt;1, TRUE, FALSE))</f>
        <v>0</v>
      </c>
      <c r="H198" s="5" t="b">
        <f>IF(A198="", "", IF(OR(AND(Recruiting_Data!N198&lt;&gt;"", Recruiting_Data!J198&lt;&gt;"", Recruiting_Data!N198&lt;Recruiting_Data!J198), AND(Recruiting_Data!M198&lt;&gt;"", Recruiting_Data!L198&lt;&gt;"", Recruiting_Data!M198&lt;Recruiting_Data!L198), AND(Recruiting_Data!L198&lt;&gt;"", Recruiting_Data!K198&lt;&gt;"", Recruiting_Data!L198&lt;Recruiting_Data!K198)), TRUE, FALSE))</f>
        <v>0</v>
      </c>
    </row>
    <row r="199">
      <c r="A199" s="5" t="str">
        <f>IF(Recruiting_Data!A199="", "", Recruiting_Data!A199)</f>
        <v>C-10198</v>
      </c>
      <c r="B199" s="5" t="str">
        <f>IF(Recruiting_Data!B199="", "", Recruiting_Data!B199)</f>
        <v>REQ-2026-0015</v>
      </c>
      <c r="C199" s="5" t="str">
        <f>IF(AND(ISNUMBER(Recruiting_Data!N199), ISNUMBER(Recruiting_Data!P199)), Recruiting_Data!N199 - Recruiting_Data!P199, "")</f>
        <v/>
      </c>
      <c r="D199" s="5">
        <v>3.0</v>
      </c>
      <c r="E199" s="5" t="str">
        <f>IF(Recruiting_Data!R199="Open", TODAY() - Recruiting_Data!P199, "")</f>
        <v/>
      </c>
      <c r="F199" s="8" t="str">
        <f t="shared" si="1"/>
        <v/>
      </c>
      <c r="G199" s="5" t="b">
        <f>IF(A199="", "", IF(COUNTIF(Recruiting_Data!A:A, A199)&gt;1, TRUE, FALSE))</f>
        <v>0</v>
      </c>
      <c r="H199" s="5" t="b">
        <f>IF(A199="", "", IF(OR(AND(Recruiting_Data!N199&lt;&gt;"", Recruiting_Data!J199&lt;&gt;"", Recruiting_Data!N199&lt;Recruiting_Data!J199), AND(Recruiting_Data!M199&lt;&gt;"", Recruiting_Data!L199&lt;&gt;"", Recruiting_Data!M199&lt;Recruiting_Data!L199), AND(Recruiting_Data!L199&lt;&gt;"", Recruiting_Data!K199&lt;&gt;"", Recruiting_Data!L199&lt;Recruiting_Data!K199)), TRUE, FALSE))</f>
        <v>0</v>
      </c>
    </row>
    <row r="200">
      <c r="A200" s="5" t="str">
        <f>IF(Recruiting_Data!A200="", "", Recruiting_Data!A200)</f>
        <v>C-10199</v>
      </c>
      <c r="B200" s="5" t="str">
        <f>IF(Recruiting_Data!B200="", "", Recruiting_Data!B200)</f>
        <v>REQ-2026-0001</v>
      </c>
      <c r="C200" s="5" t="str">
        <f>IF(AND(ISNUMBER(Recruiting_Data!N200), ISNUMBER(Recruiting_Data!P200)), Recruiting_Data!N200 - Recruiting_Data!P200, "")</f>
        <v/>
      </c>
      <c r="D200" s="5">
        <v>4.0</v>
      </c>
      <c r="E200" s="5" t="str">
        <f>IF(Recruiting_Data!R200="Open", TODAY() - Recruiting_Data!P200, "")</f>
        <v/>
      </c>
      <c r="F200" s="8" t="str">
        <f t="shared" si="1"/>
        <v/>
      </c>
      <c r="G200" s="5" t="b">
        <f>IF(A200="", "", IF(COUNTIF(Recruiting_Data!A:A, A200)&gt;1, TRUE, FALSE))</f>
        <v>0</v>
      </c>
      <c r="H200" s="5" t="b">
        <f>IF(A200="", "", IF(OR(AND(Recruiting_Data!N200&lt;&gt;"", Recruiting_Data!J200&lt;&gt;"", Recruiting_Data!N200&lt;Recruiting_Data!J200), AND(Recruiting_Data!M200&lt;&gt;"", Recruiting_Data!L200&lt;&gt;"", Recruiting_Data!M200&lt;Recruiting_Data!L200), AND(Recruiting_Data!L200&lt;&gt;"", Recruiting_Data!K200&lt;&gt;"", Recruiting_Data!L200&lt;Recruiting_Data!K200)), TRUE, FALSE))</f>
        <v>0</v>
      </c>
    </row>
    <row r="201">
      <c r="A201" s="5" t="str">
        <f>IF(Recruiting_Data!A201="", "", Recruiting_Data!A201)</f>
        <v>C-10200</v>
      </c>
      <c r="B201" s="5" t="str">
        <f>IF(Recruiting_Data!B201="", "", Recruiting_Data!B201)</f>
        <v>REQ-2026-0030</v>
      </c>
      <c r="C201" s="5" t="str">
        <f>IF(AND(ISNUMBER(Recruiting_Data!N201), ISNUMBER(Recruiting_Data!P201)), Recruiting_Data!N201 - Recruiting_Data!P201, "")</f>
        <v/>
      </c>
      <c r="D201" s="5">
        <v>2.0</v>
      </c>
      <c r="E201" s="5" t="str">
        <f>IF(Recruiting_Data!R201="Open", TODAY() - Recruiting_Data!P201, "")</f>
        <v/>
      </c>
      <c r="F201" s="8" t="str">
        <f t="shared" si="1"/>
        <v/>
      </c>
      <c r="G201" s="5" t="b">
        <f>IF(A201="", "", IF(COUNTIF(Recruiting_Data!A:A, A201)&gt;1, TRUE, FALSE))</f>
        <v>0</v>
      </c>
      <c r="H201" s="5" t="b">
        <f>IF(A201="", "", IF(OR(AND(Recruiting_Data!N201&lt;&gt;"", Recruiting_Data!J201&lt;&gt;"", Recruiting_Data!N201&lt;Recruiting_Data!J201), AND(Recruiting_Data!M201&lt;&gt;"", Recruiting_Data!L201&lt;&gt;"", Recruiting_Data!M201&lt;Recruiting_Data!L201), AND(Recruiting_Data!L201&lt;&gt;"", Recruiting_Data!K201&lt;&gt;"", Recruiting_Data!L201&lt;Recruiting_Data!K201)), TRUE, FALSE))</f>
        <v>0</v>
      </c>
    </row>
    <row r="202">
      <c r="A202" s="5" t="str">
        <f>IF(Recruiting_Data!A202="", "", Recruiting_Data!A202)</f>
        <v>C-10201</v>
      </c>
      <c r="B202" s="5" t="str">
        <f>IF(Recruiting_Data!B202="", "", Recruiting_Data!B202)</f>
        <v>REQ-2026-0017</v>
      </c>
      <c r="C202" s="5" t="str">
        <f>IF(AND(ISNUMBER(Recruiting_Data!N202), ISNUMBER(Recruiting_Data!P202)), Recruiting_Data!N202 - Recruiting_Data!P202, "")</f>
        <v/>
      </c>
      <c r="D202" s="5">
        <v>2.0</v>
      </c>
      <c r="E202" s="5" t="str">
        <f>IF(Recruiting_Data!R202="Open", TODAY() - Recruiting_Data!P202, "")</f>
        <v/>
      </c>
      <c r="F202" s="8" t="str">
        <f t="shared" si="1"/>
        <v/>
      </c>
      <c r="G202" s="5" t="b">
        <f>IF(A202="", "", IF(COUNTIF(Recruiting_Data!A:A, A202)&gt;1, TRUE, FALSE))</f>
        <v>0</v>
      </c>
      <c r="H202" s="5" t="b">
        <f>IF(A202="", "", IF(OR(AND(Recruiting_Data!N202&lt;&gt;"", Recruiting_Data!J202&lt;&gt;"", Recruiting_Data!N202&lt;Recruiting_Data!J202), AND(Recruiting_Data!M202&lt;&gt;"", Recruiting_Data!L202&lt;&gt;"", Recruiting_Data!M202&lt;Recruiting_Data!L202), AND(Recruiting_Data!L202&lt;&gt;"", Recruiting_Data!K202&lt;&gt;"", Recruiting_Data!L202&lt;Recruiting_Data!K202)), TRUE, FALSE))</f>
        <v>0</v>
      </c>
    </row>
    <row r="203">
      <c r="A203" s="5" t="str">
        <f>IF(Recruiting_Data!A203="", "", Recruiting_Data!A203)</f>
        <v>C-10202</v>
      </c>
      <c r="B203" s="5" t="str">
        <f>IF(Recruiting_Data!B203="", "", Recruiting_Data!B203)</f>
        <v>REQ-2026-0048</v>
      </c>
      <c r="C203" s="5" t="str">
        <f>IF(AND(ISNUMBER(Recruiting_Data!N203), ISNUMBER(Recruiting_Data!P203)), Recruiting_Data!N203 - Recruiting_Data!P203, "")</f>
        <v/>
      </c>
      <c r="D203" s="5">
        <v>4.0</v>
      </c>
      <c r="E203" s="5" t="str">
        <f>IF(Recruiting_Data!R203="Open", TODAY() - Recruiting_Data!P203, "")</f>
        <v/>
      </c>
      <c r="F203" s="8" t="str">
        <f t="shared" si="1"/>
        <v/>
      </c>
      <c r="G203" s="5" t="b">
        <f>IF(A203="", "", IF(COUNTIF(Recruiting_Data!A:A, A203)&gt;1, TRUE, FALSE))</f>
        <v>0</v>
      </c>
      <c r="H203" s="5" t="b">
        <f>IF(A203="", "", IF(OR(AND(Recruiting_Data!N203&lt;&gt;"", Recruiting_Data!J203&lt;&gt;"", Recruiting_Data!N203&lt;Recruiting_Data!J203), AND(Recruiting_Data!M203&lt;&gt;"", Recruiting_Data!L203&lt;&gt;"", Recruiting_Data!M203&lt;Recruiting_Data!L203), AND(Recruiting_Data!L203&lt;&gt;"", Recruiting_Data!K203&lt;&gt;"", Recruiting_Data!L203&lt;Recruiting_Data!K203)), TRUE, FALSE))</f>
        <v>0</v>
      </c>
    </row>
    <row r="204">
      <c r="A204" s="5" t="str">
        <f>IF(Recruiting_Data!A204="", "", Recruiting_Data!A204)</f>
        <v>C-10203</v>
      </c>
      <c r="B204" s="5" t="str">
        <f>IF(Recruiting_Data!B204="", "", Recruiting_Data!B204)</f>
        <v>REQ-2026-0012</v>
      </c>
      <c r="C204" s="5" t="str">
        <f>IF(AND(ISNUMBER(Recruiting_Data!N204), ISNUMBER(Recruiting_Data!P204)), Recruiting_Data!N204 - Recruiting_Data!P204, "")</f>
        <v/>
      </c>
      <c r="D204" s="5">
        <v>2.0</v>
      </c>
      <c r="E204" s="5" t="str">
        <f>IF(Recruiting_Data!R204="Open", TODAY() - Recruiting_Data!P204, "")</f>
        <v/>
      </c>
      <c r="F204" s="8" t="str">
        <f t="shared" si="1"/>
        <v/>
      </c>
      <c r="G204" s="5" t="b">
        <f>IF(A204="", "", IF(COUNTIF(Recruiting_Data!A:A, A204)&gt;1, TRUE, FALSE))</f>
        <v>0</v>
      </c>
      <c r="H204" s="5" t="b">
        <f>IF(A204="", "", IF(OR(AND(Recruiting_Data!N204&lt;&gt;"", Recruiting_Data!J204&lt;&gt;"", Recruiting_Data!N204&lt;Recruiting_Data!J204), AND(Recruiting_Data!M204&lt;&gt;"", Recruiting_Data!L204&lt;&gt;"", Recruiting_Data!M204&lt;Recruiting_Data!L204), AND(Recruiting_Data!L204&lt;&gt;"", Recruiting_Data!K204&lt;&gt;"", Recruiting_Data!L204&lt;Recruiting_Data!K204)), TRUE, FALSE))</f>
        <v>0</v>
      </c>
    </row>
    <row r="205">
      <c r="A205" s="5" t="str">
        <f>IF(Recruiting_Data!A205="", "", Recruiting_Data!A205)</f>
        <v>C-10204</v>
      </c>
      <c r="B205" s="5" t="str">
        <f>IF(Recruiting_Data!B205="", "", Recruiting_Data!B205)</f>
        <v>REQ-2026-0001</v>
      </c>
      <c r="C205" s="5" t="str">
        <f>IF(AND(ISNUMBER(Recruiting_Data!N205), ISNUMBER(Recruiting_Data!P205)), Recruiting_Data!N205 - Recruiting_Data!P205, "")</f>
        <v/>
      </c>
      <c r="D205" s="5">
        <v>1.0</v>
      </c>
      <c r="E205" s="5" t="str">
        <f>IF(Recruiting_Data!R205="Open", TODAY() - Recruiting_Data!P205, "")</f>
        <v/>
      </c>
      <c r="F205" s="8" t="str">
        <f t="shared" si="1"/>
        <v/>
      </c>
      <c r="G205" s="5" t="b">
        <f>IF(A205="", "", IF(COUNTIF(Recruiting_Data!A:A, A205)&gt;1, TRUE, FALSE))</f>
        <v>0</v>
      </c>
      <c r="H205" s="5" t="b">
        <f>IF(A205="", "", IF(OR(AND(Recruiting_Data!N205&lt;&gt;"", Recruiting_Data!J205&lt;&gt;"", Recruiting_Data!N205&lt;Recruiting_Data!J205), AND(Recruiting_Data!M205&lt;&gt;"", Recruiting_Data!L205&lt;&gt;"", Recruiting_Data!M205&lt;Recruiting_Data!L205), AND(Recruiting_Data!L205&lt;&gt;"", Recruiting_Data!K205&lt;&gt;"", Recruiting_Data!L205&lt;Recruiting_Data!K205)), TRUE, FALSE))</f>
        <v>0</v>
      </c>
    </row>
    <row r="206">
      <c r="A206" s="5" t="str">
        <f>IF(Recruiting_Data!A206="", "", Recruiting_Data!A206)</f>
        <v>C-10205</v>
      </c>
      <c r="B206" s="5" t="str">
        <f>IF(Recruiting_Data!B206="", "", Recruiting_Data!B206)</f>
        <v>REQ-2026-0040</v>
      </c>
      <c r="C206" s="5" t="str">
        <f>IF(AND(ISNUMBER(Recruiting_Data!N206), ISNUMBER(Recruiting_Data!P206)), Recruiting_Data!N206 - Recruiting_Data!P206, "")</f>
        <v/>
      </c>
      <c r="D206" s="5">
        <v>1.0</v>
      </c>
      <c r="E206" s="5" t="str">
        <f>IF(Recruiting_Data!R206="Open", TODAY() - Recruiting_Data!P206, "")</f>
        <v/>
      </c>
      <c r="F206" s="8" t="str">
        <f t="shared" si="1"/>
        <v/>
      </c>
      <c r="G206" s="5" t="b">
        <f>IF(A206="", "", IF(COUNTIF(Recruiting_Data!A:A, A206)&gt;1, TRUE, FALSE))</f>
        <v>0</v>
      </c>
      <c r="H206" s="5" t="b">
        <f>IF(A206="", "", IF(OR(AND(Recruiting_Data!N206&lt;&gt;"", Recruiting_Data!J206&lt;&gt;"", Recruiting_Data!N206&lt;Recruiting_Data!J206), AND(Recruiting_Data!M206&lt;&gt;"", Recruiting_Data!L206&lt;&gt;"", Recruiting_Data!M206&lt;Recruiting_Data!L206), AND(Recruiting_Data!L206&lt;&gt;"", Recruiting_Data!K206&lt;&gt;"", Recruiting_Data!L206&lt;Recruiting_Data!K206)), TRUE, FALSE))</f>
        <v>0</v>
      </c>
    </row>
    <row r="207">
      <c r="A207" s="5" t="str">
        <f>IF(Recruiting_Data!A207="", "", Recruiting_Data!A207)</f>
        <v>C-10206</v>
      </c>
      <c r="B207" s="5" t="str">
        <f>IF(Recruiting_Data!B207="", "", Recruiting_Data!B207)</f>
        <v>REQ-2026-0027</v>
      </c>
      <c r="C207" s="5" t="str">
        <f>IF(AND(ISNUMBER(Recruiting_Data!N207), ISNUMBER(Recruiting_Data!P207)), Recruiting_Data!N207 - Recruiting_Data!P207, "")</f>
        <v/>
      </c>
      <c r="D207" s="5">
        <v>1.0</v>
      </c>
      <c r="E207" s="5" t="str">
        <f>IF(Recruiting_Data!R207="Open", TODAY() - Recruiting_Data!P207, "")</f>
        <v/>
      </c>
      <c r="F207" s="8" t="str">
        <f t="shared" si="1"/>
        <v/>
      </c>
      <c r="G207" s="5" t="b">
        <f>IF(A207="", "", IF(COUNTIF(Recruiting_Data!A:A, A207)&gt;1, TRUE, FALSE))</f>
        <v>0</v>
      </c>
      <c r="H207" s="5" t="b">
        <f>IF(A207="", "", IF(OR(AND(Recruiting_Data!N207&lt;&gt;"", Recruiting_Data!J207&lt;&gt;"", Recruiting_Data!N207&lt;Recruiting_Data!J207), AND(Recruiting_Data!M207&lt;&gt;"", Recruiting_Data!L207&lt;&gt;"", Recruiting_Data!M207&lt;Recruiting_Data!L207), AND(Recruiting_Data!L207&lt;&gt;"", Recruiting_Data!K207&lt;&gt;"", Recruiting_Data!L207&lt;Recruiting_Data!K207)), TRUE, FALSE))</f>
        <v>0</v>
      </c>
    </row>
    <row r="208">
      <c r="A208" s="5" t="str">
        <f>IF(Recruiting_Data!A208="", "", Recruiting_Data!A208)</f>
        <v>C-10207</v>
      </c>
      <c r="B208" s="5" t="str">
        <f>IF(Recruiting_Data!B208="", "", Recruiting_Data!B208)</f>
        <v>REQ-2026-0015</v>
      </c>
      <c r="C208" s="5" t="str">
        <f>IF(AND(ISNUMBER(Recruiting_Data!N208), ISNUMBER(Recruiting_Data!P208)), Recruiting_Data!N208 - Recruiting_Data!P208, "")</f>
        <v/>
      </c>
      <c r="D208" s="5">
        <v>4.0</v>
      </c>
      <c r="E208" s="5" t="str">
        <f>IF(Recruiting_Data!R208="Open", TODAY() - Recruiting_Data!P208, "")</f>
        <v/>
      </c>
      <c r="F208" s="8" t="str">
        <f t="shared" si="1"/>
        <v/>
      </c>
      <c r="G208" s="5" t="b">
        <f>IF(A208="", "", IF(COUNTIF(Recruiting_Data!A:A, A208)&gt;1, TRUE, FALSE))</f>
        <v>0</v>
      </c>
      <c r="H208" s="5" t="b">
        <f>IF(A208="", "", IF(OR(AND(Recruiting_Data!N208&lt;&gt;"", Recruiting_Data!J208&lt;&gt;"", Recruiting_Data!N208&lt;Recruiting_Data!J208), AND(Recruiting_Data!M208&lt;&gt;"", Recruiting_Data!L208&lt;&gt;"", Recruiting_Data!M208&lt;Recruiting_Data!L208), AND(Recruiting_Data!L208&lt;&gt;"", Recruiting_Data!K208&lt;&gt;"", Recruiting_Data!L208&lt;Recruiting_Data!K208)), TRUE, FALSE))</f>
        <v>0</v>
      </c>
    </row>
    <row r="209">
      <c r="A209" s="5" t="str">
        <f>IF(Recruiting_Data!A209="", "", Recruiting_Data!A209)</f>
        <v>C-10208</v>
      </c>
      <c r="B209" s="5" t="str">
        <f>IF(Recruiting_Data!B209="", "", Recruiting_Data!B209)</f>
        <v>REQ-2026-0041</v>
      </c>
      <c r="C209" s="5" t="str">
        <f>IF(AND(ISNUMBER(Recruiting_Data!N209), ISNUMBER(Recruiting_Data!P209)), Recruiting_Data!N209 - Recruiting_Data!P209, "")</f>
        <v/>
      </c>
      <c r="D209" s="5">
        <v>1.0</v>
      </c>
      <c r="E209" s="5" t="str">
        <f>IF(Recruiting_Data!R209="Open", TODAY() - Recruiting_Data!P209, "")</f>
        <v/>
      </c>
      <c r="F209" s="8" t="str">
        <f t="shared" si="1"/>
        <v/>
      </c>
      <c r="G209" s="5" t="b">
        <f>IF(A209="", "", IF(COUNTIF(Recruiting_Data!A:A, A209)&gt;1, TRUE, FALSE))</f>
        <v>0</v>
      </c>
      <c r="H209" s="5" t="b">
        <f>IF(A209="", "", IF(OR(AND(Recruiting_Data!N209&lt;&gt;"", Recruiting_Data!J209&lt;&gt;"", Recruiting_Data!N209&lt;Recruiting_Data!J209), AND(Recruiting_Data!M209&lt;&gt;"", Recruiting_Data!L209&lt;&gt;"", Recruiting_Data!M209&lt;Recruiting_Data!L209), AND(Recruiting_Data!L209&lt;&gt;"", Recruiting_Data!K209&lt;&gt;"", Recruiting_Data!L209&lt;Recruiting_Data!K209)), TRUE, FALSE))</f>
        <v>0</v>
      </c>
    </row>
    <row r="210">
      <c r="A210" s="5" t="str">
        <f>IF(Recruiting_Data!A210="", "", Recruiting_Data!A210)</f>
        <v>C-10209</v>
      </c>
      <c r="B210" s="5" t="str">
        <f>IF(Recruiting_Data!B210="", "", Recruiting_Data!B210)</f>
        <v>REQ-2026-0033</v>
      </c>
      <c r="C210" s="5" t="str">
        <f>IF(AND(ISNUMBER(Recruiting_Data!N210), ISNUMBER(Recruiting_Data!P210)), Recruiting_Data!N210 - Recruiting_Data!P210, "")</f>
        <v/>
      </c>
      <c r="D210" s="5">
        <v>1.0</v>
      </c>
      <c r="E210" s="5" t="str">
        <f>IF(Recruiting_Data!R210="Open", TODAY() - Recruiting_Data!P210, "")</f>
        <v/>
      </c>
      <c r="F210" s="8" t="str">
        <f t="shared" si="1"/>
        <v/>
      </c>
      <c r="G210" s="5" t="b">
        <f>IF(A210="", "", IF(COUNTIF(Recruiting_Data!A:A, A210)&gt;1, TRUE, FALSE))</f>
        <v>0</v>
      </c>
      <c r="H210" s="5" t="b">
        <f>IF(A210="", "", IF(OR(AND(Recruiting_Data!N210&lt;&gt;"", Recruiting_Data!J210&lt;&gt;"", Recruiting_Data!N210&lt;Recruiting_Data!J210), AND(Recruiting_Data!M210&lt;&gt;"", Recruiting_Data!L210&lt;&gt;"", Recruiting_Data!M210&lt;Recruiting_Data!L210), AND(Recruiting_Data!L210&lt;&gt;"", Recruiting_Data!K210&lt;&gt;"", Recruiting_Data!L210&lt;Recruiting_Data!K210)), TRUE, FALSE))</f>
        <v>0</v>
      </c>
    </row>
    <row r="211">
      <c r="A211" s="5" t="str">
        <f>IF(Recruiting_Data!A211="", "", Recruiting_Data!A211)</f>
        <v>C-10210</v>
      </c>
      <c r="B211" s="5" t="str">
        <f>IF(Recruiting_Data!B211="", "", Recruiting_Data!B211)</f>
        <v>REQ-2026-0021</v>
      </c>
      <c r="C211" s="5" t="str">
        <f>IF(AND(ISNUMBER(Recruiting_Data!N211), ISNUMBER(Recruiting_Data!P211)), Recruiting_Data!N211 - Recruiting_Data!P211, "")</f>
        <v/>
      </c>
      <c r="D211" s="5">
        <v>2.0</v>
      </c>
      <c r="E211" s="5" t="str">
        <f>IF(Recruiting_Data!R211="Open", TODAY() - Recruiting_Data!P211, "")</f>
        <v/>
      </c>
      <c r="F211" s="8" t="str">
        <f t="shared" si="1"/>
        <v/>
      </c>
      <c r="G211" s="5" t="b">
        <f>IF(A211="", "", IF(COUNTIF(Recruiting_Data!A:A, A211)&gt;1, TRUE, FALSE))</f>
        <v>0</v>
      </c>
      <c r="H211" s="5" t="b">
        <f>IF(A211="", "", IF(OR(AND(Recruiting_Data!N211&lt;&gt;"", Recruiting_Data!J211&lt;&gt;"", Recruiting_Data!N211&lt;Recruiting_Data!J211), AND(Recruiting_Data!M211&lt;&gt;"", Recruiting_Data!L211&lt;&gt;"", Recruiting_Data!M211&lt;Recruiting_Data!L211), AND(Recruiting_Data!L211&lt;&gt;"", Recruiting_Data!K211&lt;&gt;"", Recruiting_Data!L211&lt;Recruiting_Data!K211)), TRUE, FALSE))</f>
        <v>0</v>
      </c>
    </row>
    <row r="212">
      <c r="A212" s="5" t="str">
        <f>IF(Recruiting_Data!A212="", "", Recruiting_Data!A212)</f>
        <v>C-10211</v>
      </c>
      <c r="B212" s="5" t="str">
        <f>IF(Recruiting_Data!B212="", "", Recruiting_Data!B212)</f>
        <v>REQ-2026-0031</v>
      </c>
      <c r="C212" s="5" t="str">
        <f>IF(AND(ISNUMBER(Recruiting_Data!N212), ISNUMBER(Recruiting_Data!P212)), Recruiting_Data!N212 - Recruiting_Data!P212, "")</f>
        <v/>
      </c>
      <c r="D212" s="5">
        <v>3.0</v>
      </c>
      <c r="E212" s="5">
        <f>IF(Recruiting_Data!R212="Open", TODAY() - Recruiting_Data!P212, "")</f>
        <v>220</v>
      </c>
      <c r="F212" s="8" t="str">
        <f t="shared" si="1"/>
        <v>60+</v>
      </c>
      <c r="G212" s="5" t="b">
        <f>IF(A212="", "", IF(COUNTIF(Recruiting_Data!A:A, A212)&gt;1, TRUE, FALSE))</f>
        <v>0</v>
      </c>
      <c r="H212" s="5" t="b">
        <f>IF(A212="", "", IF(OR(AND(Recruiting_Data!N212&lt;&gt;"", Recruiting_Data!J212&lt;&gt;"", Recruiting_Data!N212&lt;Recruiting_Data!J212), AND(Recruiting_Data!M212&lt;&gt;"", Recruiting_Data!L212&lt;&gt;"", Recruiting_Data!M212&lt;Recruiting_Data!L212), AND(Recruiting_Data!L212&lt;&gt;"", Recruiting_Data!K212&lt;&gt;"", Recruiting_Data!L212&lt;Recruiting_Data!K212)), TRUE, FALSE))</f>
        <v>0</v>
      </c>
    </row>
    <row r="213">
      <c r="A213" s="5" t="str">
        <f>IF(Recruiting_Data!A213="", "", Recruiting_Data!A213)</f>
        <v>C-10212</v>
      </c>
      <c r="B213" s="5" t="str">
        <f>IF(Recruiting_Data!B213="", "", Recruiting_Data!B213)</f>
        <v>REQ-2026-0029</v>
      </c>
      <c r="C213" s="5" t="str">
        <f>IF(AND(ISNUMBER(Recruiting_Data!N213), ISNUMBER(Recruiting_Data!P213)), Recruiting_Data!N213 - Recruiting_Data!P213, "")</f>
        <v/>
      </c>
      <c r="D213" s="5">
        <v>1.0</v>
      </c>
      <c r="E213" s="5" t="str">
        <f>IF(Recruiting_Data!R213="Open", TODAY() - Recruiting_Data!P213, "")</f>
        <v/>
      </c>
      <c r="F213" s="8" t="str">
        <f t="shared" si="1"/>
        <v/>
      </c>
      <c r="G213" s="5" t="b">
        <f>IF(A213="", "", IF(COUNTIF(Recruiting_Data!A:A, A213)&gt;1, TRUE, FALSE))</f>
        <v>0</v>
      </c>
      <c r="H213" s="5" t="b">
        <f>IF(A213="", "", IF(OR(AND(Recruiting_Data!N213&lt;&gt;"", Recruiting_Data!J213&lt;&gt;"", Recruiting_Data!N213&lt;Recruiting_Data!J213), AND(Recruiting_Data!M213&lt;&gt;"", Recruiting_Data!L213&lt;&gt;"", Recruiting_Data!M213&lt;Recruiting_Data!L213), AND(Recruiting_Data!L213&lt;&gt;"", Recruiting_Data!K213&lt;&gt;"", Recruiting_Data!L213&lt;Recruiting_Data!K213)), TRUE, FALSE))</f>
        <v>0</v>
      </c>
    </row>
    <row r="214">
      <c r="A214" s="5" t="str">
        <f>IF(Recruiting_Data!A214="", "", Recruiting_Data!A214)</f>
        <v>C-10213</v>
      </c>
      <c r="B214" s="5" t="str">
        <f>IF(Recruiting_Data!B214="", "", Recruiting_Data!B214)</f>
        <v>REQ-2026-0043</v>
      </c>
      <c r="C214" s="5" t="str">
        <f>IF(AND(ISNUMBER(Recruiting_Data!N214), ISNUMBER(Recruiting_Data!P214)), Recruiting_Data!N214 - Recruiting_Data!P214, "")</f>
        <v/>
      </c>
      <c r="D214" s="5">
        <v>2.0</v>
      </c>
      <c r="E214" s="5">
        <f>IF(Recruiting_Data!R214="Open", TODAY() - Recruiting_Data!P214, "")</f>
        <v>162</v>
      </c>
      <c r="F214" s="8" t="str">
        <f t="shared" si="1"/>
        <v>60+</v>
      </c>
      <c r="G214" s="5" t="b">
        <f>IF(A214="", "", IF(COUNTIF(Recruiting_Data!A:A, A214)&gt;1, TRUE, FALSE))</f>
        <v>0</v>
      </c>
      <c r="H214" s="5" t="b">
        <f>IF(A214="", "", IF(OR(AND(Recruiting_Data!N214&lt;&gt;"", Recruiting_Data!J214&lt;&gt;"", Recruiting_Data!N214&lt;Recruiting_Data!J214), AND(Recruiting_Data!M214&lt;&gt;"", Recruiting_Data!L214&lt;&gt;"", Recruiting_Data!M214&lt;Recruiting_Data!L214), AND(Recruiting_Data!L214&lt;&gt;"", Recruiting_Data!K214&lt;&gt;"", Recruiting_Data!L214&lt;Recruiting_Data!K214)), TRUE, FALSE))</f>
        <v>0</v>
      </c>
    </row>
    <row r="215">
      <c r="A215" s="5" t="str">
        <f>IF(Recruiting_Data!A215="", "", Recruiting_Data!A215)</f>
        <v>C-10214</v>
      </c>
      <c r="B215" s="5" t="str">
        <f>IF(Recruiting_Data!B215="", "", Recruiting_Data!B215)</f>
        <v>REQ-2026-0012</v>
      </c>
      <c r="C215" s="5" t="str">
        <f>IF(AND(ISNUMBER(Recruiting_Data!N215), ISNUMBER(Recruiting_Data!P215)), Recruiting_Data!N215 - Recruiting_Data!P215, "")</f>
        <v/>
      </c>
      <c r="D215" s="5">
        <v>2.0</v>
      </c>
      <c r="E215" s="5" t="str">
        <f>IF(Recruiting_Data!R215="Open", TODAY() - Recruiting_Data!P215, "")</f>
        <v/>
      </c>
      <c r="F215" s="8" t="str">
        <f t="shared" si="1"/>
        <v/>
      </c>
      <c r="G215" s="5" t="b">
        <f>IF(A215="", "", IF(COUNTIF(Recruiting_Data!A:A, A215)&gt;1, TRUE, FALSE))</f>
        <v>0</v>
      </c>
      <c r="H215" s="5" t="b">
        <f>IF(A215="", "", IF(OR(AND(Recruiting_Data!N215&lt;&gt;"", Recruiting_Data!J215&lt;&gt;"", Recruiting_Data!N215&lt;Recruiting_Data!J215), AND(Recruiting_Data!M215&lt;&gt;"", Recruiting_Data!L215&lt;&gt;"", Recruiting_Data!M215&lt;Recruiting_Data!L215), AND(Recruiting_Data!L215&lt;&gt;"", Recruiting_Data!K215&lt;&gt;"", Recruiting_Data!L215&lt;Recruiting_Data!K215)), TRUE, FALSE))</f>
        <v>0</v>
      </c>
    </row>
    <row r="216">
      <c r="A216" s="5" t="str">
        <f>IF(Recruiting_Data!A216="", "", Recruiting_Data!A216)</f>
        <v>C-10215</v>
      </c>
      <c r="B216" s="5" t="str">
        <f>IF(Recruiting_Data!B216="", "", Recruiting_Data!B216)</f>
        <v>REQ-2026-0021</v>
      </c>
      <c r="C216" s="5" t="str">
        <f>IF(AND(ISNUMBER(Recruiting_Data!N216), ISNUMBER(Recruiting_Data!P216)), Recruiting_Data!N216 - Recruiting_Data!P216, "")</f>
        <v/>
      </c>
      <c r="D216" s="5">
        <v>3.0</v>
      </c>
      <c r="E216" s="5" t="str">
        <f>IF(Recruiting_Data!R216="Open", TODAY() - Recruiting_Data!P216, "")</f>
        <v/>
      </c>
      <c r="F216" s="8" t="str">
        <f t="shared" si="1"/>
        <v/>
      </c>
      <c r="G216" s="5" t="b">
        <f>IF(A216="", "", IF(COUNTIF(Recruiting_Data!A:A, A216)&gt;1, TRUE, FALSE))</f>
        <v>0</v>
      </c>
      <c r="H216" s="5" t="b">
        <f>IF(A216="", "", IF(OR(AND(Recruiting_Data!N216&lt;&gt;"", Recruiting_Data!J216&lt;&gt;"", Recruiting_Data!N216&lt;Recruiting_Data!J216), AND(Recruiting_Data!M216&lt;&gt;"", Recruiting_Data!L216&lt;&gt;"", Recruiting_Data!M216&lt;Recruiting_Data!L216), AND(Recruiting_Data!L216&lt;&gt;"", Recruiting_Data!K216&lt;&gt;"", Recruiting_Data!L216&lt;Recruiting_Data!K216)), TRUE, FALSE))</f>
        <v>0</v>
      </c>
    </row>
    <row r="217">
      <c r="A217" s="5" t="str">
        <f>IF(Recruiting_Data!A217="", "", Recruiting_Data!A217)</f>
        <v>C-10216</v>
      </c>
      <c r="B217" s="5" t="str">
        <f>IF(Recruiting_Data!B217="", "", Recruiting_Data!B217)</f>
        <v>REQ-2026-0031</v>
      </c>
      <c r="C217" s="5" t="str">
        <f>IF(AND(ISNUMBER(Recruiting_Data!N217), ISNUMBER(Recruiting_Data!P217)), Recruiting_Data!N217 - Recruiting_Data!P217, "")</f>
        <v/>
      </c>
      <c r="D217" s="5">
        <v>3.0</v>
      </c>
      <c r="E217" s="5">
        <f>IF(Recruiting_Data!R217="Open", TODAY() - Recruiting_Data!P217, "")</f>
        <v>255</v>
      </c>
      <c r="F217" s="8" t="str">
        <f t="shared" si="1"/>
        <v>60+</v>
      </c>
      <c r="G217" s="5" t="b">
        <f>IF(A217="", "", IF(COUNTIF(Recruiting_Data!A:A, A217)&gt;1, TRUE, FALSE))</f>
        <v>0</v>
      </c>
      <c r="H217" s="5" t="b">
        <f>IF(A217="", "", IF(OR(AND(Recruiting_Data!N217&lt;&gt;"", Recruiting_Data!J217&lt;&gt;"", Recruiting_Data!N217&lt;Recruiting_Data!J217), AND(Recruiting_Data!M217&lt;&gt;"", Recruiting_Data!L217&lt;&gt;"", Recruiting_Data!M217&lt;Recruiting_Data!L217), AND(Recruiting_Data!L217&lt;&gt;"", Recruiting_Data!K217&lt;&gt;"", Recruiting_Data!L217&lt;Recruiting_Data!K217)), TRUE, FALSE))</f>
        <v>0</v>
      </c>
    </row>
    <row r="218">
      <c r="A218" s="5" t="str">
        <f>IF(Recruiting_Data!A218="", "", Recruiting_Data!A218)</f>
        <v>C-10217</v>
      </c>
      <c r="B218" s="5" t="str">
        <f>IF(Recruiting_Data!B218="", "", Recruiting_Data!B218)</f>
        <v>REQ-2026-0001</v>
      </c>
      <c r="C218" s="5" t="str">
        <f>IF(AND(ISNUMBER(Recruiting_Data!N218), ISNUMBER(Recruiting_Data!P218)), Recruiting_Data!N218 - Recruiting_Data!P218, "")</f>
        <v/>
      </c>
      <c r="D218" s="5">
        <v>1.0</v>
      </c>
      <c r="E218" s="5" t="str">
        <f>IF(Recruiting_Data!R218="Open", TODAY() - Recruiting_Data!P218, "")</f>
        <v/>
      </c>
      <c r="F218" s="8" t="str">
        <f t="shared" si="1"/>
        <v/>
      </c>
      <c r="G218" s="5" t="b">
        <f>IF(A218="", "", IF(COUNTIF(Recruiting_Data!A:A, A218)&gt;1, TRUE, FALSE))</f>
        <v>0</v>
      </c>
      <c r="H218" s="5" t="b">
        <f>IF(A218="", "", IF(OR(AND(Recruiting_Data!N218&lt;&gt;"", Recruiting_Data!J218&lt;&gt;"", Recruiting_Data!N218&lt;Recruiting_Data!J218), AND(Recruiting_Data!M218&lt;&gt;"", Recruiting_Data!L218&lt;&gt;"", Recruiting_Data!M218&lt;Recruiting_Data!L218), AND(Recruiting_Data!L218&lt;&gt;"", Recruiting_Data!K218&lt;&gt;"", Recruiting_Data!L218&lt;Recruiting_Data!K218)), TRUE, FALSE))</f>
        <v>0</v>
      </c>
    </row>
    <row r="219">
      <c r="A219" s="5" t="str">
        <f>IF(Recruiting_Data!A219="", "", Recruiting_Data!A219)</f>
        <v>C-10218</v>
      </c>
      <c r="B219" s="5" t="str">
        <f>IF(Recruiting_Data!B219="", "", Recruiting_Data!B219)</f>
        <v>REQ-2026-0006</v>
      </c>
      <c r="C219" s="5">
        <f>IF(AND(ISNUMBER(Recruiting_Data!N219), ISNUMBER(Recruiting_Data!P219)), Recruiting_Data!N219 - Recruiting_Data!P219, "")</f>
        <v>28</v>
      </c>
      <c r="D219" s="5">
        <v>5.0</v>
      </c>
      <c r="E219" s="5" t="str">
        <f>IF(Recruiting_Data!R219="Open", TODAY() - Recruiting_Data!P219, "")</f>
        <v/>
      </c>
      <c r="F219" s="8" t="str">
        <f t="shared" si="1"/>
        <v/>
      </c>
      <c r="G219" s="5" t="b">
        <f>IF(A219="", "", IF(COUNTIF(Recruiting_Data!A:A, A219)&gt;1, TRUE, FALSE))</f>
        <v>0</v>
      </c>
      <c r="H219" s="5" t="b">
        <f>IF(A219="", "", IF(OR(AND(Recruiting_Data!N219&lt;&gt;"", Recruiting_Data!J219&lt;&gt;"", Recruiting_Data!N219&lt;Recruiting_Data!J219), AND(Recruiting_Data!M219&lt;&gt;"", Recruiting_Data!L219&lt;&gt;"", Recruiting_Data!M219&lt;Recruiting_Data!L219), AND(Recruiting_Data!L219&lt;&gt;"", Recruiting_Data!K219&lt;&gt;"", Recruiting_Data!L219&lt;Recruiting_Data!K219)), TRUE, FALSE))</f>
        <v>0</v>
      </c>
    </row>
    <row r="220">
      <c r="A220" s="5" t="str">
        <f>IF(Recruiting_Data!A220="", "", Recruiting_Data!A220)</f>
        <v>C-10219</v>
      </c>
      <c r="B220" s="5" t="str">
        <f>IF(Recruiting_Data!B220="", "", Recruiting_Data!B220)</f>
        <v>REQ-2026-0008</v>
      </c>
      <c r="C220" s="5" t="str">
        <f>IF(AND(ISNUMBER(Recruiting_Data!N220), ISNUMBER(Recruiting_Data!P220)), Recruiting_Data!N220 - Recruiting_Data!P220, "")</f>
        <v/>
      </c>
      <c r="D220" s="5">
        <v>4.0</v>
      </c>
      <c r="E220" s="5" t="str">
        <f>IF(Recruiting_Data!R220="Open", TODAY() - Recruiting_Data!P220, "")</f>
        <v/>
      </c>
      <c r="F220" s="8" t="str">
        <f t="shared" si="1"/>
        <v/>
      </c>
      <c r="G220" s="5" t="b">
        <f>IF(A220="", "", IF(COUNTIF(Recruiting_Data!A:A, A220)&gt;1, TRUE, FALSE))</f>
        <v>0</v>
      </c>
      <c r="H220" s="5" t="b">
        <f>IF(A220="", "", IF(OR(AND(Recruiting_Data!N220&lt;&gt;"", Recruiting_Data!J220&lt;&gt;"", Recruiting_Data!N220&lt;Recruiting_Data!J220), AND(Recruiting_Data!M220&lt;&gt;"", Recruiting_Data!L220&lt;&gt;"", Recruiting_Data!M220&lt;Recruiting_Data!L220), AND(Recruiting_Data!L220&lt;&gt;"", Recruiting_Data!K220&lt;&gt;"", Recruiting_Data!L220&lt;Recruiting_Data!K220)), TRUE, FALSE))</f>
        <v>0</v>
      </c>
    </row>
    <row r="221">
      <c r="A221" s="5" t="str">
        <f>IF(Recruiting_Data!A221="", "", Recruiting_Data!A221)</f>
        <v>C-10220</v>
      </c>
      <c r="B221" s="5" t="str">
        <f>IF(Recruiting_Data!B221="", "", Recruiting_Data!B221)</f>
        <v>REQ-2026-0039</v>
      </c>
      <c r="C221" s="5" t="str">
        <f>IF(AND(ISNUMBER(Recruiting_Data!N221), ISNUMBER(Recruiting_Data!P221)), Recruiting_Data!N221 - Recruiting_Data!P221, "")</f>
        <v/>
      </c>
      <c r="D221" s="5">
        <v>1.0</v>
      </c>
      <c r="E221" s="5">
        <f>IF(Recruiting_Data!R221="Open", TODAY() - Recruiting_Data!P221, "")</f>
        <v>192</v>
      </c>
      <c r="F221" s="8" t="str">
        <f t="shared" si="1"/>
        <v>60+</v>
      </c>
      <c r="G221" s="5" t="b">
        <f>IF(A221="", "", IF(COUNTIF(Recruiting_Data!A:A, A221)&gt;1, TRUE, FALSE))</f>
        <v>0</v>
      </c>
      <c r="H221" s="5" t="b">
        <f>IF(A221="", "", IF(OR(AND(Recruiting_Data!N221&lt;&gt;"", Recruiting_Data!J221&lt;&gt;"", Recruiting_Data!N221&lt;Recruiting_Data!J221), AND(Recruiting_Data!M221&lt;&gt;"", Recruiting_Data!L221&lt;&gt;"", Recruiting_Data!M221&lt;Recruiting_Data!L221), AND(Recruiting_Data!L221&lt;&gt;"", Recruiting_Data!K221&lt;&gt;"", Recruiting_Data!L221&lt;Recruiting_Data!K221)), TRUE, FALSE))</f>
        <v>0</v>
      </c>
    </row>
    <row r="222">
      <c r="A222" s="5" t="str">
        <f>IF(Recruiting_Data!A222="", "", Recruiting_Data!A222)</f>
        <v>C-10221</v>
      </c>
      <c r="B222" s="5" t="str">
        <f>IF(Recruiting_Data!B222="", "", Recruiting_Data!B222)</f>
        <v>REQ-2026-0036</v>
      </c>
      <c r="C222" s="5" t="str">
        <f>IF(AND(ISNUMBER(Recruiting_Data!N222), ISNUMBER(Recruiting_Data!P222)), Recruiting_Data!N222 - Recruiting_Data!P222, "")</f>
        <v/>
      </c>
      <c r="D222" s="5">
        <v>2.0</v>
      </c>
      <c r="E222" s="5" t="str">
        <f>IF(Recruiting_Data!R222="Open", TODAY() - Recruiting_Data!P222, "")</f>
        <v/>
      </c>
      <c r="F222" s="8" t="str">
        <f t="shared" si="1"/>
        <v/>
      </c>
      <c r="G222" s="5" t="b">
        <f>IF(A222="", "", IF(COUNTIF(Recruiting_Data!A:A, A222)&gt;1, TRUE, FALSE))</f>
        <v>0</v>
      </c>
      <c r="H222" s="5" t="b">
        <f>IF(A222="", "", IF(OR(AND(Recruiting_Data!N222&lt;&gt;"", Recruiting_Data!J222&lt;&gt;"", Recruiting_Data!N222&lt;Recruiting_Data!J222), AND(Recruiting_Data!M222&lt;&gt;"", Recruiting_Data!L222&lt;&gt;"", Recruiting_Data!M222&lt;Recruiting_Data!L222), AND(Recruiting_Data!L222&lt;&gt;"", Recruiting_Data!K222&lt;&gt;"", Recruiting_Data!L222&lt;Recruiting_Data!K222)), TRUE, FALSE))</f>
        <v>0</v>
      </c>
    </row>
    <row r="223">
      <c r="A223" s="5" t="str">
        <f>IF(Recruiting_Data!A223="", "", Recruiting_Data!A223)</f>
        <v>C-10222</v>
      </c>
      <c r="B223" s="5" t="str">
        <f>IF(Recruiting_Data!B223="", "", Recruiting_Data!B223)</f>
        <v>REQ-2026-0039</v>
      </c>
      <c r="C223" s="5" t="str">
        <f>IF(AND(ISNUMBER(Recruiting_Data!N223), ISNUMBER(Recruiting_Data!P223)), Recruiting_Data!N223 - Recruiting_Data!P223, "")</f>
        <v/>
      </c>
      <c r="D223" s="5">
        <v>2.0</v>
      </c>
      <c r="E223" s="5">
        <f>IF(Recruiting_Data!R223="Open", TODAY() - Recruiting_Data!P223, "")</f>
        <v>132</v>
      </c>
      <c r="F223" s="8" t="str">
        <f t="shared" si="1"/>
        <v>60+</v>
      </c>
      <c r="G223" s="5" t="b">
        <f>IF(A223="", "", IF(COUNTIF(Recruiting_Data!A:A, A223)&gt;1, TRUE, FALSE))</f>
        <v>0</v>
      </c>
      <c r="H223" s="5" t="b">
        <f>IF(A223="", "", IF(OR(AND(Recruiting_Data!N223&lt;&gt;"", Recruiting_Data!J223&lt;&gt;"", Recruiting_Data!N223&lt;Recruiting_Data!J223), AND(Recruiting_Data!M223&lt;&gt;"", Recruiting_Data!L223&lt;&gt;"", Recruiting_Data!M223&lt;Recruiting_Data!L223), AND(Recruiting_Data!L223&lt;&gt;"", Recruiting_Data!K223&lt;&gt;"", Recruiting_Data!L223&lt;Recruiting_Data!K223)), TRUE, FALSE))</f>
        <v>0</v>
      </c>
    </row>
    <row r="224">
      <c r="A224" s="5" t="str">
        <f>IF(Recruiting_Data!A224="", "", Recruiting_Data!A224)</f>
        <v>C-10223</v>
      </c>
      <c r="B224" s="5" t="str">
        <f>IF(Recruiting_Data!B224="", "", Recruiting_Data!B224)</f>
        <v>REQ-2026-0029</v>
      </c>
      <c r="C224" s="5" t="str">
        <f>IF(AND(ISNUMBER(Recruiting_Data!N224), ISNUMBER(Recruiting_Data!P224)), Recruiting_Data!N224 - Recruiting_Data!P224, "")</f>
        <v/>
      </c>
      <c r="D224" s="5">
        <v>2.0</v>
      </c>
      <c r="E224" s="5" t="str">
        <f>IF(Recruiting_Data!R224="Open", TODAY() - Recruiting_Data!P224, "")</f>
        <v/>
      </c>
      <c r="F224" s="8" t="str">
        <f t="shared" si="1"/>
        <v/>
      </c>
      <c r="G224" s="5" t="b">
        <f>IF(A224="", "", IF(COUNTIF(Recruiting_Data!A:A, A224)&gt;1, TRUE, FALSE))</f>
        <v>0</v>
      </c>
      <c r="H224" s="5" t="b">
        <f>IF(A224="", "", IF(OR(AND(Recruiting_Data!N224&lt;&gt;"", Recruiting_Data!J224&lt;&gt;"", Recruiting_Data!N224&lt;Recruiting_Data!J224), AND(Recruiting_Data!M224&lt;&gt;"", Recruiting_Data!L224&lt;&gt;"", Recruiting_Data!M224&lt;Recruiting_Data!L224), AND(Recruiting_Data!L224&lt;&gt;"", Recruiting_Data!K224&lt;&gt;"", Recruiting_Data!L224&lt;Recruiting_Data!K224)), TRUE, FALSE))</f>
        <v>0</v>
      </c>
    </row>
    <row r="225">
      <c r="A225" s="5" t="str">
        <f>IF(Recruiting_Data!A225="", "", Recruiting_Data!A225)</f>
        <v>C-10224</v>
      </c>
      <c r="B225" s="5" t="str">
        <f>IF(Recruiting_Data!B225="", "", Recruiting_Data!B225)</f>
        <v>REQ-2026-0047</v>
      </c>
      <c r="C225" s="5" t="str">
        <f>IF(AND(ISNUMBER(Recruiting_Data!N225), ISNUMBER(Recruiting_Data!P225)), Recruiting_Data!N225 - Recruiting_Data!P225, "")</f>
        <v/>
      </c>
      <c r="D225" s="5">
        <v>1.0</v>
      </c>
      <c r="E225" s="5">
        <f>IF(Recruiting_Data!R225="Open", TODAY() - Recruiting_Data!P225, "")</f>
        <v>110</v>
      </c>
      <c r="F225" s="8" t="str">
        <f t="shared" si="1"/>
        <v>60+</v>
      </c>
      <c r="G225" s="5" t="b">
        <f>IF(A225="", "", IF(COUNTIF(Recruiting_Data!A:A, A225)&gt;1, TRUE, FALSE))</f>
        <v>0</v>
      </c>
      <c r="H225" s="5" t="b">
        <f>IF(A225="", "", IF(OR(AND(Recruiting_Data!N225&lt;&gt;"", Recruiting_Data!J225&lt;&gt;"", Recruiting_Data!N225&lt;Recruiting_Data!J225), AND(Recruiting_Data!M225&lt;&gt;"", Recruiting_Data!L225&lt;&gt;"", Recruiting_Data!M225&lt;Recruiting_Data!L225), AND(Recruiting_Data!L225&lt;&gt;"", Recruiting_Data!K225&lt;&gt;"", Recruiting_Data!L225&lt;Recruiting_Data!K225)), TRUE, FALSE))</f>
        <v>0</v>
      </c>
    </row>
    <row r="226">
      <c r="A226" s="5" t="str">
        <f>IF(Recruiting_Data!A226="", "", Recruiting_Data!A226)</f>
        <v>C-10225</v>
      </c>
      <c r="B226" s="5" t="str">
        <f>IF(Recruiting_Data!B226="", "", Recruiting_Data!B226)</f>
        <v>REQ-2026-0022</v>
      </c>
      <c r="C226" s="5" t="str">
        <f>IF(AND(ISNUMBER(Recruiting_Data!N226), ISNUMBER(Recruiting_Data!P226)), Recruiting_Data!N226 - Recruiting_Data!P226, "")</f>
        <v/>
      </c>
      <c r="D226" s="5">
        <v>3.0</v>
      </c>
      <c r="E226" s="5" t="str">
        <f>IF(Recruiting_Data!R226="Open", TODAY() - Recruiting_Data!P226, "")</f>
        <v/>
      </c>
      <c r="F226" s="8" t="str">
        <f t="shared" si="1"/>
        <v/>
      </c>
      <c r="G226" s="5" t="b">
        <f>IF(A226="", "", IF(COUNTIF(Recruiting_Data!A:A, A226)&gt;1, TRUE, FALSE))</f>
        <v>0</v>
      </c>
      <c r="H226" s="5" t="b">
        <f>IF(A226="", "", IF(OR(AND(Recruiting_Data!N226&lt;&gt;"", Recruiting_Data!J226&lt;&gt;"", Recruiting_Data!N226&lt;Recruiting_Data!J226), AND(Recruiting_Data!M226&lt;&gt;"", Recruiting_Data!L226&lt;&gt;"", Recruiting_Data!M226&lt;Recruiting_Data!L226), AND(Recruiting_Data!L226&lt;&gt;"", Recruiting_Data!K226&lt;&gt;"", Recruiting_Data!L226&lt;Recruiting_Data!K226)), TRUE, FALSE))</f>
        <v>0</v>
      </c>
    </row>
    <row r="227">
      <c r="A227" s="5" t="str">
        <f>IF(Recruiting_Data!A227="", "", Recruiting_Data!A227)</f>
        <v>C-10226</v>
      </c>
      <c r="B227" s="5" t="str">
        <f>IF(Recruiting_Data!B227="", "", Recruiting_Data!B227)</f>
        <v>REQ-2026-0045</v>
      </c>
      <c r="C227" s="5" t="str">
        <f>IF(AND(ISNUMBER(Recruiting_Data!N227), ISNUMBER(Recruiting_Data!P227)), Recruiting_Data!N227 - Recruiting_Data!P227, "")</f>
        <v/>
      </c>
      <c r="D227" s="5">
        <v>3.0</v>
      </c>
      <c r="E227" s="5" t="str">
        <f>IF(Recruiting_Data!R227="Open", TODAY() - Recruiting_Data!P227, "")</f>
        <v/>
      </c>
      <c r="F227" s="8" t="str">
        <f t="shared" si="1"/>
        <v/>
      </c>
      <c r="G227" s="5" t="b">
        <f>IF(A227="", "", IF(COUNTIF(Recruiting_Data!A:A, A227)&gt;1, TRUE, FALSE))</f>
        <v>0</v>
      </c>
      <c r="H227" s="5" t="b">
        <f>IF(A227="", "", IF(OR(AND(Recruiting_Data!N227&lt;&gt;"", Recruiting_Data!J227&lt;&gt;"", Recruiting_Data!N227&lt;Recruiting_Data!J227), AND(Recruiting_Data!M227&lt;&gt;"", Recruiting_Data!L227&lt;&gt;"", Recruiting_Data!M227&lt;Recruiting_Data!L227), AND(Recruiting_Data!L227&lt;&gt;"", Recruiting_Data!K227&lt;&gt;"", Recruiting_Data!L227&lt;Recruiting_Data!K227)), TRUE, FALSE))</f>
        <v>0</v>
      </c>
    </row>
    <row r="228">
      <c r="A228" s="5" t="str">
        <f>IF(Recruiting_Data!A228="", "", Recruiting_Data!A228)</f>
        <v>C-10227</v>
      </c>
      <c r="B228" s="5" t="str">
        <f>IF(Recruiting_Data!B228="", "", Recruiting_Data!B228)</f>
        <v>REQ-2026-0050</v>
      </c>
      <c r="C228" s="5" t="str">
        <f>IF(AND(ISNUMBER(Recruiting_Data!N228), ISNUMBER(Recruiting_Data!P228)), Recruiting_Data!N228 - Recruiting_Data!P228, "")</f>
        <v/>
      </c>
      <c r="D228" s="5">
        <v>4.0</v>
      </c>
      <c r="E228" s="5" t="str">
        <f>IF(Recruiting_Data!R228="Open", TODAY() - Recruiting_Data!P228, "")</f>
        <v/>
      </c>
      <c r="F228" s="8" t="str">
        <f t="shared" si="1"/>
        <v/>
      </c>
      <c r="G228" s="5" t="b">
        <f>IF(A228="", "", IF(COUNTIF(Recruiting_Data!A:A, A228)&gt;1, TRUE, FALSE))</f>
        <v>0</v>
      </c>
      <c r="H228" s="5" t="b">
        <f>IF(A228="", "", IF(OR(AND(Recruiting_Data!N228&lt;&gt;"", Recruiting_Data!J228&lt;&gt;"", Recruiting_Data!N228&lt;Recruiting_Data!J228), AND(Recruiting_Data!M228&lt;&gt;"", Recruiting_Data!L228&lt;&gt;"", Recruiting_Data!M228&lt;Recruiting_Data!L228), AND(Recruiting_Data!L228&lt;&gt;"", Recruiting_Data!K228&lt;&gt;"", Recruiting_Data!L228&lt;Recruiting_Data!K228)), TRUE, FALSE))</f>
        <v>0</v>
      </c>
    </row>
    <row r="229">
      <c r="A229" s="5" t="str">
        <f>IF(Recruiting_Data!A229="", "", Recruiting_Data!A229)</f>
        <v>C-10228</v>
      </c>
      <c r="B229" s="5" t="str">
        <f>IF(Recruiting_Data!B229="", "", Recruiting_Data!B229)</f>
        <v>REQ-2026-0016</v>
      </c>
      <c r="C229" s="5" t="str">
        <f>IF(AND(ISNUMBER(Recruiting_Data!N229), ISNUMBER(Recruiting_Data!P229)), Recruiting_Data!N229 - Recruiting_Data!P229, "")</f>
        <v/>
      </c>
      <c r="D229" s="5">
        <v>1.0</v>
      </c>
      <c r="E229" s="5">
        <f>IF(Recruiting_Data!R229="Open", TODAY() - Recruiting_Data!P229, "")</f>
        <v>134</v>
      </c>
      <c r="F229" s="8" t="str">
        <f t="shared" si="1"/>
        <v>60+</v>
      </c>
      <c r="G229" s="5" t="b">
        <f>IF(A229="", "", IF(COUNTIF(Recruiting_Data!A:A, A229)&gt;1, TRUE, FALSE))</f>
        <v>0</v>
      </c>
      <c r="H229" s="5" t="b">
        <f>IF(A229="", "", IF(OR(AND(Recruiting_Data!N229&lt;&gt;"", Recruiting_Data!J229&lt;&gt;"", Recruiting_Data!N229&lt;Recruiting_Data!J229), AND(Recruiting_Data!M229&lt;&gt;"", Recruiting_Data!L229&lt;&gt;"", Recruiting_Data!M229&lt;Recruiting_Data!L229), AND(Recruiting_Data!L229&lt;&gt;"", Recruiting_Data!K229&lt;&gt;"", Recruiting_Data!L229&lt;Recruiting_Data!K229)), TRUE, FALSE))</f>
        <v>0</v>
      </c>
    </row>
    <row r="230">
      <c r="A230" s="5" t="str">
        <f>IF(Recruiting_Data!A230="", "", Recruiting_Data!A230)</f>
        <v>C-10229</v>
      </c>
      <c r="B230" s="5" t="str">
        <f>IF(Recruiting_Data!B230="", "", Recruiting_Data!B230)</f>
        <v>REQ-2026-0019</v>
      </c>
      <c r="C230" s="5" t="str">
        <f>IF(AND(ISNUMBER(Recruiting_Data!N230), ISNUMBER(Recruiting_Data!P230)), Recruiting_Data!N230 - Recruiting_Data!P230, "")</f>
        <v/>
      </c>
      <c r="D230" s="5">
        <v>1.0</v>
      </c>
      <c r="E230" s="5" t="str">
        <f>IF(Recruiting_Data!R230="Open", TODAY() - Recruiting_Data!P230, "")</f>
        <v/>
      </c>
      <c r="F230" s="8" t="str">
        <f t="shared" si="1"/>
        <v/>
      </c>
      <c r="G230" s="5" t="b">
        <f>IF(A230="", "", IF(COUNTIF(Recruiting_Data!A:A, A230)&gt;1, TRUE, FALSE))</f>
        <v>0</v>
      </c>
      <c r="H230" s="5" t="b">
        <f>IF(A230="", "", IF(OR(AND(Recruiting_Data!N230&lt;&gt;"", Recruiting_Data!J230&lt;&gt;"", Recruiting_Data!N230&lt;Recruiting_Data!J230), AND(Recruiting_Data!M230&lt;&gt;"", Recruiting_Data!L230&lt;&gt;"", Recruiting_Data!M230&lt;Recruiting_Data!L230), AND(Recruiting_Data!L230&lt;&gt;"", Recruiting_Data!K230&lt;&gt;"", Recruiting_Data!L230&lt;Recruiting_Data!K230)), TRUE, FALSE))</f>
        <v>0</v>
      </c>
    </row>
    <row r="231">
      <c r="A231" s="5" t="str">
        <f>IF(Recruiting_Data!A231="", "", Recruiting_Data!A231)</f>
        <v>C-10230</v>
      </c>
      <c r="B231" s="5" t="str">
        <f>IF(Recruiting_Data!B231="", "", Recruiting_Data!B231)</f>
        <v>REQ-2026-0048</v>
      </c>
      <c r="C231" s="5" t="str">
        <f>IF(AND(ISNUMBER(Recruiting_Data!N231), ISNUMBER(Recruiting_Data!P231)), Recruiting_Data!N231 - Recruiting_Data!P231, "")</f>
        <v/>
      </c>
      <c r="D231" s="5">
        <v>3.0</v>
      </c>
      <c r="E231" s="5" t="str">
        <f>IF(Recruiting_Data!R231="Open", TODAY() - Recruiting_Data!P231, "")</f>
        <v/>
      </c>
      <c r="F231" s="8" t="str">
        <f t="shared" si="1"/>
        <v/>
      </c>
      <c r="G231" s="5" t="b">
        <f>IF(A231="", "", IF(COUNTIF(Recruiting_Data!A:A, A231)&gt;1, TRUE, FALSE))</f>
        <v>0</v>
      </c>
      <c r="H231" s="5" t="b">
        <f>IF(A231="", "", IF(OR(AND(Recruiting_Data!N231&lt;&gt;"", Recruiting_Data!J231&lt;&gt;"", Recruiting_Data!N231&lt;Recruiting_Data!J231), AND(Recruiting_Data!M231&lt;&gt;"", Recruiting_Data!L231&lt;&gt;"", Recruiting_Data!M231&lt;Recruiting_Data!L231), AND(Recruiting_Data!L231&lt;&gt;"", Recruiting_Data!K231&lt;&gt;"", Recruiting_Data!L231&lt;Recruiting_Data!K231)), TRUE, FALSE))</f>
        <v>0</v>
      </c>
    </row>
    <row r="232">
      <c r="A232" s="5" t="str">
        <f>IF(Recruiting_Data!A232="", "", Recruiting_Data!A232)</f>
        <v>C-10231</v>
      </c>
      <c r="B232" s="5" t="str">
        <f>IF(Recruiting_Data!B232="", "", Recruiting_Data!B232)</f>
        <v>REQ-2026-0014</v>
      </c>
      <c r="C232" s="5" t="str">
        <f>IF(AND(ISNUMBER(Recruiting_Data!N232), ISNUMBER(Recruiting_Data!P232)), Recruiting_Data!N232 - Recruiting_Data!P232, "")</f>
        <v/>
      </c>
      <c r="D232" s="5">
        <v>4.0</v>
      </c>
      <c r="E232" s="5">
        <f>IF(Recruiting_Data!R232="Open", TODAY() - Recruiting_Data!P232, "")</f>
        <v>211</v>
      </c>
      <c r="F232" s="8" t="str">
        <f t="shared" si="1"/>
        <v>60+</v>
      </c>
      <c r="G232" s="5" t="b">
        <f>IF(A232="", "", IF(COUNTIF(Recruiting_Data!A:A, A232)&gt;1, TRUE, FALSE))</f>
        <v>0</v>
      </c>
      <c r="H232" s="5" t="b">
        <f>IF(A232="", "", IF(OR(AND(Recruiting_Data!N232&lt;&gt;"", Recruiting_Data!J232&lt;&gt;"", Recruiting_Data!N232&lt;Recruiting_Data!J232), AND(Recruiting_Data!M232&lt;&gt;"", Recruiting_Data!L232&lt;&gt;"", Recruiting_Data!M232&lt;Recruiting_Data!L232), AND(Recruiting_Data!L232&lt;&gt;"", Recruiting_Data!K232&lt;&gt;"", Recruiting_Data!L232&lt;Recruiting_Data!K232)), TRUE, FALSE))</f>
        <v>0</v>
      </c>
    </row>
    <row r="233">
      <c r="A233" s="5" t="str">
        <f>IF(Recruiting_Data!A233="", "", Recruiting_Data!A233)</f>
        <v>C-10232</v>
      </c>
      <c r="B233" s="5" t="str">
        <f>IF(Recruiting_Data!B233="", "", Recruiting_Data!B233)</f>
        <v>REQ-2026-0017</v>
      </c>
      <c r="C233" s="5" t="str">
        <f>IF(AND(ISNUMBER(Recruiting_Data!N233), ISNUMBER(Recruiting_Data!P233)), Recruiting_Data!N233 - Recruiting_Data!P233, "")</f>
        <v/>
      </c>
      <c r="D233" s="5">
        <v>2.0</v>
      </c>
      <c r="E233" s="5" t="str">
        <f>IF(Recruiting_Data!R233="Open", TODAY() - Recruiting_Data!P233, "")</f>
        <v/>
      </c>
      <c r="F233" s="8" t="str">
        <f t="shared" si="1"/>
        <v/>
      </c>
      <c r="G233" s="5" t="b">
        <f>IF(A233="", "", IF(COUNTIF(Recruiting_Data!A:A, A233)&gt;1, TRUE, FALSE))</f>
        <v>0</v>
      </c>
      <c r="H233" s="5" t="b">
        <f>IF(A233="", "", IF(OR(AND(Recruiting_Data!N233&lt;&gt;"", Recruiting_Data!J233&lt;&gt;"", Recruiting_Data!N233&lt;Recruiting_Data!J233), AND(Recruiting_Data!M233&lt;&gt;"", Recruiting_Data!L233&lt;&gt;"", Recruiting_Data!M233&lt;Recruiting_Data!L233), AND(Recruiting_Data!L233&lt;&gt;"", Recruiting_Data!K233&lt;&gt;"", Recruiting_Data!L233&lt;Recruiting_Data!K233)), TRUE, FALSE))</f>
        <v>0</v>
      </c>
    </row>
    <row r="234">
      <c r="A234" s="5" t="str">
        <f>IF(Recruiting_Data!A234="", "", Recruiting_Data!A234)</f>
        <v>C-10233</v>
      </c>
      <c r="B234" s="5" t="str">
        <f>IF(Recruiting_Data!B234="", "", Recruiting_Data!B234)</f>
        <v>REQ-2026-0001</v>
      </c>
      <c r="C234" s="5">
        <f>IF(AND(ISNUMBER(Recruiting_Data!N234), ISNUMBER(Recruiting_Data!P234)), Recruiting_Data!N234 - Recruiting_Data!P234, "")</f>
        <v>41</v>
      </c>
      <c r="D234" s="5">
        <v>5.0</v>
      </c>
      <c r="E234" s="5" t="str">
        <f>IF(Recruiting_Data!R234="Open", TODAY() - Recruiting_Data!P234, "")</f>
        <v/>
      </c>
      <c r="F234" s="8" t="str">
        <f t="shared" si="1"/>
        <v/>
      </c>
      <c r="G234" s="5" t="b">
        <f>IF(A234="", "", IF(COUNTIF(Recruiting_Data!A:A, A234)&gt;1, TRUE, FALSE))</f>
        <v>0</v>
      </c>
      <c r="H234" s="5" t="b">
        <f>IF(A234="", "", IF(OR(AND(Recruiting_Data!N234&lt;&gt;"", Recruiting_Data!J234&lt;&gt;"", Recruiting_Data!N234&lt;Recruiting_Data!J234), AND(Recruiting_Data!M234&lt;&gt;"", Recruiting_Data!L234&lt;&gt;"", Recruiting_Data!M234&lt;Recruiting_Data!L234), AND(Recruiting_Data!L234&lt;&gt;"", Recruiting_Data!K234&lt;&gt;"", Recruiting_Data!L234&lt;Recruiting_Data!K234)), TRUE, FALSE))</f>
        <v>0</v>
      </c>
    </row>
    <row r="235">
      <c r="A235" s="5" t="str">
        <f>IF(Recruiting_Data!A235="", "", Recruiting_Data!A235)</f>
        <v>C-10234</v>
      </c>
      <c r="B235" s="5" t="str">
        <f>IF(Recruiting_Data!B235="", "", Recruiting_Data!B235)</f>
        <v>REQ-2026-0003</v>
      </c>
      <c r="C235" s="5">
        <f>IF(AND(ISNUMBER(Recruiting_Data!N235), ISNUMBER(Recruiting_Data!P235)), Recruiting_Data!N235 - Recruiting_Data!P235, "")</f>
        <v>60</v>
      </c>
      <c r="D235" s="5">
        <v>5.0</v>
      </c>
      <c r="E235" s="5" t="str">
        <f>IF(Recruiting_Data!R235="Open", TODAY() - Recruiting_Data!P235, "")</f>
        <v/>
      </c>
      <c r="F235" s="8" t="str">
        <f t="shared" si="1"/>
        <v/>
      </c>
      <c r="G235" s="5" t="b">
        <f>IF(A235="", "", IF(COUNTIF(Recruiting_Data!A:A, A235)&gt;1, TRUE, FALSE))</f>
        <v>0</v>
      </c>
      <c r="H235" s="5" t="b">
        <f>IF(A235="", "", IF(OR(AND(Recruiting_Data!N235&lt;&gt;"", Recruiting_Data!J235&lt;&gt;"", Recruiting_Data!N235&lt;Recruiting_Data!J235), AND(Recruiting_Data!M235&lt;&gt;"", Recruiting_Data!L235&lt;&gt;"", Recruiting_Data!M235&lt;Recruiting_Data!L235), AND(Recruiting_Data!L235&lt;&gt;"", Recruiting_Data!K235&lt;&gt;"", Recruiting_Data!L235&lt;Recruiting_Data!K235)), TRUE, FALSE))</f>
        <v>0</v>
      </c>
    </row>
    <row r="236">
      <c r="A236" s="5" t="str">
        <f>IF(Recruiting_Data!A236="", "", Recruiting_Data!A236)</f>
        <v>C-10235</v>
      </c>
      <c r="B236" s="5" t="str">
        <f>IF(Recruiting_Data!B236="", "", Recruiting_Data!B236)</f>
        <v>REQ-2026-0040</v>
      </c>
      <c r="C236" s="5" t="str">
        <f>IF(AND(ISNUMBER(Recruiting_Data!N236), ISNUMBER(Recruiting_Data!P236)), Recruiting_Data!N236 - Recruiting_Data!P236, "")</f>
        <v/>
      </c>
      <c r="D236" s="5">
        <v>2.0</v>
      </c>
      <c r="E236" s="5" t="str">
        <f>IF(Recruiting_Data!R236="Open", TODAY() - Recruiting_Data!P236, "")</f>
        <v/>
      </c>
      <c r="F236" s="8" t="str">
        <f t="shared" si="1"/>
        <v/>
      </c>
      <c r="G236" s="5" t="b">
        <f>IF(A236="", "", IF(COUNTIF(Recruiting_Data!A:A, A236)&gt;1, TRUE, FALSE))</f>
        <v>0</v>
      </c>
      <c r="H236" s="5" t="b">
        <f>IF(A236="", "", IF(OR(AND(Recruiting_Data!N236&lt;&gt;"", Recruiting_Data!J236&lt;&gt;"", Recruiting_Data!N236&lt;Recruiting_Data!J236), AND(Recruiting_Data!M236&lt;&gt;"", Recruiting_Data!L236&lt;&gt;"", Recruiting_Data!M236&lt;Recruiting_Data!L236), AND(Recruiting_Data!L236&lt;&gt;"", Recruiting_Data!K236&lt;&gt;"", Recruiting_Data!L236&lt;Recruiting_Data!K236)), TRUE, FALSE))</f>
        <v>0</v>
      </c>
    </row>
    <row r="237">
      <c r="A237" s="5" t="str">
        <f>IF(Recruiting_Data!A237="", "", Recruiting_Data!A237)</f>
        <v>C-10236</v>
      </c>
      <c r="B237" s="5" t="str">
        <f>IF(Recruiting_Data!B237="", "", Recruiting_Data!B237)</f>
        <v>REQ-2026-0004</v>
      </c>
      <c r="C237" s="5" t="str">
        <f>IF(AND(ISNUMBER(Recruiting_Data!N237), ISNUMBER(Recruiting_Data!P237)), Recruiting_Data!N237 - Recruiting_Data!P237, "")</f>
        <v/>
      </c>
      <c r="D237" s="5">
        <v>1.0</v>
      </c>
      <c r="E237" s="5" t="str">
        <f>IF(Recruiting_Data!R237="Open", TODAY() - Recruiting_Data!P237, "")</f>
        <v/>
      </c>
      <c r="F237" s="8" t="str">
        <f t="shared" si="1"/>
        <v/>
      </c>
      <c r="G237" s="5" t="b">
        <f>IF(A237="", "", IF(COUNTIF(Recruiting_Data!A:A, A237)&gt;1, TRUE, FALSE))</f>
        <v>0</v>
      </c>
      <c r="H237" s="5" t="b">
        <f>IF(A237="", "", IF(OR(AND(Recruiting_Data!N237&lt;&gt;"", Recruiting_Data!J237&lt;&gt;"", Recruiting_Data!N237&lt;Recruiting_Data!J237), AND(Recruiting_Data!M237&lt;&gt;"", Recruiting_Data!L237&lt;&gt;"", Recruiting_Data!M237&lt;Recruiting_Data!L237), AND(Recruiting_Data!L237&lt;&gt;"", Recruiting_Data!K237&lt;&gt;"", Recruiting_Data!L237&lt;Recruiting_Data!K237)), TRUE, FALSE))</f>
        <v>0</v>
      </c>
    </row>
    <row r="238">
      <c r="A238" s="5" t="str">
        <f>IF(Recruiting_Data!A238="", "", Recruiting_Data!A238)</f>
        <v>C-10237</v>
      </c>
      <c r="B238" s="5" t="str">
        <f>IF(Recruiting_Data!B238="", "", Recruiting_Data!B238)</f>
        <v>REQ-2026-0035</v>
      </c>
      <c r="C238" s="5" t="str">
        <f>IF(AND(ISNUMBER(Recruiting_Data!N238), ISNUMBER(Recruiting_Data!P238)), Recruiting_Data!N238 - Recruiting_Data!P238, "")</f>
        <v/>
      </c>
      <c r="D238" s="5">
        <v>3.0</v>
      </c>
      <c r="E238" s="5" t="str">
        <f>IF(Recruiting_Data!R238="Open", TODAY() - Recruiting_Data!P238, "")</f>
        <v/>
      </c>
      <c r="F238" s="8" t="str">
        <f t="shared" si="1"/>
        <v/>
      </c>
      <c r="G238" s="5" t="b">
        <f>IF(A238="", "", IF(COUNTIF(Recruiting_Data!A:A, A238)&gt;1, TRUE, FALSE))</f>
        <v>0</v>
      </c>
      <c r="H238" s="5" t="b">
        <f>IF(A238="", "", IF(OR(AND(Recruiting_Data!N238&lt;&gt;"", Recruiting_Data!J238&lt;&gt;"", Recruiting_Data!N238&lt;Recruiting_Data!J238), AND(Recruiting_Data!M238&lt;&gt;"", Recruiting_Data!L238&lt;&gt;"", Recruiting_Data!M238&lt;Recruiting_Data!L238), AND(Recruiting_Data!L238&lt;&gt;"", Recruiting_Data!K238&lt;&gt;"", Recruiting_Data!L238&lt;Recruiting_Data!K238)), TRUE, FALSE))</f>
        <v>0</v>
      </c>
    </row>
    <row r="239">
      <c r="A239" s="5" t="str">
        <f>IF(Recruiting_Data!A239="", "", Recruiting_Data!A239)</f>
        <v>C-10238</v>
      </c>
      <c r="B239" s="5" t="str">
        <f>IF(Recruiting_Data!B239="", "", Recruiting_Data!B239)</f>
        <v>REQ-2026-0041</v>
      </c>
      <c r="C239" s="5">
        <f>IF(AND(ISNUMBER(Recruiting_Data!N239), ISNUMBER(Recruiting_Data!P239)), Recruiting_Data!N239 - Recruiting_Data!P239, "")</f>
        <v>44</v>
      </c>
      <c r="D239" s="5">
        <v>5.0</v>
      </c>
      <c r="E239" s="5" t="str">
        <f>IF(Recruiting_Data!R239="Open", TODAY() - Recruiting_Data!P239, "")</f>
        <v/>
      </c>
      <c r="F239" s="8" t="str">
        <f t="shared" si="1"/>
        <v/>
      </c>
      <c r="G239" s="5" t="b">
        <f>IF(A239="", "", IF(COUNTIF(Recruiting_Data!A:A, A239)&gt;1, TRUE, FALSE))</f>
        <v>0</v>
      </c>
      <c r="H239" s="5" t="b">
        <f>IF(A239="", "", IF(OR(AND(Recruiting_Data!N239&lt;&gt;"", Recruiting_Data!J239&lt;&gt;"", Recruiting_Data!N239&lt;Recruiting_Data!J239), AND(Recruiting_Data!M239&lt;&gt;"", Recruiting_Data!L239&lt;&gt;"", Recruiting_Data!M239&lt;Recruiting_Data!L239), AND(Recruiting_Data!L239&lt;&gt;"", Recruiting_Data!K239&lt;&gt;"", Recruiting_Data!L239&lt;Recruiting_Data!K239)), TRUE, FALSE))</f>
        <v>0</v>
      </c>
    </row>
    <row r="240">
      <c r="A240" s="5" t="str">
        <f>IF(Recruiting_Data!A240="", "", Recruiting_Data!A240)</f>
        <v>C-10239</v>
      </c>
      <c r="B240" s="5" t="str">
        <f>IF(Recruiting_Data!B240="", "", Recruiting_Data!B240)</f>
        <v>REQ-2026-0019</v>
      </c>
      <c r="C240" s="5">
        <f>IF(AND(ISNUMBER(Recruiting_Data!N240), ISNUMBER(Recruiting_Data!P240)), Recruiting_Data!N240 - Recruiting_Data!P240, "")</f>
        <v>52</v>
      </c>
      <c r="D240" s="5">
        <v>5.0</v>
      </c>
      <c r="E240" s="5" t="str">
        <f>IF(Recruiting_Data!R240="Open", TODAY() - Recruiting_Data!P240, "")</f>
        <v/>
      </c>
      <c r="F240" s="8" t="str">
        <f t="shared" si="1"/>
        <v/>
      </c>
      <c r="G240" s="5" t="b">
        <f>IF(A240="", "", IF(COUNTIF(Recruiting_Data!A:A, A240)&gt;1, TRUE, FALSE))</f>
        <v>0</v>
      </c>
      <c r="H240" s="5" t="b">
        <f>IF(A240="", "", IF(OR(AND(Recruiting_Data!N240&lt;&gt;"", Recruiting_Data!J240&lt;&gt;"", Recruiting_Data!N240&lt;Recruiting_Data!J240), AND(Recruiting_Data!M240&lt;&gt;"", Recruiting_Data!L240&lt;&gt;"", Recruiting_Data!M240&lt;Recruiting_Data!L240), AND(Recruiting_Data!L240&lt;&gt;"", Recruiting_Data!K240&lt;&gt;"", Recruiting_Data!L240&lt;Recruiting_Data!K240)), TRUE, FALSE))</f>
        <v>0</v>
      </c>
    </row>
    <row r="241">
      <c r="A241" s="5" t="str">
        <f>IF(Recruiting_Data!A241="", "", Recruiting_Data!A241)</f>
        <v>C-10240</v>
      </c>
      <c r="B241" s="5" t="str">
        <f>IF(Recruiting_Data!B241="", "", Recruiting_Data!B241)</f>
        <v>REQ-2026-0021</v>
      </c>
      <c r="C241" s="5">
        <f>IF(AND(ISNUMBER(Recruiting_Data!N241), ISNUMBER(Recruiting_Data!P241)), Recruiting_Data!N241 - Recruiting_Data!P241, "")</f>
        <v>45</v>
      </c>
      <c r="D241" s="5">
        <v>5.0</v>
      </c>
      <c r="E241" s="5" t="str">
        <f>IF(Recruiting_Data!R241="Open", TODAY() - Recruiting_Data!P241, "")</f>
        <v/>
      </c>
      <c r="F241" s="8" t="str">
        <f t="shared" si="1"/>
        <v/>
      </c>
      <c r="G241" s="5" t="b">
        <f>IF(A241="", "", IF(COUNTIF(Recruiting_Data!A:A, A241)&gt;1, TRUE, FALSE))</f>
        <v>0</v>
      </c>
      <c r="H241" s="5" t="b">
        <f>IF(A241="", "", IF(OR(AND(Recruiting_Data!N241&lt;&gt;"", Recruiting_Data!J241&lt;&gt;"", Recruiting_Data!N241&lt;Recruiting_Data!J241), AND(Recruiting_Data!M241&lt;&gt;"", Recruiting_Data!L241&lt;&gt;"", Recruiting_Data!M241&lt;Recruiting_Data!L241), AND(Recruiting_Data!L241&lt;&gt;"", Recruiting_Data!K241&lt;&gt;"", Recruiting_Data!L241&lt;Recruiting_Data!K241)), TRUE, FALSE))</f>
        <v>0</v>
      </c>
    </row>
    <row r="242">
      <c r="A242" s="5" t="str">
        <f>IF(Recruiting_Data!A242="", "", Recruiting_Data!A242)</f>
        <v>C-10241</v>
      </c>
      <c r="B242" s="5" t="str">
        <f>IF(Recruiting_Data!B242="", "", Recruiting_Data!B242)</f>
        <v>REQ-2026-0025</v>
      </c>
      <c r="C242" s="5">
        <f>IF(AND(ISNUMBER(Recruiting_Data!N242), ISNUMBER(Recruiting_Data!P242)), Recruiting_Data!N242 - Recruiting_Data!P242, "")</f>
        <v>33</v>
      </c>
      <c r="D242" s="5">
        <v>5.0</v>
      </c>
      <c r="E242" s="5" t="str">
        <f>IF(Recruiting_Data!R242="Open", TODAY() - Recruiting_Data!P242, "")</f>
        <v/>
      </c>
      <c r="F242" s="8" t="str">
        <f t="shared" si="1"/>
        <v/>
      </c>
      <c r="G242" s="5" t="b">
        <f>IF(A242="", "", IF(COUNTIF(Recruiting_Data!A:A, A242)&gt;1, TRUE, FALSE))</f>
        <v>0</v>
      </c>
      <c r="H242" s="5" t="b">
        <f>IF(A242="", "", IF(OR(AND(Recruiting_Data!N242&lt;&gt;"", Recruiting_Data!J242&lt;&gt;"", Recruiting_Data!N242&lt;Recruiting_Data!J242), AND(Recruiting_Data!M242&lt;&gt;"", Recruiting_Data!L242&lt;&gt;"", Recruiting_Data!M242&lt;Recruiting_Data!L242), AND(Recruiting_Data!L242&lt;&gt;"", Recruiting_Data!K242&lt;&gt;"", Recruiting_Data!L242&lt;Recruiting_Data!K242)), TRUE, FALSE))</f>
        <v>0</v>
      </c>
    </row>
    <row r="243">
      <c r="A243" s="5" t="str">
        <f>IF(Recruiting_Data!A243="", "", Recruiting_Data!A243)</f>
        <v>C-10242</v>
      </c>
      <c r="B243" s="5" t="str">
        <f>IF(Recruiting_Data!B243="", "", Recruiting_Data!B243)</f>
        <v>REQ-2026-0007</v>
      </c>
      <c r="C243" s="5" t="str">
        <f>IF(AND(ISNUMBER(Recruiting_Data!N243), ISNUMBER(Recruiting_Data!P243)), Recruiting_Data!N243 - Recruiting_Data!P243, "")</f>
        <v/>
      </c>
      <c r="D243" s="5">
        <v>1.0</v>
      </c>
      <c r="E243" s="5">
        <f>IF(Recruiting_Data!R243="Open", TODAY() - Recruiting_Data!P243, "")</f>
        <v>255</v>
      </c>
      <c r="F243" s="8" t="str">
        <f t="shared" si="1"/>
        <v>60+</v>
      </c>
      <c r="G243" s="5" t="b">
        <f>IF(A243="", "", IF(COUNTIF(Recruiting_Data!A:A, A243)&gt;1, TRUE, FALSE))</f>
        <v>0</v>
      </c>
      <c r="H243" s="5" t="b">
        <f>IF(A243="", "", IF(OR(AND(Recruiting_Data!N243&lt;&gt;"", Recruiting_Data!J243&lt;&gt;"", Recruiting_Data!N243&lt;Recruiting_Data!J243), AND(Recruiting_Data!M243&lt;&gt;"", Recruiting_Data!L243&lt;&gt;"", Recruiting_Data!M243&lt;Recruiting_Data!L243), AND(Recruiting_Data!L243&lt;&gt;"", Recruiting_Data!K243&lt;&gt;"", Recruiting_Data!L243&lt;Recruiting_Data!K243)), TRUE, FALSE))</f>
        <v>0</v>
      </c>
    </row>
    <row r="244">
      <c r="A244" s="5" t="str">
        <f>IF(Recruiting_Data!A244="", "", Recruiting_Data!A244)</f>
        <v>C-10243</v>
      </c>
      <c r="B244" s="5" t="str">
        <f>IF(Recruiting_Data!B244="", "", Recruiting_Data!B244)</f>
        <v>REQ-2026-0021</v>
      </c>
      <c r="C244" s="5" t="str">
        <f>IF(AND(ISNUMBER(Recruiting_Data!N244), ISNUMBER(Recruiting_Data!P244)), Recruiting_Data!N244 - Recruiting_Data!P244, "")</f>
        <v/>
      </c>
      <c r="D244" s="5">
        <v>2.0</v>
      </c>
      <c r="E244" s="5" t="str">
        <f>IF(Recruiting_Data!R244="Open", TODAY() - Recruiting_Data!P244, "")</f>
        <v/>
      </c>
      <c r="F244" s="8" t="str">
        <f t="shared" si="1"/>
        <v/>
      </c>
      <c r="G244" s="5" t="b">
        <f>IF(A244="", "", IF(COUNTIF(Recruiting_Data!A:A, A244)&gt;1, TRUE, FALSE))</f>
        <v>0</v>
      </c>
      <c r="H244" s="5" t="b">
        <f>IF(A244="", "", IF(OR(AND(Recruiting_Data!N244&lt;&gt;"", Recruiting_Data!J244&lt;&gt;"", Recruiting_Data!N244&lt;Recruiting_Data!J244), AND(Recruiting_Data!M244&lt;&gt;"", Recruiting_Data!L244&lt;&gt;"", Recruiting_Data!M244&lt;Recruiting_Data!L244), AND(Recruiting_Data!L244&lt;&gt;"", Recruiting_Data!K244&lt;&gt;"", Recruiting_Data!L244&lt;Recruiting_Data!K244)), TRUE, FALSE))</f>
        <v>0</v>
      </c>
    </row>
    <row r="245">
      <c r="A245" s="5" t="str">
        <f>IF(Recruiting_Data!A245="", "", Recruiting_Data!A245)</f>
        <v>C-10244</v>
      </c>
      <c r="B245" s="5" t="str">
        <f>IF(Recruiting_Data!B245="", "", Recruiting_Data!B245)</f>
        <v>REQ-2026-0004</v>
      </c>
      <c r="C245" s="5" t="str">
        <f>IF(AND(ISNUMBER(Recruiting_Data!N245), ISNUMBER(Recruiting_Data!P245)), Recruiting_Data!N245 - Recruiting_Data!P245, "")</f>
        <v/>
      </c>
      <c r="D245" s="5">
        <v>1.0</v>
      </c>
      <c r="E245" s="5" t="str">
        <f>IF(Recruiting_Data!R245="Open", TODAY() - Recruiting_Data!P245, "")</f>
        <v/>
      </c>
      <c r="F245" s="8" t="str">
        <f t="shared" si="1"/>
        <v/>
      </c>
      <c r="G245" s="5" t="b">
        <f>IF(A245="", "", IF(COUNTIF(Recruiting_Data!A:A, A245)&gt;1, TRUE, FALSE))</f>
        <v>0</v>
      </c>
      <c r="H245" s="5" t="b">
        <f>IF(A245="", "", IF(OR(AND(Recruiting_Data!N245&lt;&gt;"", Recruiting_Data!J245&lt;&gt;"", Recruiting_Data!N245&lt;Recruiting_Data!J245), AND(Recruiting_Data!M245&lt;&gt;"", Recruiting_Data!L245&lt;&gt;"", Recruiting_Data!M245&lt;Recruiting_Data!L245), AND(Recruiting_Data!L245&lt;&gt;"", Recruiting_Data!K245&lt;&gt;"", Recruiting_Data!L245&lt;Recruiting_Data!K245)), TRUE, FALSE))</f>
        <v>0</v>
      </c>
    </row>
    <row r="246">
      <c r="A246" s="5" t="str">
        <f>IF(Recruiting_Data!A246="", "", Recruiting_Data!A246)</f>
        <v>C-10245</v>
      </c>
      <c r="B246" s="5" t="str">
        <f>IF(Recruiting_Data!B246="", "", Recruiting_Data!B246)</f>
        <v>REQ-2026-0032</v>
      </c>
      <c r="C246" s="5" t="str">
        <f>IF(AND(ISNUMBER(Recruiting_Data!N246), ISNUMBER(Recruiting_Data!P246)), Recruiting_Data!N246 - Recruiting_Data!P246, "")</f>
        <v/>
      </c>
      <c r="D246" s="5">
        <v>1.0</v>
      </c>
      <c r="E246" s="5">
        <f>IF(Recruiting_Data!R246="Open", TODAY() - Recruiting_Data!P246, "")</f>
        <v>178</v>
      </c>
      <c r="F246" s="8" t="str">
        <f t="shared" si="1"/>
        <v>60+</v>
      </c>
      <c r="G246" s="5" t="b">
        <f>IF(A246="", "", IF(COUNTIF(Recruiting_Data!A:A, A246)&gt;1, TRUE, FALSE))</f>
        <v>0</v>
      </c>
      <c r="H246" s="5" t="b">
        <f>IF(A246="", "", IF(OR(AND(Recruiting_Data!N246&lt;&gt;"", Recruiting_Data!J246&lt;&gt;"", Recruiting_Data!N246&lt;Recruiting_Data!J246), AND(Recruiting_Data!M246&lt;&gt;"", Recruiting_Data!L246&lt;&gt;"", Recruiting_Data!M246&lt;Recruiting_Data!L246), AND(Recruiting_Data!L246&lt;&gt;"", Recruiting_Data!K246&lt;&gt;"", Recruiting_Data!L246&lt;Recruiting_Data!K246)), TRUE, FALSE))</f>
        <v>0</v>
      </c>
    </row>
    <row r="247">
      <c r="A247" s="5" t="str">
        <f>IF(Recruiting_Data!A247="", "", Recruiting_Data!A247)</f>
        <v>C-10246</v>
      </c>
      <c r="B247" s="5" t="str">
        <f>IF(Recruiting_Data!B247="", "", Recruiting_Data!B247)</f>
        <v>REQ-2026-0015</v>
      </c>
      <c r="C247" s="5" t="str">
        <f>IF(AND(ISNUMBER(Recruiting_Data!N247), ISNUMBER(Recruiting_Data!P247)), Recruiting_Data!N247 - Recruiting_Data!P247, "")</f>
        <v/>
      </c>
      <c r="D247" s="5">
        <v>1.0</v>
      </c>
      <c r="E247" s="5" t="str">
        <f>IF(Recruiting_Data!R247="Open", TODAY() - Recruiting_Data!P247, "")</f>
        <v/>
      </c>
      <c r="F247" s="8" t="str">
        <f t="shared" si="1"/>
        <v/>
      </c>
      <c r="G247" s="5" t="b">
        <f>IF(A247="", "", IF(COUNTIF(Recruiting_Data!A:A, A247)&gt;1, TRUE, FALSE))</f>
        <v>0</v>
      </c>
      <c r="H247" s="5" t="b">
        <f>IF(A247="", "", IF(OR(AND(Recruiting_Data!N247&lt;&gt;"", Recruiting_Data!J247&lt;&gt;"", Recruiting_Data!N247&lt;Recruiting_Data!J247), AND(Recruiting_Data!M247&lt;&gt;"", Recruiting_Data!L247&lt;&gt;"", Recruiting_Data!M247&lt;Recruiting_Data!L247), AND(Recruiting_Data!L247&lt;&gt;"", Recruiting_Data!K247&lt;&gt;"", Recruiting_Data!L247&lt;Recruiting_Data!K247)), TRUE, FALSE))</f>
        <v>0</v>
      </c>
    </row>
    <row r="248">
      <c r="A248" s="5" t="str">
        <f>IF(Recruiting_Data!A248="", "", Recruiting_Data!A248)</f>
        <v>C-10247</v>
      </c>
      <c r="B248" s="5" t="str">
        <f>IF(Recruiting_Data!B248="", "", Recruiting_Data!B248)</f>
        <v>REQ-2026-0034</v>
      </c>
      <c r="C248" s="5">
        <f>IF(AND(ISNUMBER(Recruiting_Data!N248), ISNUMBER(Recruiting_Data!P248)), Recruiting_Data!N248 - Recruiting_Data!P248, "")</f>
        <v>46</v>
      </c>
      <c r="D248" s="5">
        <v>5.0</v>
      </c>
      <c r="E248" s="5" t="str">
        <f>IF(Recruiting_Data!R248="Open", TODAY() - Recruiting_Data!P248, "")</f>
        <v/>
      </c>
      <c r="F248" s="8" t="str">
        <f t="shared" si="1"/>
        <v/>
      </c>
      <c r="G248" s="5" t="b">
        <f>IF(A248="", "", IF(COUNTIF(Recruiting_Data!A:A, A248)&gt;1, TRUE, FALSE))</f>
        <v>0</v>
      </c>
      <c r="H248" s="5" t="b">
        <f>IF(A248="", "", IF(OR(AND(Recruiting_Data!N248&lt;&gt;"", Recruiting_Data!J248&lt;&gt;"", Recruiting_Data!N248&lt;Recruiting_Data!J248), AND(Recruiting_Data!M248&lt;&gt;"", Recruiting_Data!L248&lt;&gt;"", Recruiting_Data!M248&lt;Recruiting_Data!L248), AND(Recruiting_Data!L248&lt;&gt;"", Recruiting_Data!K248&lt;&gt;"", Recruiting_Data!L248&lt;Recruiting_Data!K248)), TRUE, FALSE))</f>
        <v>0</v>
      </c>
    </row>
    <row r="249">
      <c r="A249" s="5" t="str">
        <f>IF(Recruiting_Data!A249="", "", Recruiting_Data!A249)</f>
        <v>C-10248</v>
      </c>
      <c r="B249" s="5" t="str">
        <f>IF(Recruiting_Data!B249="", "", Recruiting_Data!B249)</f>
        <v>REQ-2026-0028</v>
      </c>
      <c r="C249" s="5" t="str">
        <f>IF(AND(ISNUMBER(Recruiting_Data!N249), ISNUMBER(Recruiting_Data!P249)), Recruiting_Data!N249 - Recruiting_Data!P249, "")</f>
        <v/>
      </c>
      <c r="D249" s="5">
        <v>4.0</v>
      </c>
      <c r="E249" s="5">
        <f>IF(Recruiting_Data!R249="Open", TODAY() - Recruiting_Data!P249, "")</f>
        <v>179</v>
      </c>
      <c r="F249" s="8" t="str">
        <f t="shared" si="1"/>
        <v>60+</v>
      </c>
      <c r="G249" s="5" t="b">
        <f>IF(A249="", "", IF(COUNTIF(Recruiting_Data!A:A, A249)&gt;1, TRUE, FALSE))</f>
        <v>0</v>
      </c>
      <c r="H249" s="5" t="b">
        <f>IF(A249="", "", IF(OR(AND(Recruiting_Data!N249&lt;&gt;"", Recruiting_Data!J249&lt;&gt;"", Recruiting_Data!N249&lt;Recruiting_Data!J249), AND(Recruiting_Data!M249&lt;&gt;"", Recruiting_Data!L249&lt;&gt;"", Recruiting_Data!M249&lt;Recruiting_Data!L249), AND(Recruiting_Data!L249&lt;&gt;"", Recruiting_Data!K249&lt;&gt;"", Recruiting_Data!L249&lt;Recruiting_Data!K249)), TRUE, FALSE))</f>
        <v>0</v>
      </c>
    </row>
    <row r="250">
      <c r="A250" s="5" t="str">
        <f>IF(Recruiting_Data!A250="", "", Recruiting_Data!A250)</f>
        <v>C-10249</v>
      </c>
      <c r="B250" s="5" t="str">
        <f>IF(Recruiting_Data!B250="", "", Recruiting_Data!B250)</f>
        <v>REQ-2026-0017</v>
      </c>
      <c r="C250" s="5" t="str">
        <f>IF(AND(ISNUMBER(Recruiting_Data!N250), ISNUMBER(Recruiting_Data!P250)), Recruiting_Data!N250 - Recruiting_Data!P250, "")</f>
        <v/>
      </c>
      <c r="D250" s="5">
        <v>2.0</v>
      </c>
      <c r="E250" s="5" t="str">
        <f>IF(Recruiting_Data!R250="Open", TODAY() - Recruiting_Data!P250, "")</f>
        <v/>
      </c>
      <c r="F250" s="8" t="str">
        <f t="shared" si="1"/>
        <v/>
      </c>
      <c r="G250" s="5" t="b">
        <f>IF(A250="", "", IF(COUNTIF(Recruiting_Data!A:A, A250)&gt;1, TRUE, FALSE))</f>
        <v>0</v>
      </c>
      <c r="H250" s="5" t="b">
        <f>IF(A250="", "", IF(OR(AND(Recruiting_Data!N250&lt;&gt;"", Recruiting_Data!J250&lt;&gt;"", Recruiting_Data!N250&lt;Recruiting_Data!J250), AND(Recruiting_Data!M250&lt;&gt;"", Recruiting_Data!L250&lt;&gt;"", Recruiting_Data!M250&lt;Recruiting_Data!L250), AND(Recruiting_Data!L250&lt;&gt;"", Recruiting_Data!K250&lt;&gt;"", Recruiting_Data!L250&lt;Recruiting_Data!K250)), TRUE, FALSE))</f>
        <v>0</v>
      </c>
    </row>
    <row r="251">
      <c r="A251" s="5" t="str">
        <f>IF(Recruiting_Data!A251="", "", Recruiting_Data!A251)</f>
        <v>C-10250</v>
      </c>
      <c r="B251" s="5" t="str">
        <f>IF(Recruiting_Data!B251="", "", Recruiting_Data!B251)</f>
        <v>REQ-2026-0019</v>
      </c>
      <c r="C251" s="5">
        <f>IF(AND(ISNUMBER(Recruiting_Data!N251), ISNUMBER(Recruiting_Data!P251)), Recruiting_Data!N251 - Recruiting_Data!P251, "")</f>
        <v>40</v>
      </c>
      <c r="D251" s="5">
        <v>5.0</v>
      </c>
      <c r="E251" s="5" t="str">
        <f>IF(Recruiting_Data!R251="Open", TODAY() - Recruiting_Data!P251, "")</f>
        <v/>
      </c>
      <c r="F251" s="8" t="str">
        <f t="shared" si="1"/>
        <v/>
      </c>
      <c r="G251" s="5" t="b">
        <f>IF(A251="", "", IF(COUNTIF(Recruiting_Data!A:A, A251)&gt;1, TRUE, FALSE))</f>
        <v>0</v>
      </c>
      <c r="H251" s="5" t="b">
        <f>IF(A251="", "", IF(OR(AND(Recruiting_Data!N251&lt;&gt;"", Recruiting_Data!J251&lt;&gt;"", Recruiting_Data!N251&lt;Recruiting_Data!J251), AND(Recruiting_Data!M251&lt;&gt;"", Recruiting_Data!L251&lt;&gt;"", Recruiting_Data!M251&lt;Recruiting_Data!L251), AND(Recruiting_Data!L251&lt;&gt;"", Recruiting_Data!K251&lt;&gt;"", Recruiting_Data!L251&lt;Recruiting_Data!K251)), TRUE, FALSE))</f>
        <v>0</v>
      </c>
    </row>
    <row r="252">
      <c r="A252" s="5" t="str">
        <f>IF(Recruiting_Data!A252="", "", Recruiting_Data!A252)</f>
        <v>C-10251</v>
      </c>
      <c r="B252" s="5" t="str">
        <f>IF(Recruiting_Data!B252="", "", Recruiting_Data!B252)</f>
        <v>REQ-2026-0014</v>
      </c>
      <c r="C252" s="5" t="str">
        <f>IF(AND(ISNUMBER(Recruiting_Data!N252), ISNUMBER(Recruiting_Data!P252)), Recruiting_Data!N252 - Recruiting_Data!P252, "")</f>
        <v/>
      </c>
      <c r="D252" s="5">
        <v>1.0</v>
      </c>
      <c r="E252" s="5">
        <f>IF(Recruiting_Data!R252="Open", TODAY() - Recruiting_Data!P252, "")</f>
        <v>243</v>
      </c>
      <c r="F252" s="8" t="str">
        <f t="shared" si="1"/>
        <v>60+</v>
      </c>
      <c r="G252" s="5" t="b">
        <f>IF(A252="", "", IF(COUNTIF(Recruiting_Data!A:A, A252)&gt;1, TRUE, FALSE))</f>
        <v>0</v>
      </c>
      <c r="H252" s="5" t="b">
        <f>IF(A252="", "", IF(OR(AND(Recruiting_Data!N252&lt;&gt;"", Recruiting_Data!J252&lt;&gt;"", Recruiting_Data!N252&lt;Recruiting_Data!J252), AND(Recruiting_Data!M252&lt;&gt;"", Recruiting_Data!L252&lt;&gt;"", Recruiting_Data!M252&lt;Recruiting_Data!L252), AND(Recruiting_Data!L252&lt;&gt;"", Recruiting_Data!K252&lt;&gt;"", Recruiting_Data!L252&lt;Recruiting_Data!K252)), TRUE, FALSE))</f>
        <v>0</v>
      </c>
    </row>
    <row r="253">
      <c r="A253" s="5" t="str">
        <f>IF(Recruiting_Data!A253="", "", Recruiting_Data!A253)</f>
        <v>C-10252</v>
      </c>
      <c r="B253" s="5" t="str">
        <f>IF(Recruiting_Data!B253="", "", Recruiting_Data!B253)</f>
        <v>REQ-2026-0015</v>
      </c>
      <c r="C253" s="5" t="str">
        <f>IF(AND(ISNUMBER(Recruiting_Data!N253), ISNUMBER(Recruiting_Data!P253)), Recruiting_Data!N253 - Recruiting_Data!P253, "")</f>
        <v/>
      </c>
      <c r="D253" s="5">
        <v>1.0</v>
      </c>
      <c r="E253" s="5" t="str">
        <f>IF(Recruiting_Data!R253="Open", TODAY() - Recruiting_Data!P253, "")</f>
        <v/>
      </c>
      <c r="F253" s="8" t="str">
        <f t="shared" si="1"/>
        <v/>
      </c>
      <c r="G253" s="5" t="b">
        <f>IF(A253="", "", IF(COUNTIF(Recruiting_Data!A:A, A253)&gt;1, TRUE, FALSE))</f>
        <v>0</v>
      </c>
      <c r="H253" s="5" t="b">
        <f>IF(A253="", "", IF(OR(AND(Recruiting_Data!N253&lt;&gt;"", Recruiting_Data!J253&lt;&gt;"", Recruiting_Data!N253&lt;Recruiting_Data!J253), AND(Recruiting_Data!M253&lt;&gt;"", Recruiting_Data!L253&lt;&gt;"", Recruiting_Data!M253&lt;Recruiting_Data!L253), AND(Recruiting_Data!L253&lt;&gt;"", Recruiting_Data!K253&lt;&gt;"", Recruiting_Data!L253&lt;Recruiting_Data!K253)), TRUE, FALSE))</f>
        <v>0</v>
      </c>
    </row>
    <row r="254">
      <c r="A254" s="5" t="str">
        <f>IF(Recruiting_Data!A254="", "", Recruiting_Data!A254)</f>
        <v>C-10253</v>
      </c>
      <c r="B254" s="5" t="str">
        <f>IF(Recruiting_Data!B254="", "", Recruiting_Data!B254)</f>
        <v>REQ-2026-0023</v>
      </c>
      <c r="C254" s="5" t="str">
        <f>IF(AND(ISNUMBER(Recruiting_Data!N254), ISNUMBER(Recruiting_Data!P254)), Recruiting_Data!N254 - Recruiting_Data!P254, "")</f>
        <v/>
      </c>
      <c r="D254" s="5">
        <v>1.0</v>
      </c>
      <c r="E254" s="5" t="str">
        <f>IF(Recruiting_Data!R254="Open", TODAY() - Recruiting_Data!P254, "")</f>
        <v/>
      </c>
      <c r="F254" s="8" t="str">
        <f t="shared" si="1"/>
        <v/>
      </c>
      <c r="G254" s="5" t="b">
        <f>IF(A254="", "", IF(COUNTIF(Recruiting_Data!A:A, A254)&gt;1, TRUE, FALSE))</f>
        <v>0</v>
      </c>
      <c r="H254" s="5" t="b">
        <f>IF(A254="", "", IF(OR(AND(Recruiting_Data!N254&lt;&gt;"", Recruiting_Data!J254&lt;&gt;"", Recruiting_Data!N254&lt;Recruiting_Data!J254), AND(Recruiting_Data!M254&lt;&gt;"", Recruiting_Data!L254&lt;&gt;"", Recruiting_Data!M254&lt;Recruiting_Data!L254), AND(Recruiting_Data!L254&lt;&gt;"", Recruiting_Data!K254&lt;&gt;"", Recruiting_Data!L254&lt;Recruiting_Data!K254)), TRUE, FALSE))</f>
        <v>0</v>
      </c>
    </row>
    <row r="255">
      <c r="A255" s="5" t="str">
        <f>IF(Recruiting_Data!A255="", "", Recruiting_Data!A255)</f>
        <v>C-10254</v>
      </c>
      <c r="B255" s="5" t="str">
        <f>IF(Recruiting_Data!B255="", "", Recruiting_Data!B255)</f>
        <v>REQ-2026-0011</v>
      </c>
      <c r="C255" s="5" t="str">
        <f>IF(AND(ISNUMBER(Recruiting_Data!N255), ISNUMBER(Recruiting_Data!P255)), Recruiting_Data!N255 - Recruiting_Data!P255, "")</f>
        <v/>
      </c>
      <c r="D255" s="5">
        <v>3.0</v>
      </c>
      <c r="E255" s="5" t="str">
        <f>IF(Recruiting_Data!R255="Open", TODAY() - Recruiting_Data!P255, "")</f>
        <v/>
      </c>
      <c r="F255" s="8" t="str">
        <f t="shared" si="1"/>
        <v/>
      </c>
      <c r="G255" s="5" t="b">
        <f>IF(A255="", "", IF(COUNTIF(Recruiting_Data!A:A, A255)&gt;1, TRUE, FALSE))</f>
        <v>0</v>
      </c>
      <c r="H255" s="5" t="b">
        <f>IF(A255="", "", IF(OR(AND(Recruiting_Data!N255&lt;&gt;"", Recruiting_Data!J255&lt;&gt;"", Recruiting_Data!N255&lt;Recruiting_Data!J255), AND(Recruiting_Data!M255&lt;&gt;"", Recruiting_Data!L255&lt;&gt;"", Recruiting_Data!M255&lt;Recruiting_Data!L255), AND(Recruiting_Data!L255&lt;&gt;"", Recruiting_Data!K255&lt;&gt;"", Recruiting_Data!L255&lt;Recruiting_Data!K255)), TRUE, FALSE))</f>
        <v>0</v>
      </c>
    </row>
    <row r="256">
      <c r="A256" s="5" t="str">
        <f>IF(Recruiting_Data!A256="", "", Recruiting_Data!A256)</f>
        <v>C-10255</v>
      </c>
      <c r="B256" s="5" t="str">
        <f>IF(Recruiting_Data!B256="", "", Recruiting_Data!B256)</f>
        <v>REQ-2026-0038</v>
      </c>
      <c r="C256" s="5" t="str">
        <f>IF(AND(ISNUMBER(Recruiting_Data!N256), ISNUMBER(Recruiting_Data!P256)), Recruiting_Data!N256 - Recruiting_Data!P256, "")</f>
        <v/>
      </c>
      <c r="D256" s="5">
        <v>2.0</v>
      </c>
      <c r="E256" s="5" t="str">
        <f>IF(Recruiting_Data!R256="Open", TODAY() - Recruiting_Data!P256, "")</f>
        <v/>
      </c>
      <c r="F256" s="8" t="str">
        <f t="shared" si="1"/>
        <v/>
      </c>
      <c r="G256" s="5" t="b">
        <f>IF(A256="", "", IF(COUNTIF(Recruiting_Data!A:A, A256)&gt;1, TRUE, FALSE))</f>
        <v>0</v>
      </c>
      <c r="H256" s="5" t="b">
        <f>IF(A256="", "", IF(OR(AND(Recruiting_Data!N256&lt;&gt;"", Recruiting_Data!J256&lt;&gt;"", Recruiting_Data!N256&lt;Recruiting_Data!J256), AND(Recruiting_Data!M256&lt;&gt;"", Recruiting_Data!L256&lt;&gt;"", Recruiting_Data!M256&lt;Recruiting_Data!L256), AND(Recruiting_Data!L256&lt;&gt;"", Recruiting_Data!K256&lt;&gt;"", Recruiting_Data!L256&lt;Recruiting_Data!K256)), TRUE, FALSE))</f>
        <v>0</v>
      </c>
    </row>
    <row r="257">
      <c r="A257" s="5" t="str">
        <f>IF(Recruiting_Data!A257="", "", Recruiting_Data!A257)</f>
        <v>C-10256</v>
      </c>
      <c r="B257" s="5" t="str">
        <f>IF(Recruiting_Data!B257="", "", Recruiting_Data!B257)</f>
        <v>REQ-2026-0014</v>
      </c>
      <c r="C257" s="5" t="str">
        <f>IF(AND(ISNUMBER(Recruiting_Data!N257), ISNUMBER(Recruiting_Data!P257)), Recruiting_Data!N257 - Recruiting_Data!P257, "")</f>
        <v/>
      </c>
      <c r="D257" s="5">
        <v>1.0</v>
      </c>
      <c r="E257" s="5">
        <f>IF(Recruiting_Data!R257="Open", TODAY() - Recruiting_Data!P257, "")</f>
        <v>115</v>
      </c>
      <c r="F257" s="8" t="str">
        <f t="shared" si="1"/>
        <v>60+</v>
      </c>
      <c r="G257" s="5" t="b">
        <f>IF(A257="", "", IF(COUNTIF(Recruiting_Data!A:A, A257)&gt;1, TRUE, FALSE))</f>
        <v>0</v>
      </c>
      <c r="H257" s="5" t="b">
        <f>IF(A257="", "", IF(OR(AND(Recruiting_Data!N257&lt;&gt;"", Recruiting_Data!J257&lt;&gt;"", Recruiting_Data!N257&lt;Recruiting_Data!J257), AND(Recruiting_Data!M257&lt;&gt;"", Recruiting_Data!L257&lt;&gt;"", Recruiting_Data!M257&lt;Recruiting_Data!L257), AND(Recruiting_Data!L257&lt;&gt;"", Recruiting_Data!K257&lt;&gt;"", Recruiting_Data!L257&lt;Recruiting_Data!K257)), TRUE, FALSE))</f>
        <v>0</v>
      </c>
    </row>
    <row r="258">
      <c r="A258" s="5" t="str">
        <f>IF(Recruiting_Data!A258="", "", Recruiting_Data!A258)</f>
        <v>C-10257</v>
      </c>
      <c r="B258" s="5" t="str">
        <f>IF(Recruiting_Data!B258="", "", Recruiting_Data!B258)</f>
        <v>REQ-2026-0011</v>
      </c>
      <c r="C258" s="5" t="str">
        <f>IF(AND(ISNUMBER(Recruiting_Data!N258), ISNUMBER(Recruiting_Data!P258)), Recruiting_Data!N258 - Recruiting_Data!P258, "")</f>
        <v/>
      </c>
      <c r="D258" s="5">
        <v>4.0</v>
      </c>
      <c r="E258" s="5" t="str">
        <f>IF(Recruiting_Data!R258="Open", TODAY() - Recruiting_Data!P258, "")</f>
        <v/>
      </c>
      <c r="F258" s="8" t="str">
        <f t="shared" si="1"/>
        <v/>
      </c>
      <c r="G258" s="5" t="b">
        <f>IF(A258="", "", IF(COUNTIF(Recruiting_Data!A:A, A258)&gt;1, TRUE, FALSE))</f>
        <v>0</v>
      </c>
      <c r="H258" s="5" t="b">
        <f>IF(A258="", "", IF(OR(AND(Recruiting_Data!N258&lt;&gt;"", Recruiting_Data!J258&lt;&gt;"", Recruiting_Data!N258&lt;Recruiting_Data!J258), AND(Recruiting_Data!M258&lt;&gt;"", Recruiting_Data!L258&lt;&gt;"", Recruiting_Data!M258&lt;Recruiting_Data!L258), AND(Recruiting_Data!L258&lt;&gt;"", Recruiting_Data!K258&lt;&gt;"", Recruiting_Data!L258&lt;Recruiting_Data!K258)), TRUE, FALSE))</f>
        <v>0</v>
      </c>
    </row>
    <row r="259">
      <c r="A259" s="5" t="str">
        <f>IF(Recruiting_Data!A259="", "", Recruiting_Data!A259)</f>
        <v>C-10258</v>
      </c>
      <c r="B259" s="5" t="str">
        <f>IF(Recruiting_Data!B259="", "", Recruiting_Data!B259)</f>
        <v>REQ-2026-0004</v>
      </c>
      <c r="C259" s="5" t="str">
        <f>IF(AND(ISNUMBER(Recruiting_Data!N259), ISNUMBER(Recruiting_Data!P259)), Recruiting_Data!N259 - Recruiting_Data!P259, "")</f>
        <v/>
      </c>
      <c r="D259" s="5">
        <v>1.0</v>
      </c>
      <c r="E259" s="5" t="str">
        <f>IF(Recruiting_Data!R259="Open", TODAY() - Recruiting_Data!P259, "")</f>
        <v/>
      </c>
      <c r="F259" s="8" t="str">
        <f t="shared" si="1"/>
        <v/>
      </c>
      <c r="G259" s="5" t="b">
        <f>IF(A259="", "", IF(COUNTIF(Recruiting_Data!A:A, A259)&gt;1, TRUE, FALSE))</f>
        <v>0</v>
      </c>
      <c r="H259" s="5" t="b">
        <f>IF(A259="", "", IF(OR(AND(Recruiting_Data!N259&lt;&gt;"", Recruiting_Data!J259&lt;&gt;"", Recruiting_Data!N259&lt;Recruiting_Data!J259), AND(Recruiting_Data!M259&lt;&gt;"", Recruiting_Data!L259&lt;&gt;"", Recruiting_Data!M259&lt;Recruiting_Data!L259), AND(Recruiting_Data!L259&lt;&gt;"", Recruiting_Data!K259&lt;&gt;"", Recruiting_Data!L259&lt;Recruiting_Data!K259)), TRUE, FALSE))</f>
        <v>0</v>
      </c>
    </row>
    <row r="260">
      <c r="A260" s="5" t="str">
        <f>IF(Recruiting_Data!A260="", "", Recruiting_Data!A260)</f>
        <v>C-10259</v>
      </c>
      <c r="B260" s="5" t="str">
        <f>IF(Recruiting_Data!B260="", "", Recruiting_Data!B260)</f>
        <v>REQ-2026-0038</v>
      </c>
      <c r="C260" s="5" t="str">
        <f>IF(AND(ISNUMBER(Recruiting_Data!N260), ISNUMBER(Recruiting_Data!P260)), Recruiting_Data!N260 - Recruiting_Data!P260, "")</f>
        <v/>
      </c>
      <c r="D260" s="5">
        <v>3.0</v>
      </c>
      <c r="E260" s="5" t="str">
        <f>IF(Recruiting_Data!R260="Open", TODAY() - Recruiting_Data!P260, "")</f>
        <v/>
      </c>
      <c r="F260" s="8" t="str">
        <f t="shared" si="1"/>
        <v/>
      </c>
      <c r="G260" s="5" t="b">
        <f>IF(A260="", "", IF(COUNTIF(Recruiting_Data!A:A, A260)&gt;1, TRUE, FALSE))</f>
        <v>0</v>
      </c>
      <c r="H260" s="5" t="b">
        <f>IF(A260="", "", IF(OR(AND(Recruiting_Data!N260&lt;&gt;"", Recruiting_Data!J260&lt;&gt;"", Recruiting_Data!N260&lt;Recruiting_Data!J260), AND(Recruiting_Data!M260&lt;&gt;"", Recruiting_Data!L260&lt;&gt;"", Recruiting_Data!M260&lt;Recruiting_Data!L260), AND(Recruiting_Data!L260&lt;&gt;"", Recruiting_Data!K260&lt;&gt;"", Recruiting_Data!L260&lt;Recruiting_Data!K260)), TRUE, FALSE))</f>
        <v>0</v>
      </c>
    </row>
    <row r="261">
      <c r="A261" s="5" t="str">
        <f>IF(Recruiting_Data!A261="", "", Recruiting_Data!A261)</f>
        <v>C-10260</v>
      </c>
      <c r="B261" s="5" t="str">
        <f>IF(Recruiting_Data!B261="", "", Recruiting_Data!B261)</f>
        <v>REQ-2026-0004</v>
      </c>
      <c r="C261" s="5" t="str">
        <f>IF(AND(ISNUMBER(Recruiting_Data!N261), ISNUMBER(Recruiting_Data!P261)), Recruiting_Data!N261 - Recruiting_Data!P261, "")</f>
        <v/>
      </c>
      <c r="D261" s="5">
        <v>4.0</v>
      </c>
      <c r="E261" s="5" t="str">
        <f>IF(Recruiting_Data!R261="Open", TODAY() - Recruiting_Data!P261, "")</f>
        <v/>
      </c>
      <c r="F261" s="8" t="str">
        <f t="shared" si="1"/>
        <v/>
      </c>
      <c r="G261" s="5" t="b">
        <f>IF(A261="", "", IF(COUNTIF(Recruiting_Data!A:A, A261)&gt;1, TRUE, FALSE))</f>
        <v>0</v>
      </c>
      <c r="H261" s="5" t="b">
        <f>IF(A261="", "", IF(OR(AND(Recruiting_Data!N261&lt;&gt;"", Recruiting_Data!J261&lt;&gt;"", Recruiting_Data!N261&lt;Recruiting_Data!J261), AND(Recruiting_Data!M261&lt;&gt;"", Recruiting_Data!L261&lt;&gt;"", Recruiting_Data!M261&lt;Recruiting_Data!L261), AND(Recruiting_Data!L261&lt;&gt;"", Recruiting_Data!K261&lt;&gt;"", Recruiting_Data!L261&lt;Recruiting_Data!K261)), TRUE, FALSE))</f>
        <v>0</v>
      </c>
    </row>
    <row r="262">
      <c r="A262" s="5" t="str">
        <f>IF(Recruiting_Data!A262="", "", Recruiting_Data!A262)</f>
        <v>C-10261</v>
      </c>
      <c r="B262" s="5" t="str">
        <f>IF(Recruiting_Data!B262="", "", Recruiting_Data!B262)</f>
        <v>REQ-2026-0017</v>
      </c>
      <c r="C262" s="5" t="str">
        <f>IF(AND(ISNUMBER(Recruiting_Data!N262), ISNUMBER(Recruiting_Data!P262)), Recruiting_Data!N262 - Recruiting_Data!P262, "")</f>
        <v/>
      </c>
      <c r="D262" s="5">
        <v>4.0</v>
      </c>
      <c r="E262" s="5" t="str">
        <f>IF(Recruiting_Data!R262="Open", TODAY() - Recruiting_Data!P262, "")</f>
        <v/>
      </c>
      <c r="F262" s="8" t="str">
        <f t="shared" si="1"/>
        <v/>
      </c>
      <c r="G262" s="5" t="b">
        <f>IF(A262="", "", IF(COUNTIF(Recruiting_Data!A:A, A262)&gt;1, TRUE, FALSE))</f>
        <v>0</v>
      </c>
      <c r="H262" s="5" t="b">
        <f>IF(A262="", "", IF(OR(AND(Recruiting_Data!N262&lt;&gt;"", Recruiting_Data!J262&lt;&gt;"", Recruiting_Data!N262&lt;Recruiting_Data!J262), AND(Recruiting_Data!M262&lt;&gt;"", Recruiting_Data!L262&lt;&gt;"", Recruiting_Data!M262&lt;Recruiting_Data!L262), AND(Recruiting_Data!L262&lt;&gt;"", Recruiting_Data!K262&lt;&gt;"", Recruiting_Data!L262&lt;Recruiting_Data!K262)), TRUE, FALSE))</f>
        <v>0</v>
      </c>
    </row>
    <row r="263">
      <c r="A263" s="5" t="str">
        <f>IF(Recruiting_Data!A263="", "", Recruiting_Data!A263)</f>
        <v>C-10262</v>
      </c>
      <c r="B263" s="5" t="str">
        <f>IF(Recruiting_Data!B263="", "", Recruiting_Data!B263)</f>
        <v>REQ-2026-0048</v>
      </c>
      <c r="C263" s="5" t="str">
        <f>IF(AND(ISNUMBER(Recruiting_Data!N263), ISNUMBER(Recruiting_Data!P263)), Recruiting_Data!N263 - Recruiting_Data!P263, "")</f>
        <v/>
      </c>
      <c r="D263" s="5">
        <v>1.0</v>
      </c>
      <c r="E263" s="5" t="str">
        <f>IF(Recruiting_Data!R263="Open", TODAY() - Recruiting_Data!P263, "")</f>
        <v/>
      </c>
      <c r="F263" s="8" t="str">
        <f t="shared" si="1"/>
        <v/>
      </c>
      <c r="G263" s="5" t="b">
        <f>IF(A263="", "", IF(COUNTIF(Recruiting_Data!A:A, A263)&gt;1, TRUE, FALSE))</f>
        <v>0</v>
      </c>
      <c r="H263" s="5" t="b">
        <f>IF(A263="", "", IF(OR(AND(Recruiting_Data!N263&lt;&gt;"", Recruiting_Data!J263&lt;&gt;"", Recruiting_Data!N263&lt;Recruiting_Data!J263), AND(Recruiting_Data!M263&lt;&gt;"", Recruiting_Data!L263&lt;&gt;"", Recruiting_Data!M263&lt;Recruiting_Data!L263), AND(Recruiting_Data!L263&lt;&gt;"", Recruiting_Data!K263&lt;&gt;"", Recruiting_Data!L263&lt;Recruiting_Data!K263)), TRUE, FALSE))</f>
        <v>0</v>
      </c>
    </row>
    <row r="264">
      <c r="A264" s="5" t="str">
        <f>IF(Recruiting_Data!A264="", "", Recruiting_Data!A264)</f>
        <v>C-10263</v>
      </c>
      <c r="B264" s="5" t="str">
        <f>IF(Recruiting_Data!B264="", "", Recruiting_Data!B264)</f>
        <v>REQ-2026-0009</v>
      </c>
      <c r="C264" s="5" t="str">
        <f>IF(AND(ISNUMBER(Recruiting_Data!N264), ISNUMBER(Recruiting_Data!P264)), Recruiting_Data!N264 - Recruiting_Data!P264, "")</f>
        <v/>
      </c>
      <c r="D264" s="5">
        <v>4.0</v>
      </c>
      <c r="E264" s="5" t="str">
        <f>IF(Recruiting_Data!R264="Open", TODAY() - Recruiting_Data!P264, "")</f>
        <v/>
      </c>
      <c r="F264" s="8" t="str">
        <f t="shared" si="1"/>
        <v/>
      </c>
      <c r="G264" s="5" t="b">
        <f>IF(A264="", "", IF(COUNTIF(Recruiting_Data!A:A, A264)&gt;1, TRUE, FALSE))</f>
        <v>0</v>
      </c>
      <c r="H264" s="5" t="b">
        <f>IF(A264="", "", IF(OR(AND(Recruiting_Data!N264&lt;&gt;"", Recruiting_Data!J264&lt;&gt;"", Recruiting_Data!N264&lt;Recruiting_Data!J264), AND(Recruiting_Data!M264&lt;&gt;"", Recruiting_Data!L264&lt;&gt;"", Recruiting_Data!M264&lt;Recruiting_Data!L264), AND(Recruiting_Data!L264&lt;&gt;"", Recruiting_Data!K264&lt;&gt;"", Recruiting_Data!L264&lt;Recruiting_Data!K264)), TRUE, FALSE))</f>
        <v>0</v>
      </c>
    </row>
    <row r="265">
      <c r="A265" s="5" t="str">
        <f>IF(Recruiting_Data!A265="", "", Recruiting_Data!A265)</f>
        <v>C-10264</v>
      </c>
      <c r="B265" s="5" t="str">
        <f>IF(Recruiting_Data!B265="", "", Recruiting_Data!B265)</f>
        <v>REQ-2026-0044</v>
      </c>
      <c r="C265" s="5">
        <f>IF(AND(ISNUMBER(Recruiting_Data!N265), ISNUMBER(Recruiting_Data!P265)), Recruiting_Data!N265 - Recruiting_Data!P265, "")</f>
        <v>37</v>
      </c>
      <c r="D265" s="5">
        <v>5.0</v>
      </c>
      <c r="E265" s="5" t="str">
        <f>IF(Recruiting_Data!R265="Open", TODAY() - Recruiting_Data!P265, "")</f>
        <v/>
      </c>
      <c r="F265" s="8" t="str">
        <f t="shared" si="1"/>
        <v/>
      </c>
      <c r="G265" s="5" t="b">
        <f>IF(A265="", "", IF(COUNTIF(Recruiting_Data!A:A, A265)&gt;1, TRUE, FALSE))</f>
        <v>0</v>
      </c>
      <c r="H265" s="5" t="b">
        <f>IF(A265="", "", IF(OR(AND(Recruiting_Data!N265&lt;&gt;"", Recruiting_Data!J265&lt;&gt;"", Recruiting_Data!N265&lt;Recruiting_Data!J265), AND(Recruiting_Data!M265&lt;&gt;"", Recruiting_Data!L265&lt;&gt;"", Recruiting_Data!M265&lt;Recruiting_Data!L265), AND(Recruiting_Data!L265&lt;&gt;"", Recruiting_Data!K265&lt;&gt;"", Recruiting_Data!L265&lt;Recruiting_Data!K265)), TRUE, FALSE))</f>
        <v>1</v>
      </c>
    </row>
    <row r="266">
      <c r="A266" s="5" t="str">
        <f>IF(Recruiting_Data!A266="", "", Recruiting_Data!A266)</f>
        <v>C-10265</v>
      </c>
      <c r="B266" s="5" t="str">
        <f>IF(Recruiting_Data!B266="", "", Recruiting_Data!B266)</f>
        <v>REQ-2026-0033</v>
      </c>
      <c r="C266" s="5" t="str">
        <f>IF(AND(ISNUMBER(Recruiting_Data!N266), ISNUMBER(Recruiting_Data!P266)), Recruiting_Data!N266 - Recruiting_Data!P266, "")</f>
        <v/>
      </c>
      <c r="D266" s="5">
        <v>2.0</v>
      </c>
      <c r="E266" s="5" t="str">
        <f>IF(Recruiting_Data!R266="Open", TODAY() - Recruiting_Data!P266, "")</f>
        <v/>
      </c>
      <c r="F266" s="8" t="str">
        <f t="shared" si="1"/>
        <v/>
      </c>
      <c r="G266" s="5" t="b">
        <f>IF(A266="", "", IF(COUNTIF(Recruiting_Data!A:A, A266)&gt;1, TRUE, FALSE))</f>
        <v>0</v>
      </c>
      <c r="H266" s="5" t="b">
        <f>IF(A266="", "", IF(OR(AND(Recruiting_Data!N266&lt;&gt;"", Recruiting_Data!J266&lt;&gt;"", Recruiting_Data!N266&lt;Recruiting_Data!J266), AND(Recruiting_Data!M266&lt;&gt;"", Recruiting_Data!L266&lt;&gt;"", Recruiting_Data!M266&lt;Recruiting_Data!L266), AND(Recruiting_Data!L266&lt;&gt;"", Recruiting_Data!K266&lt;&gt;"", Recruiting_Data!L266&lt;Recruiting_Data!K266)), TRUE, FALSE))</f>
        <v>0</v>
      </c>
    </row>
    <row r="267">
      <c r="A267" s="5" t="str">
        <f>IF(Recruiting_Data!A267="", "", Recruiting_Data!A267)</f>
        <v>C-10266</v>
      </c>
      <c r="B267" s="5" t="str">
        <f>IF(Recruiting_Data!B267="", "", Recruiting_Data!B267)</f>
        <v>REQ-2026-0017</v>
      </c>
      <c r="C267" s="5">
        <f>IF(AND(ISNUMBER(Recruiting_Data!N267), ISNUMBER(Recruiting_Data!P267)), Recruiting_Data!N267 - Recruiting_Data!P267, "")</f>
        <v>48</v>
      </c>
      <c r="D267" s="5">
        <v>5.0</v>
      </c>
      <c r="E267" s="5" t="str">
        <f>IF(Recruiting_Data!R267="Open", TODAY() - Recruiting_Data!P267, "")</f>
        <v/>
      </c>
      <c r="F267" s="8" t="str">
        <f t="shared" si="1"/>
        <v/>
      </c>
      <c r="G267" s="5" t="b">
        <f>IF(A267="", "", IF(COUNTIF(Recruiting_Data!A:A, A267)&gt;1, TRUE, FALSE))</f>
        <v>0</v>
      </c>
      <c r="H267" s="5" t="b">
        <f>IF(A267="", "", IF(OR(AND(Recruiting_Data!N267&lt;&gt;"", Recruiting_Data!J267&lt;&gt;"", Recruiting_Data!N267&lt;Recruiting_Data!J267), AND(Recruiting_Data!M267&lt;&gt;"", Recruiting_Data!L267&lt;&gt;"", Recruiting_Data!M267&lt;Recruiting_Data!L267), AND(Recruiting_Data!L267&lt;&gt;"", Recruiting_Data!K267&lt;&gt;"", Recruiting_Data!L267&lt;Recruiting_Data!K267)), TRUE, FALSE))</f>
        <v>0</v>
      </c>
    </row>
    <row r="268">
      <c r="A268" s="5" t="str">
        <f>IF(Recruiting_Data!A268="", "", Recruiting_Data!A268)</f>
        <v>C-10267</v>
      </c>
      <c r="B268" s="5" t="str">
        <f>IF(Recruiting_Data!B268="", "", Recruiting_Data!B268)</f>
        <v>REQ-2026-0029</v>
      </c>
      <c r="C268" s="5" t="str">
        <f>IF(AND(ISNUMBER(Recruiting_Data!N268), ISNUMBER(Recruiting_Data!P268)), Recruiting_Data!N268 - Recruiting_Data!P268, "")</f>
        <v/>
      </c>
      <c r="D268" s="5">
        <v>3.0</v>
      </c>
      <c r="E268" s="5" t="str">
        <f>IF(Recruiting_Data!R268="Open", TODAY() - Recruiting_Data!P268, "")</f>
        <v/>
      </c>
      <c r="F268" s="8" t="str">
        <f t="shared" si="1"/>
        <v/>
      </c>
      <c r="G268" s="5" t="b">
        <f>IF(A268="", "", IF(COUNTIF(Recruiting_Data!A:A, A268)&gt;1, TRUE, FALSE))</f>
        <v>0</v>
      </c>
      <c r="H268" s="5" t="b">
        <f>IF(A268="", "", IF(OR(AND(Recruiting_Data!N268&lt;&gt;"", Recruiting_Data!J268&lt;&gt;"", Recruiting_Data!N268&lt;Recruiting_Data!J268), AND(Recruiting_Data!M268&lt;&gt;"", Recruiting_Data!L268&lt;&gt;"", Recruiting_Data!M268&lt;Recruiting_Data!L268), AND(Recruiting_Data!L268&lt;&gt;"", Recruiting_Data!K268&lt;&gt;"", Recruiting_Data!L268&lt;Recruiting_Data!K268)), TRUE, FALSE))</f>
        <v>0</v>
      </c>
    </row>
    <row r="269">
      <c r="A269" s="5" t="str">
        <f>IF(Recruiting_Data!A269="", "", Recruiting_Data!A269)</f>
        <v>C-10268</v>
      </c>
      <c r="B269" s="5" t="str">
        <f>IF(Recruiting_Data!B269="", "", Recruiting_Data!B269)</f>
        <v>REQ-2026-0022</v>
      </c>
      <c r="C269" s="5">
        <f>IF(AND(ISNUMBER(Recruiting_Data!N269), ISNUMBER(Recruiting_Data!P269)), Recruiting_Data!N269 - Recruiting_Data!P269, "")</f>
        <v>43</v>
      </c>
      <c r="D269" s="5">
        <v>5.0</v>
      </c>
      <c r="E269" s="5" t="str">
        <f>IF(Recruiting_Data!R269="Open", TODAY() - Recruiting_Data!P269, "")</f>
        <v/>
      </c>
      <c r="F269" s="8" t="str">
        <f t="shared" si="1"/>
        <v/>
      </c>
      <c r="G269" s="5" t="b">
        <f>IF(A269="", "", IF(COUNTIF(Recruiting_Data!A:A, A269)&gt;1, TRUE, FALSE))</f>
        <v>0</v>
      </c>
      <c r="H269" s="5" t="b">
        <f>IF(A269="", "", IF(OR(AND(Recruiting_Data!N269&lt;&gt;"", Recruiting_Data!J269&lt;&gt;"", Recruiting_Data!N269&lt;Recruiting_Data!J269), AND(Recruiting_Data!M269&lt;&gt;"", Recruiting_Data!L269&lt;&gt;"", Recruiting_Data!M269&lt;Recruiting_Data!L269), AND(Recruiting_Data!L269&lt;&gt;"", Recruiting_Data!K269&lt;&gt;"", Recruiting_Data!L269&lt;Recruiting_Data!K269)), TRUE, FALSE))</f>
        <v>0</v>
      </c>
    </row>
    <row r="270">
      <c r="A270" s="5" t="str">
        <f>IF(Recruiting_Data!A270="", "", Recruiting_Data!A270)</f>
        <v>C-10269</v>
      </c>
      <c r="B270" s="5" t="str">
        <f>IF(Recruiting_Data!B270="", "", Recruiting_Data!B270)</f>
        <v>REQ-2026-0027</v>
      </c>
      <c r="C270" s="5" t="str">
        <f>IF(AND(ISNUMBER(Recruiting_Data!N270), ISNUMBER(Recruiting_Data!P270)), Recruiting_Data!N270 - Recruiting_Data!P270, "")</f>
        <v/>
      </c>
      <c r="D270" s="5">
        <v>3.0</v>
      </c>
      <c r="E270" s="5" t="str">
        <f>IF(Recruiting_Data!R270="Open", TODAY() - Recruiting_Data!P270, "")</f>
        <v/>
      </c>
      <c r="F270" s="8" t="str">
        <f t="shared" si="1"/>
        <v/>
      </c>
      <c r="G270" s="5" t="b">
        <f>IF(A270="", "", IF(COUNTIF(Recruiting_Data!A:A, A270)&gt;1, TRUE, FALSE))</f>
        <v>0</v>
      </c>
      <c r="H270" s="5" t="b">
        <f>IF(A270="", "", IF(OR(AND(Recruiting_Data!N270&lt;&gt;"", Recruiting_Data!J270&lt;&gt;"", Recruiting_Data!N270&lt;Recruiting_Data!J270), AND(Recruiting_Data!M270&lt;&gt;"", Recruiting_Data!L270&lt;&gt;"", Recruiting_Data!M270&lt;Recruiting_Data!L270), AND(Recruiting_Data!L270&lt;&gt;"", Recruiting_Data!K270&lt;&gt;"", Recruiting_Data!L270&lt;Recruiting_Data!K270)), TRUE, FALSE))</f>
        <v>0</v>
      </c>
    </row>
    <row r="271">
      <c r="A271" s="5" t="str">
        <f>IF(Recruiting_Data!A271="", "", Recruiting_Data!A271)</f>
        <v>C-10270</v>
      </c>
      <c r="B271" s="5" t="str">
        <f>IF(Recruiting_Data!B271="", "", Recruiting_Data!B271)</f>
        <v>REQ-2026-0015</v>
      </c>
      <c r="C271" s="5">
        <f>IF(AND(ISNUMBER(Recruiting_Data!N271), ISNUMBER(Recruiting_Data!P271)), Recruiting_Data!N271 - Recruiting_Data!P271, "")</f>
        <v>34</v>
      </c>
      <c r="D271" s="5">
        <v>5.0</v>
      </c>
      <c r="E271" s="5" t="str">
        <f>IF(Recruiting_Data!R271="Open", TODAY() - Recruiting_Data!P271, "")</f>
        <v/>
      </c>
      <c r="F271" s="8" t="str">
        <f t="shared" si="1"/>
        <v/>
      </c>
      <c r="G271" s="5" t="b">
        <f>IF(A271="", "", IF(COUNTIF(Recruiting_Data!A:A, A271)&gt;1, TRUE, FALSE))</f>
        <v>0</v>
      </c>
      <c r="H271" s="5" t="b">
        <f>IF(A271="", "", IF(OR(AND(Recruiting_Data!N271&lt;&gt;"", Recruiting_Data!J271&lt;&gt;"", Recruiting_Data!N271&lt;Recruiting_Data!J271), AND(Recruiting_Data!M271&lt;&gt;"", Recruiting_Data!L271&lt;&gt;"", Recruiting_Data!M271&lt;Recruiting_Data!L271), AND(Recruiting_Data!L271&lt;&gt;"", Recruiting_Data!K271&lt;&gt;"", Recruiting_Data!L271&lt;Recruiting_Data!K271)), TRUE, FALSE))</f>
        <v>0</v>
      </c>
    </row>
    <row r="272">
      <c r="A272" s="5" t="str">
        <f>IF(Recruiting_Data!A272="", "", Recruiting_Data!A272)</f>
        <v>C-10271</v>
      </c>
      <c r="B272" s="5" t="str">
        <f>IF(Recruiting_Data!B272="", "", Recruiting_Data!B272)</f>
        <v>REQ-2026-0024</v>
      </c>
      <c r="C272" s="5" t="str">
        <f>IF(AND(ISNUMBER(Recruiting_Data!N272), ISNUMBER(Recruiting_Data!P272)), Recruiting_Data!N272 - Recruiting_Data!P272, "")</f>
        <v/>
      </c>
      <c r="D272" s="5">
        <v>1.0</v>
      </c>
      <c r="E272" s="5">
        <f>IF(Recruiting_Data!R272="Open", TODAY() - Recruiting_Data!P272, "")</f>
        <v>220</v>
      </c>
      <c r="F272" s="8" t="str">
        <f t="shared" si="1"/>
        <v>60+</v>
      </c>
      <c r="G272" s="5" t="b">
        <f>IF(A272="", "", IF(COUNTIF(Recruiting_Data!A:A, A272)&gt;1, TRUE, FALSE))</f>
        <v>0</v>
      </c>
      <c r="H272" s="5" t="b">
        <f>IF(A272="", "", IF(OR(AND(Recruiting_Data!N272&lt;&gt;"", Recruiting_Data!J272&lt;&gt;"", Recruiting_Data!N272&lt;Recruiting_Data!J272), AND(Recruiting_Data!M272&lt;&gt;"", Recruiting_Data!L272&lt;&gt;"", Recruiting_Data!M272&lt;Recruiting_Data!L272), AND(Recruiting_Data!L272&lt;&gt;"", Recruiting_Data!K272&lt;&gt;"", Recruiting_Data!L272&lt;Recruiting_Data!K272)), TRUE, FALSE))</f>
        <v>0</v>
      </c>
    </row>
    <row r="273">
      <c r="A273" s="5" t="str">
        <f>IF(Recruiting_Data!A273="", "", Recruiting_Data!A273)</f>
        <v>C-10272</v>
      </c>
      <c r="B273" s="5" t="str">
        <f>IF(Recruiting_Data!B273="", "", Recruiting_Data!B273)</f>
        <v>REQ-2026-0002</v>
      </c>
      <c r="C273" s="5" t="str">
        <f>IF(AND(ISNUMBER(Recruiting_Data!N273), ISNUMBER(Recruiting_Data!P273)), Recruiting_Data!N273 - Recruiting_Data!P273, "")</f>
        <v/>
      </c>
      <c r="D273" s="5">
        <v>3.0</v>
      </c>
      <c r="E273" s="5">
        <f>IF(Recruiting_Data!R273="Open", TODAY() - Recruiting_Data!P273, "")</f>
        <v>198</v>
      </c>
      <c r="F273" s="8" t="str">
        <f t="shared" si="1"/>
        <v>60+</v>
      </c>
      <c r="G273" s="5" t="b">
        <f>IF(A273="", "", IF(COUNTIF(Recruiting_Data!A:A, A273)&gt;1, TRUE, FALSE))</f>
        <v>0</v>
      </c>
      <c r="H273" s="5" t="b">
        <f>IF(A273="", "", IF(OR(AND(Recruiting_Data!N273&lt;&gt;"", Recruiting_Data!J273&lt;&gt;"", Recruiting_Data!N273&lt;Recruiting_Data!J273), AND(Recruiting_Data!M273&lt;&gt;"", Recruiting_Data!L273&lt;&gt;"", Recruiting_Data!M273&lt;Recruiting_Data!L273), AND(Recruiting_Data!L273&lt;&gt;"", Recruiting_Data!K273&lt;&gt;"", Recruiting_Data!L273&lt;Recruiting_Data!K273)), TRUE, FALSE))</f>
        <v>0</v>
      </c>
    </row>
    <row r="274">
      <c r="A274" s="5" t="str">
        <f>IF(Recruiting_Data!A274="", "", Recruiting_Data!A274)</f>
        <v>C-10273</v>
      </c>
      <c r="B274" s="5" t="str">
        <f>IF(Recruiting_Data!B274="", "", Recruiting_Data!B274)</f>
        <v>REQ-2026-0037</v>
      </c>
      <c r="C274" s="5" t="str">
        <f>IF(AND(ISNUMBER(Recruiting_Data!N274), ISNUMBER(Recruiting_Data!P274)), Recruiting_Data!N274 - Recruiting_Data!P274, "")</f>
        <v/>
      </c>
      <c r="D274" s="5">
        <v>1.0</v>
      </c>
      <c r="E274" s="5" t="str">
        <f>IF(Recruiting_Data!R274="Open", TODAY() - Recruiting_Data!P274, "")</f>
        <v/>
      </c>
      <c r="F274" s="8" t="str">
        <f t="shared" si="1"/>
        <v/>
      </c>
      <c r="G274" s="5" t="b">
        <f>IF(A274="", "", IF(COUNTIF(Recruiting_Data!A:A, A274)&gt;1, TRUE, FALSE))</f>
        <v>0</v>
      </c>
      <c r="H274" s="5" t="b">
        <f>IF(A274="", "", IF(OR(AND(Recruiting_Data!N274&lt;&gt;"", Recruiting_Data!J274&lt;&gt;"", Recruiting_Data!N274&lt;Recruiting_Data!J274), AND(Recruiting_Data!M274&lt;&gt;"", Recruiting_Data!L274&lt;&gt;"", Recruiting_Data!M274&lt;Recruiting_Data!L274), AND(Recruiting_Data!L274&lt;&gt;"", Recruiting_Data!K274&lt;&gt;"", Recruiting_Data!L274&lt;Recruiting_Data!K274)), TRUE, FALSE))</f>
        <v>0</v>
      </c>
    </row>
    <row r="275">
      <c r="A275" s="5" t="str">
        <f>IF(Recruiting_Data!A275="", "", Recruiting_Data!A275)</f>
        <v>C-10274</v>
      </c>
      <c r="B275" s="5" t="str">
        <f>IF(Recruiting_Data!B275="", "", Recruiting_Data!B275)</f>
        <v>REQ-2026-0031</v>
      </c>
      <c r="C275" s="5" t="str">
        <f>IF(AND(ISNUMBER(Recruiting_Data!N275), ISNUMBER(Recruiting_Data!P275)), Recruiting_Data!N275 - Recruiting_Data!P275, "")</f>
        <v/>
      </c>
      <c r="D275" s="5">
        <v>2.0</v>
      </c>
      <c r="E275" s="5">
        <f>IF(Recruiting_Data!R275="Open", TODAY() - Recruiting_Data!P275, "")</f>
        <v>219</v>
      </c>
      <c r="F275" s="8" t="str">
        <f t="shared" si="1"/>
        <v>60+</v>
      </c>
      <c r="G275" s="5" t="b">
        <f>IF(A275="", "", IF(COUNTIF(Recruiting_Data!A:A, A275)&gt;1, TRUE, FALSE))</f>
        <v>0</v>
      </c>
      <c r="H275" s="5" t="b">
        <f>IF(A275="", "", IF(OR(AND(Recruiting_Data!N275&lt;&gt;"", Recruiting_Data!J275&lt;&gt;"", Recruiting_Data!N275&lt;Recruiting_Data!J275), AND(Recruiting_Data!M275&lt;&gt;"", Recruiting_Data!L275&lt;&gt;"", Recruiting_Data!M275&lt;Recruiting_Data!L275), AND(Recruiting_Data!L275&lt;&gt;"", Recruiting_Data!K275&lt;&gt;"", Recruiting_Data!L275&lt;Recruiting_Data!K275)), TRUE, FALSE))</f>
        <v>0</v>
      </c>
    </row>
    <row r="276">
      <c r="A276" s="5" t="str">
        <f>IF(Recruiting_Data!A276="", "", Recruiting_Data!A276)</f>
        <v>C-10275</v>
      </c>
      <c r="B276" s="5" t="str">
        <f>IF(Recruiting_Data!B276="", "", Recruiting_Data!B276)</f>
        <v>REQ-2026-0050</v>
      </c>
      <c r="C276" s="5" t="str">
        <f>IF(AND(ISNUMBER(Recruiting_Data!N276), ISNUMBER(Recruiting_Data!P276)), Recruiting_Data!N276 - Recruiting_Data!P276, "")</f>
        <v/>
      </c>
      <c r="D276" s="5">
        <v>1.0</v>
      </c>
      <c r="E276" s="5" t="str">
        <f>IF(Recruiting_Data!R276="Open", TODAY() - Recruiting_Data!P276, "")</f>
        <v/>
      </c>
      <c r="F276" s="8" t="str">
        <f t="shared" si="1"/>
        <v/>
      </c>
      <c r="G276" s="5" t="b">
        <f>IF(A276="", "", IF(COUNTIF(Recruiting_Data!A:A, A276)&gt;1, TRUE, FALSE))</f>
        <v>0</v>
      </c>
      <c r="H276" s="5" t="b">
        <f>IF(A276="", "", IF(OR(AND(Recruiting_Data!N276&lt;&gt;"", Recruiting_Data!J276&lt;&gt;"", Recruiting_Data!N276&lt;Recruiting_Data!J276), AND(Recruiting_Data!M276&lt;&gt;"", Recruiting_Data!L276&lt;&gt;"", Recruiting_Data!M276&lt;Recruiting_Data!L276), AND(Recruiting_Data!L276&lt;&gt;"", Recruiting_Data!K276&lt;&gt;"", Recruiting_Data!L276&lt;Recruiting_Data!K276)), TRUE, FALSE))</f>
        <v>0</v>
      </c>
    </row>
    <row r="277">
      <c r="A277" s="5" t="str">
        <f>IF(Recruiting_Data!A277="", "", Recruiting_Data!A277)</f>
        <v>C-10276</v>
      </c>
      <c r="B277" s="5" t="str">
        <f>IF(Recruiting_Data!B277="", "", Recruiting_Data!B277)</f>
        <v>REQ-2026-0047</v>
      </c>
      <c r="C277" s="5" t="str">
        <f>IF(AND(ISNUMBER(Recruiting_Data!N277), ISNUMBER(Recruiting_Data!P277)), Recruiting_Data!N277 - Recruiting_Data!P277, "")</f>
        <v/>
      </c>
      <c r="D277" s="5">
        <v>1.0</v>
      </c>
      <c r="E277" s="5">
        <f>IF(Recruiting_Data!R277="Open", TODAY() - Recruiting_Data!P277, "")</f>
        <v>233</v>
      </c>
      <c r="F277" s="8" t="str">
        <f t="shared" si="1"/>
        <v>60+</v>
      </c>
      <c r="G277" s="5" t="b">
        <f>IF(A277="", "", IF(COUNTIF(Recruiting_Data!A:A, A277)&gt;1, TRUE, FALSE))</f>
        <v>0</v>
      </c>
      <c r="H277" s="5" t="b">
        <f>IF(A277="", "", IF(OR(AND(Recruiting_Data!N277&lt;&gt;"", Recruiting_Data!J277&lt;&gt;"", Recruiting_Data!N277&lt;Recruiting_Data!J277), AND(Recruiting_Data!M277&lt;&gt;"", Recruiting_Data!L277&lt;&gt;"", Recruiting_Data!M277&lt;Recruiting_Data!L277), AND(Recruiting_Data!L277&lt;&gt;"", Recruiting_Data!K277&lt;&gt;"", Recruiting_Data!L277&lt;Recruiting_Data!K277)), TRUE, FALSE))</f>
        <v>0</v>
      </c>
    </row>
    <row r="278">
      <c r="A278" s="5" t="str">
        <f>IF(Recruiting_Data!A278="", "", Recruiting_Data!A278)</f>
        <v>C-10277</v>
      </c>
      <c r="B278" s="5" t="str">
        <f>IF(Recruiting_Data!B278="", "", Recruiting_Data!B278)</f>
        <v>REQ-2026-0032</v>
      </c>
      <c r="C278" s="5" t="str">
        <f>IF(AND(ISNUMBER(Recruiting_Data!N278), ISNUMBER(Recruiting_Data!P278)), Recruiting_Data!N278 - Recruiting_Data!P278, "")</f>
        <v/>
      </c>
      <c r="D278" s="5">
        <v>4.0</v>
      </c>
      <c r="E278" s="5">
        <f>IF(Recruiting_Data!R278="Open", TODAY() - Recruiting_Data!P278, "")</f>
        <v>126</v>
      </c>
      <c r="F278" s="8" t="str">
        <f t="shared" si="1"/>
        <v>60+</v>
      </c>
      <c r="G278" s="5" t="b">
        <f>IF(A278="", "", IF(COUNTIF(Recruiting_Data!A:A, A278)&gt;1, TRUE, FALSE))</f>
        <v>0</v>
      </c>
      <c r="H278" s="5" t="b">
        <f>IF(A278="", "", IF(OR(AND(Recruiting_Data!N278&lt;&gt;"", Recruiting_Data!J278&lt;&gt;"", Recruiting_Data!N278&lt;Recruiting_Data!J278), AND(Recruiting_Data!M278&lt;&gt;"", Recruiting_Data!L278&lt;&gt;"", Recruiting_Data!M278&lt;Recruiting_Data!L278), AND(Recruiting_Data!L278&lt;&gt;"", Recruiting_Data!K278&lt;&gt;"", Recruiting_Data!L278&lt;Recruiting_Data!K278)), TRUE, FALSE))</f>
        <v>0</v>
      </c>
    </row>
    <row r="279">
      <c r="A279" s="5" t="str">
        <f>IF(Recruiting_Data!A279="", "", Recruiting_Data!A279)</f>
        <v>C-10278</v>
      </c>
      <c r="B279" s="5" t="str">
        <f>IF(Recruiting_Data!B279="", "", Recruiting_Data!B279)</f>
        <v>REQ-2026-0047</v>
      </c>
      <c r="C279" s="5" t="str">
        <f>IF(AND(ISNUMBER(Recruiting_Data!N279), ISNUMBER(Recruiting_Data!P279)), Recruiting_Data!N279 - Recruiting_Data!P279, "")</f>
        <v/>
      </c>
      <c r="D279" s="5">
        <v>1.0</v>
      </c>
      <c r="E279" s="5">
        <f>IF(Recruiting_Data!R279="Open", TODAY() - Recruiting_Data!P279, "")</f>
        <v>247</v>
      </c>
      <c r="F279" s="8" t="str">
        <f t="shared" si="1"/>
        <v>60+</v>
      </c>
      <c r="G279" s="5" t="b">
        <f>IF(A279="", "", IF(COUNTIF(Recruiting_Data!A:A, A279)&gt;1, TRUE, FALSE))</f>
        <v>0</v>
      </c>
      <c r="H279" s="5" t="b">
        <f>IF(A279="", "", IF(OR(AND(Recruiting_Data!N279&lt;&gt;"", Recruiting_Data!J279&lt;&gt;"", Recruiting_Data!N279&lt;Recruiting_Data!J279), AND(Recruiting_Data!M279&lt;&gt;"", Recruiting_Data!L279&lt;&gt;"", Recruiting_Data!M279&lt;Recruiting_Data!L279), AND(Recruiting_Data!L279&lt;&gt;"", Recruiting_Data!K279&lt;&gt;"", Recruiting_Data!L279&lt;Recruiting_Data!K279)), TRUE, FALSE))</f>
        <v>0</v>
      </c>
    </row>
    <row r="280">
      <c r="A280" s="5" t="str">
        <f>IF(Recruiting_Data!A280="", "", Recruiting_Data!A280)</f>
        <v>C-10279</v>
      </c>
      <c r="B280" s="5" t="str">
        <f>IF(Recruiting_Data!B280="", "", Recruiting_Data!B280)</f>
        <v>REQ-2026-0021</v>
      </c>
      <c r="C280" s="5" t="str">
        <f>IF(AND(ISNUMBER(Recruiting_Data!N280), ISNUMBER(Recruiting_Data!P280)), Recruiting_Data!N280 - Recruiting_Data!P280, "")</f>
        <v/>
      </c>
      <c r="D280" s="5">
        <v>1.0</v>
      </c>
      <c r="E280" s="5" t="str">
        <f>IF(Recruiting_Data!R280="Open", TODAY() - Recruiting_Data!P280, "")</f>
        <v/>
      </c>
      <c r="F280" s="8" t="str">
        <f t="shared" si="1"/>
        <v/>
      </c>
      <c r="G280" s="5" t="b">
        <f>IF(A280="", "", IF(COUNTIF(Recruiting_Data!A:A, A280)&gt;1, TRUE, FALSE))</f>
        <v>0</v>
      </c>
      <c r="H280" s="5" t="b">
        <f>IF(A280="", "", IF(OR(AND(Recruiting_Data!N280&lt;&gt;"", Recruiting_Data!J280&lt;&gt;"", Recruiting_Data!N280&lt;Recruiting_Data!J280), AND(Recruiting_Data!M280&lt;&gt;"", Recruiting_Data!L280&lt;&gt;"", Recruiting_Data!M280&lt;Recruiting_Data!L280), AND(Recruiting_Data!L280&lt;&gt;"", Recruiting_Data!K280&lt;&gt;"", Recruiting_Data!L280&lt;Recruiting_Data!K280)), TRUE, FALSE))</f>
        <v>0</v>
      </c>
    </row>
    <row r="281">
      <c r="A281" s="5" t="str">
        <f>IF(Recruiting_Data!A281="", "", Recruiting_Data!A281)</f>
        <v>C-10280</v>
      </c>
      <c r="B281" s="5" t="str">
        <f>IF(Recruiting_Data!B281="", "", Recruiting_Data!B281)</f>
        <v>REQ-2026-0019</v>
      </c>
      <c r="C281" s="5" t="str">
        <f>IF(AND(ISNUMBER(Recruiting_Data!N281), ISNUMBER(Recruiting_Data!P281)), Recruiting_Data!N281 - Recruiting_Data!P281, "")</f>
        <v/>
      </c>
      <c r="D281" s="5">
        <v>1.0</v>
      </c>
      <c r="E281" s="5" t="str">
        <f>IF(Recruiting_Data!R281="Open", TODAY() - Recruiting_Data!P281, "")</f>
        <v/>
      </c>
      <c r="F281" s="8" t="str">
        <f t="shared" si="1"/>
        <v/>
      </c>
      <c r="G281" s="5" t="b">
        <f>IF(A281="", "", IF(COUNTIF(Recruiting_Data!A:A, A281)&gt;1, TRUE, FALSE))</f>
        <v>0</v>
      </c>
      <c r="H281" s="5" t="b">
        <f>IF(A281="", "", IF(OR(AND(Recruiting_Data!N281&lt;&gt;"", Recruiting_Data!J281&lt;&gt;"", Recruiting_Data!N281&lt;Recruiting_Data!J281), AND(Recruiting_Data!M281&lt;&gt;"", Recruiting_Data!L281&lt;&gt;"", Recruiting_Data!M281&lt;Recruiting_Data!L281), AND(Recruiting_Data!L281&lt;&gt;"", Recruiting_Data!K281&lt;&gt;"", Recruiting_Data!L281&lt;Recruiting_Data!K281)), TRUE, FALSE))</f>
        <v>0</v>
      </c>
    </row>
    <row r="282">
      <c r="A282" s="5" t="str">
        <f>IF(Recruiting_Data!A282="", "", Recruiting_Data!A282)</f>
        <v>C-10281</v>
      </c>
      <c r="B282" s="5" t="str">
        <f>IF(Recruiting_Data!B282="", "", Recruiting_Data!B282)</f>
        <v>REQ-2026-0021</v>
      </c>
      <c r="C282" s="5" t="str">
        <f>IF(AND(ISNUMBER(Recruiting_Data!N282), ISNUMBER(Recruiting_Data!P282)), Recruiting_Data!N282 - Recruiting_Data!P282, "")</f>
        <v/>
      </c>
      <c r="D282" s="5">
        <v>3.0</v>
      </c>
      <c r="E282" s="5" t="str">
        <f>IF(Recruiting_Data!R282="Open", TODAY() - Recruiting_Data!P282, "")</f>
        <v/>
      </c>
      <c r="F282" s="8" t="str">
        <f t="shared" si="1"/>
        <v/>
      </c>
      <c r="G282" s="5" t="b">
        <f>IF(A282="", "", IF(COUNTIF(Recruiting_Data!A:A, A282)&gt;1, TRUE, FALSE))</f>
        <v>0</v>
      </c>
      <c r="H282" s="5" t="b">
        <f>IF(A282="", "", IF(OR(AND(Recruiting_Data!N282&lt;&gt;"", Recruiting_Data!J282&lt;&gt;"", Recruiting_Data!N282&lt;Recruiting_Data!J282), AND(Recruiting_Data!M282&lt;&gt;"", Recruiting_Data!L282&lt;&gt;"", Recruiting_Data!M282&lt;Recruiting_Data!L282), AND(Recruiting_Data!L282&lt;&gt;"", Recruiting_Data!K282&lt;&gt;"", Recruiting_Data!L282&lt;Recruiting_Data!K282)), TRUE, FALSE))</f>
        <v>0</v>
      </c>
    </row>
    <row r="283">
      <c r="A283" s="5" t="str">
        <f>IF(Recruiting_Data!A283="", "", Recruiting_Data!A283)</f>
        <v>C-10282</v>
      </c>
      <c r="B283" s="5" t="str">
        <f>IF(Recruiting_Data!B283="", "", Recruiting_Data!B283)</f>
        <v>REQ-2026-0018</v>
      </c>
      <c r="C283" s="5">
        <f>IF(AND(ISNUMBER(Recruiting_Data!N283), ISNUMBER(Recruiting_Data!P283)), Recruiting_Data!N283 - Recruiting_Data!P283, "")</f>
        <v>40</v>
      </c>
      <c r="D283" s="5">
        <v>5.0</v>
      </c>
      <c r="E283" s="5" t="str">
        <f>IF(Recruiting_Data!R283="Open", TODAY() - Recruiting_Data!P283, "")</f>
        <v/>
      </c>
      <c r="F283" s="8" t="str">
        <f t="shared" si="1"/>
        <v/>
      </c>
      <c r="G283" s="5" t="b">
        <f>IF(A283="", "", IF(COUNTIF(Recruiting_Data!A:A, A283)&gt;1, TRUE, FALSE))</f>
        <v>0</v>
      </c>
      <c r="H283" s="5" t="b">
        <f>IF(A283="", "", IF(OR(AND(Recruiting_Data!N283&lt;&gt;"", Recruiting_Data!J283&lt;&gt;"", Recruiting_Data!N283&lt;Recruiting_Data!J283), AND(Recruiting_Data!M283&lt;&gt;"", Recruiting_Data!L283&lt;&gt;"", Recruiting_Data!M283&lt;Recruiting_Data!L283), AND(Recruiting_Data!L283&lt;&gt;"", Recruiting_Data!K283&lt;&gt;"", Recruiting_Data!L283&lt;Recruiting_Data!K283)), TRUE, FALSE))</f>
        <v>0</v>
      </c>
    </row>
    <row r="284">
      <c r="A284" s="5" t="str">
        <f>IF(Recruiting_Data!A284="", "", Recruiting_Data!A284)</f>
        <v>C-10283</v>
      </c>
      <c r="B284" s="5" t="str">
        <f>IF(Recruiting_Data!B284="", "", Recruiting_Data!B284)</f>
        <v>REQ-2026-0042</v>
      </c>
      <c r="C284" s="5">
        <f>IF(AND(ISNUMBER(Recruiting_Data!N284), ISNUMBER(Recruiting_Data!P284)), Recruiting_Data!N284 - Recruiting_Data!P284, "")</f>
        <v>45</v>
      </c>
      <c r="D284" s="5">
        <v>5.0</v>
      </c>
      <c r="E284" s="5" t="str">
        <f>IF(Recruiting_Data!R284="Open", TODAY() - Recruiting_Data!P284, "")</f>
        <v/>
      </c>
      <c r="F284" s="8" t="str">
        <f t="shared" si="1"/>
        <v/>
      </c>
      <c r="G284" s="5" t="b">
        <f>IF(A284="", "", IF(COUNTIF(Recruiting_Data!A:A, A284)&gt;1, TRUE, FALSE))</f>
        <v>0</v>
      </c>
      <c r="H284" s="5" t="b">
        <f>IF(A284="", "", IF(OR(AND(Recruiting_Data!N284&lt;&gt;"", Recruiting_Data!J284&lt;&gt;"", Recruiting_Data!N284&lt;Recruiting_Data!J284), AND(Recruiting_Data!M284&lt;&gt;"", Recruiting_Data!L284&lt;&gt;"", Recruiting_Data!M284&lt;Recruiting_Data!L284), AND(Recruiting_Data!L284&lt;&gt;"", Recruiting_Data!K284&lt;&gt;"", Recruiting_Data!L284&lt;Recruiting_Data!K284)), TRUE, FALSE))</f>
        <v>0</v>
      </c>
    </row>
    <row r="285">
      <c r="A285" s="5" t="str">
        <f>IF(Recruiting_Data!A285="", "", Recruiting_Data!A285)</f>
        <v>C-10284</v>
      </c>
      <c r="B285" s="5" t="str">
        <f>IF(Recruiting_Data!B285="", "", Recruiting_Data!B285)</f>
        <v>REQ-2026-0011</v>
      </c>
      <c r="C285" s="5" t="str">
        <f>IF(AND(ISNUMBER(Recruiting_Data!N285), ISNUMBER(Recruiting_Data!P285)), Recruiting_Data!N285 - Recruiting_Data!P285, "")</f>
        <v/>
      </c>
      <c r="D285" s="5">
        <v>1.0</v>
      </c>
      <c r="E285" s="5" t="str">
        <f>IF(Recruiting_Data!R285="Open", TODAY() - Recruiting_Data!P285, "")</f>
        <v/>
      </c>
      <c r="F285" s="8" t="str">
        <f t="shared" si="1"/>
        <v/>
      </c>
      <c r="G285" s="5" t="b">
        <f>IF(A285="", "", IF(COUNTIF(Recruiting_Data!A:A, A285)&gt;1, TRUE, FALSE))</f>
        <v>0</v>
      </c>
      <c r="H285" s="5" t="b">
        <f>IF(A285="", "", IF(OR(AND(Recruiting_Data!N285&lt;&gt;"", Recruiting_Data!J285&lt;&gt;"", Recruiting_Data!N285&lt;Recruiting_Data!J285), AND(Recruiting_Data!M285&lt;&gt;"", Recruiting_Data!L285&lt;&gt;"", Recruiting_Data!M285&lt;Recruiting_Data!L285), AND(Recruiting_Data!L285&lt;&gt;"", Recruiting_Data!K285&lt;&gt;"", Recruiting_Data!L285&lt;Recruiting_Data!K285)), TRUE, FALSE))</f>
        <v>0</v>
      </c>
    </row>
    <row r="286">
      <c r="A286" s="5" t="str">
        <f>IF(Recruiting_Data!A286="", "", Recruiting_Data!A286)</f>
        <v>C-10285</v>
      </c>
      <c r="B286" s="5" t="str">
        <f>IF(Recruiting_Data!B286="", "", Recruiting_Data!B286)</f>
        <v>REQ-2026-0043</v>
      </c>
      <c r="C286" s="5" t="str">
        <f>IF(AND(ISNUMBER(Recruiting_Data!N286), ISNUMBER(Recruiting_Data!P286)), Recruiting_Data!N286 - Recruiting_Data!P286, "")</f>
        <v/>
      </c>
      <c r="D286" s="5">
        <v>4.0</v>
      </c>
      <c r="E286" s="5">
        <f>IF(Recruiting_Data!R286="Open", TODAY() - Recruiting_Data!P286, "")</f>
        <v>205</v>
      </c>
      <c r="F286" s="8" t="str">
        <f t="shared" si="1"/>
        <v>60+</v>
      </c>
      <c r="G286" s="5" t="b">
        <f>IF(A286="", "", IF(COUNTIF(Recruiting_Data!A:A, A286)&gt;1, TRUE, FALSE))</f>
        <v>0</v>
      </c>
      <c r="H286" s="5" t="b">
        <f>IF(A286="", "", IF(OR(AND(Recruiting_Data!N286&lt;&gt;"", Recruiting_Data!J286&lt;&gt;"", Recruiting_Data!N286&lt;Recruiting_Data!J286), AND(Recruiting_Data!M286&lt;&gt;"", Recruiting_Data!L286&lt;&gt;"", Recruiting_Data!M286&lt;Recruiting_Data!L286), AND(Recruiting_Data!L286&lt;&gt;"", Recruiting_Data!K286&lt;&gt;"", Recruiting_Data!L286&lt;Recruiting_Data!K286)), TRUE, FALSE))</f>
        <v>0</v>
      </c>
    </row>
    <row r="287">
      <c r="A287" s="5" t="str">
        <f>IF(Recruiting_Data!A287="", "", Recruiting_Data!A287)</f>
        <v>C-10286</v>
      </c>
      <c r="B287" s="5" t="str">
        <f>IF(Recruiting_Data!B287="", "", Recruiting_Data!B287)</f>
        <v>REQ-2026-0045</v>
      </c>
      <c r="C287" s="5" t="str">
        <f>IF(AND(ISNUMBER(Recruiting_Data!N287), ISNUMBER(Recruiting_Data!P287)), Recruiting_Data!N287 - Recruiting_Data!P287, "")</f>
        <v/>
      </c>
      <c r="D287" s="5">
        <v>4.0</v>
      </c>
      <c r="E287" s="5" t="str">
        <f>IF(Recruiting_Data!R287="Open", TODAY() - Recruiting_Data!P287, "")</f>
        <v/>
      </c>
      <c r="F287" s="8" t="str">
        <f t="shared" si="1"/>
        <v/>
      </c>
      <c r="G287" s="5" t="b">
        <f>IF(A287="", "", IF(COUNTIF(Recruiting_Data!A:A, A287)&gt;1, TRUE, FALSE))</f>
        <v>0</v>
      </c>
      <c r="H287" s="5" t="b">
        <f>IF(A287="", "", IF(OR(AND(Recruiting_Data!N287&lt;&gt;"", Recruiting_Data!J287&lt;&gt;"", Recruiting_Data!N287&lt;Recruiting_Data!J287), AND(Recruiting_Data!M287&lt;&gt;"", Recruiting_Data!L287&lt;&gt;"", Recruiting_Data!M287&lt;Recruiting_Data!L287), AND(Recruiting_Data!L287&lt;&gt;"", Recruiting_Data!K287&lt;&gt;"", Recruiting_Data!L287&lt;Recruiting_Data!K287)), TRUE, FALSE))</f>
        <v>0</v>
      </c>
    </row>
    <row r="288">
      <c r="A288" s="5" t="str">
        <f>IF(Recruiting_Data!A288="", "", Recruiting_Data!A288)</f>
        <v>C-10287</v>
      </c>
      <c r="B288" s="5" t="str">
        <f>IF(Recruiting_Data!B288="", "", Recruiting_Data!B288)</f>
        <v>REQ-2026-0015</v>
      </c>
      <c r="C288" s="5" t="str">
        <f>IF(AND(ISNUMBER(Recruiting_Data!N288), ISNUMBER(Recruiting_Data!P288)), Recruiting_Data!N288 - Recruiting_Data!P288, "")</f>
        <v/>
      </c>
      <c r="D288" s="5">
        <v>2.0</v>
      </c>
      <c r="E288" s="5" t="str">
        <f>IF(Recruiting_Data!R288="Open", TODAY() - Recruiting_Data!P288, "")</f>
        <v/>
      </c>
      <c r="F288" s="8" t="str">
        <f t="shared" si="1"/>
        <v/>
      </c>
      <c r="G288" s="5" t="b">
        <f>IF(A288="", "", IF(COUNTIF(Recruiting_Data!A:A, A288)&gt;1, TRUE, FALSE))</f>
        <v>0</v>
      </c>
      <c r="H288" s="5" t="b">
        <f>IF(A288="", "", IF(OR(AND(Recruiting_Data!N288&lt;&gt;"", Recruiting_Data!J288&lt;&gt;"", Recruiting_Data!N288&lt;Recruiting_Data!J288), AND(Recruiting_Data!M288&lt;&gt;"", Recruiting_Data!L288&lt;&gt;"", Recruiting_Data!M288&lt;Recruiting_Data!L288), AND(Recruiting_Data!L288&lt;&gt;"", Recruiting_Data!K288&lt;&gt;"", Recruiting_Data!L288&lt;Recruiting_Data!K288)), TRUE, FALSE))</f>
        <v>0</v>
      </c>
    </row>
    <row r="289">
      <c r="A289" s="5" t="str">
        <f>IF(Recruiting_Data!A289="", "", Recruiting_Data!A289)</f>
        <v>C-10288</v>
      </c>
      <c r="B289" s="5" t="str">
        <f>IF(Recruiting_Data!B289="", "", Recruiting_Data!B289)</f>
        <v>REQ-2026-0046</v>
      </c>
      <c r="C289" s="5" t="str">
        <f>IF(AND(ISNUMBER(Recruiting_Data!N289), ISNUMBER(Recruiting_Data!P289)), Recruiting_Data!N289 - Recruiting_Data!P289, "")</f>
        <v/>
      </c>
      <c r="D289" s="5">
        <v>2.0</v>
      </c>
      <c r="E289" s="5">
        <f>IF(Recruiting_Data!R289="Open", TODAY() - Recruiting_Data!P289, "")</f>
        <v>158</v>
      </c>
      <c r="F289" s="8" t="str">
        <f t="shared" si="1"/>
        <v>60+</v>
      </c>
      <c r="G289" s="5" t="b">
        <f>IF(A289="", "", IF(COUNTIF(Recruiting_Data!A:A, A289)&gt;1, TRUE, FALSE))</f>
        <v>0</v>
      </c>
      <c r="H289" s="5" t="b">
        <f>IF(A289="", "", IF(OR(AND(Recruiting_Data!N289&lt;&gt;"", Recruiting_Data!J289&lt;&gt;"", Recruiting_Data!N289&lt;Recruiting_Data!J289), AND(Recruiting_Data!M289&lt;&gt;"", Recruiting_Data!L289&lt;&gt;"", Recruiting_Data!M289&lt;Recruiting_Data!L289), AND(Recruiting_Data!L289&lt;&gt;"", Recruiting_Data!K289&lt;&gt;"", Recruiting_Data!L289&lt;Recruiting_Data!K289)), TRUE, FALSE))</f>
        <v>0</v>
      </c>
    </row>
    <row r="290">
      <c r="A290" s="5" t="str">
        <f>IF(Recruiting_Data!A290="", "", Recruiting_Data!A290)</f>
        <v>C-10289</v>
      </c>
      <c r="B290" s="5" t="str">
        <f>IF(Recruiting_Data!B290="", "", Recruiting_Data!B290)</f>
        <v>REQ-2026-0027</v>
      </c>
      <c r="C290" s="5">
        <f>IF(AND(ISNUMBER(Recruiting_Data!N290), ISNUMBER(Recruiting_Data!P290)), Recruiting_Data!N290 - Recruiting_Data!P290, "")</f>
        <v>40</v>
      </c>
      <c r="D290" s="5">
        <v>5.0</v>
      </c>
      <c r="E290" s="5" t="str">
        <f>IF(Recruiting_Data!R290="Open", TODAY() - Recruiting_Data!P290, "")</f>
        <v/>
      </c>
      <c r="F290" s="8" t="str">
        <f t="shared" si="1"/>
        <v/>
      </c>
      <c r="G290" s="5" t="b">
        <f>IF(A290="", "", IF(COUNTIF(Recruiting_Data!A:A, A290)&gt;1, TRUE, FALSE))</f>
        <v>0</v>
      </c>
      <c r="H290" s="5" t="b">
        <f>IF(A290="", "", IF(OR(AND(Recruiting_Data!N290&lt;&gt;"", Recruiting_Data!J290&lt;&gt;"", Recruiting_Data!N290&lt;Recruiting_Data!J290), AND(Recruiting_Data!M290&lt;&gt;"", Recruiting_Data!L290&lt;&gt;"", Recruiting_Data!M290&lt;Recruiting_Data!L290), AND(Recruiting_Data!L290&lt;&gt;"", Recruiting_Data!K290&lt;&gt;"", Recruiting_Data!L290&lt;Recruiting_Data!K290)), TRUE, FALSE))</f>
        <v>0</v>
      </c>
    </row>
    <row r="291">
      <c r="A291" s="5" t="str">
        <f>IF(Recruiting_Data!A291="", "", Recruiting_Data!A291)</f>
        <v>C-10290</v>
      </c>
      <c r="B291" s="5" t="str">
        <f>IF(Recruiting_Data!B291="", "", Recruiting_Data!B291)</f>
        <v>REQ-2026-0035</v>
      </c>
      <c r="C291" s="5" t="str">
        <f>IF(AND(ISNUMBER(Recruiting_Data!N291), ISNUMBER(Recruiting_Data!P291)), Recruiting_Data!N291 - Recruiting_Data!P291, "")</f>
        <v/>
      </c>
      <c r="D291" s="5">
        <v>1.0</v>
      </c>
      <c r="E291" s="5" t="str">
        <f>IF(Recruiting_Data!R291="Open", TODAY() - Recruiting_Data!P291, "")</f>
        <v/>
      </c>
      <c r="F291" s="8" t="str">
        <f t="shared" si="1"/>
        <v/>
      </c>
      <c r="G291" s="5" t="b">
        <f>IF(A291="", "", IF(COUNTIF(Recruiting_Data!A:A, A291)&gt;1, TRUE, FALSE))</f>
        <v>0</v>
      </c>
      <c r="H291" s="5" t="b">
        <f>IF(A291="", "", IF(OR(AND(Recruiting_Data!N291&lt;&gt;"", Recruiting_Data!J291&lt;&gt;"", Recruiting_Data!N291&lt;Recruiting_Data!J291), AND(Recruiting_Data!M291&lt;&gt;"", Recruiting_Data!L291&lt;&gt;"", Recruiting_Data!M291&lt;Recruiting_Data!L291), AND(Recruiting_Data!L291&lt;&gt;"", Recruiting_Data!K291&lt;&gt;"", Recruiting_Data!L291&lt;Recruiting_Data!K291)), TRUE, FALSE))</f>
        <v>0</v>
      </c>
    </row>
    <row r="292">
      <c r="A292" s="5" t="str">
        <f>IF(Recruiting_Data!A292="", "", Recruiting_Data!A292)</f>
        <v>C-10291</v>
      </c>
      <c r="B292" s="5" t="str">
        <f>IF(Recruiting_Data!B292="", "", Recruiting_Data!B292)</f>
        <v>REQ-2026-0050</v>
      </c>
      <c r="C292" s="5" t="str">
        <f>IF(AND(ISNUMBER(Recruiting_Data!N292), ISNUMBER(Recruiting_Data!P292)), Recruiting_Data!N292 - Recruiting_Data!P292, "")</f>
        <v/>
      </c>
      <c r="D292" s="5">
        <v>1.0</v>
      </c>
      <c r="E292" s="5" t="str">
        <f>IF(Recruiting_Data!R292="Open", TODAY() - Recruiting_Data!P292, "")</f>
        <v/>
      </c>
      <c r="F292" s="8" t="str">
        <f t="shared" si="1"/>
        <v/>
      </c>
      <c r="G292" s="5" t="b">
        <f>IF(A292="", "", IF(COUNTIF(Recruiting_Data!A:A, A292)&gt;1, TRUE, FALSE))</f>
        <v>0</v>
      </c>
      <c r="H292" s="5" t="b">
        <f>IF(A292="", "", IF(OR(AND(Recruiting_Data!N292&lt;&gt;"", Recruiting_Data!J292&lt;&gt;"", Recruiting_Data!N292&lt;Recruiting_Data!J292), AND(Recruiting_Data!M292&lt;&gt;"", Recruiting_Data!L292&lt;&gt;"", Recruiting_Data!M292&lt;Recruiting_Data!L292), AND(Recruiting_Data!L292&lt;&gt;"", Recruiting_Data!K292&lt;&gt;"", Recruiting_Data!L292&lt;Recruiting_Data!K292)), TRUE, FALSE))</f>
        <v>0</v>
      </c>
    </row>
    <row r="293">
      <c r="A293" s="5" t="str">
        <f>IF(Recruiting_Data!A293="", "", Recruiting_Data!A293)</f>
        <v>C-10292</v>
      </c>
      <c r="B293" s="5" t="str">
        <f>IF(Recruiting_Data!B293="", "", Recruiting_Data!B293)</f>
        <v>REQ-2026-0048</v>
      </c>
      <c r="C293" s="5" t="str">
        <f>IF(AND(ISNUMBER(Recruiting_Data!N293), ISNUMBER(Recruiting_Data!P293)), Recruiting_Data!N293 - Recruiting_Data!P293, "")</f>
        <v/>
      </c>
      <c r="D293" s="5">
        <v>1.0</v>
      </c>
      <c r="E293" s="5" t="str">
        <f>IF(Recruiting_Data!R293="Open", TODAY() - Recruiting_Data!P293, "")</f>
        <v/>
      </c>
      <c r="F293" s="8" t="str">
        <f t="shared" si="1"/>
        <v/>
      </c>
      <c r="G293" s="5" t="b">
        <f>IF(A293="", "", IF(COUNTIF(Recruiting_Data!A:A, A293)&gt;1, TRUE, FALSE))</f>
        <v>0</v>
      </c>
      <c r="H293" s="5" t="b">
        <f>IF(A293="", "", IF(OR(AND(Recruiting_Data!N293&lt;&gt;"", Recruiting_Data!J293&lt;&gt;"", Recruiting_Data!N293&lt;Recruiting_Data!J293), AND(Recruiting_Data!M293&lt;&gt;"", Recruiting_Data!L293&lt;&gt;"", Recruiting_Data!M293&lt;Recruiting_Data!L293), AND(Recruiting_Data!L293&lt;&gt;"", Recruiting_Data!K293&lt;&gt;"", Recruiting_Data!L293&lt;Recruiting_Data!K293)), TRUE, FALSE))</f>
        <v>0</v>
      </c>
    </row>
    <row r="294">
      <c r="A294" s="5" t="str">
        <f>IF(Recruiting_Data!A294="", "", Recruiting_Data!A294)</f>
        <v>C-10293</v>
      </c>
      <c r="B294" s="5" t="str">
        <f>IF(Recruiting_Data!B294="", "", Recruiting_Data!B294)</f>
        <v>REQ-2026-0021</v>
      </c>
      <c r="C294" s="5" t="str">
        <f>IF(AND(ISNUMBER(Recruiting_Data!N294), ISNUMBER(Recruiting_Data!P294)), Recruiting_Data!N294 - Recruiting_Data!P294, "")</f>
        <v/>
      </c>
      <c r="D294" s="5">
        <v>1.0</v>
      </c>
      <c r="E294" s="5" t="str">
        <f>IF(Recruiting_Data!R294="Open", TODAY() - Recruiting_Data!P294, "")</f>
        <v/>
      </c>
      <c r="F294" s="8" t="str">
        <f t="shared" si="1"/>
        <v/>
      </c>
      <c r="G294" s="5" t="b">
        <f>IF(A294="", "", IF(COUNTIF(Recruiting_Data!A:A, A294)&gt;1, TRUE, FALSE))</f>
        <v>0</v>
      </c>
      <c r="H294" s="5" t="b">
        <f>IF(A294="", "", IF(OR(AND(Recruiting_Data!N294&lt;&gt;"", Recruiting_Data!J294&lt;&gt;"", Recruiting_Data!N294&lt;Recruiting_Data!J294), AND(Recruiting_Data!M294&lt;&gt;"", Recruiting_Data!L294&lt;&gt;"", Recruiting_Data!M294&lt;Recruiting_Data!L294), AND(Recruiting_Data!L294&lt;&gt;"", Recruiting_Data!K294&lt;&gt;"", Recruiting_Data!L294&lt;Recruiting_Data!K294)), TRUE, FALSE))</f>
        <v>0</v>
      </c>
    </row>
    <row r="295">
      <c r="A295" s="5" t="str">
        <f>IF(Recruiting_Data!A295="", "", Recruiting_Data!A295)</f>
        <v>C-10294</v>
      </c>
      <c r="B295" s="5" t="str">
        <f>IF(Recruiting_Data!B295="", "", Recruiting_Data!B295)</f>
        <v>REQ-2026-0035</v>
      </c>
      <c r="C295" s="5" t="str">
        <f>IF(AND(ISNUMBER(Recruiting_Data!N295), ISNUMBER(Recruiting_Data!P295)), Recruiting_Data!N295 - Recruiting_Data!P295, "")</f>
        <v/>
      </c>
      <c r="D295" s="5">
        <v>1.0</v>
      </c>
      <c r="E295" s="5" t="str">
        <f>IF(Recruiting_Data!R295="Open", TODAY() - Recruiting_Data!P295, "")</f>
        <v/>
      </c>
      <c r="F295" s="8" t="str">
        <f t="shared" si="1"/>
        <v/>
      </c>
      <c r="G295" s="5" t="b">
        <f>IF(A295="", "", IF(COUNTIF(Recruiting_Data!A:A, A295)&gt;1, TRUE, FALSE))</f>
        <v>0</v>
      </c>
      <c r="H295" s="5" t="b">
        <f>IF(A295="", "", IF(OR(AND(Recruiting_Data!N295&lt;&gt;"", Recruiting_Data!J295&lt;&gt;"", Recruiting_Data!N295&lt;Recruiting_Data!J295), AND(Recruiting_Data!M295&lt;&gt;"", Recruiting_Data!L295&lt;&gt;"", Recruiting_Data!M295&lt;Recruiting_Data!L295), AND(Recruiting_Data!L295&lt;&gt;"", Recruiting_Data!K295&lt;&gt;"", Recruiting_Data!L295&lt;Recruiting_Data!K295)), TRUE, FALSE))</f>
        <v>0</v>
      </c>
    </row>
    <row r="296">
      <c r="A296" s="5" t="str">
        <f>IF(Recruiting_Data!A296="", "", Recruiting_Data!A296)</f>
        <v>C-10295</v>
      </c>
      <c r="B296" s="5" t="str">
        <f>IF(Recruiting_Data!B296="", "", Recruiting_Data!B296)</f>
        <v>REQ-2026-0050</v>
      </c>
      <c r="C296" s="5" t="str">
        <f>IF(AND(ISNUMBER(Recruiting_Data!N296), ISNUMBER(Recruiting_Data!P296)), Recruiting_Data!N296 - Recruiting_Data!P296, "")</f>
        <v/>
      </c>
      <c r="D296" s="5">
        <v>2.0</v>
      </c>
      <c r="E296" s="5" t="str">
        <f>IF(Recruiting_Data!R296="Open", TODAY() - Recruiting_Data!P296, "")</f>
        <v/>
      </c>
      <c r="F296" s="8" t="str">
        <f t="shared" si="1"/>
        <v/>
      </c>
      <c r="G296" s="5" t="b">
        <f>IF(A296="", "", IF(COUNTIF(Recruiting_Data!A:A, A296)&gt;1, TRUE, FALSE))</f>
        <v>0</v>
      </c>
      <c r="H296" s="5" t="b">
        <f>IF(A296="", "", IF(OR(AND(Recruiting_Data!N296&lt;&gt;"", Recruiting_Data!J296&lt;&gt;"", Recruiting_Data!N296&lt;Recruiting_Data!J296), AND(Recruiting_Data!M296&lt;&gt;"", Recruiting_Data!L296&lt;&gt;"", Recruiting_Data!M296&lt;Recruiting_Data!L296), AND(Recruiting_Data!L296&lt;&gt;"", Recruiting_Data!K296&lt;&gt;"", Recruiting_Data!L296&lt;Recruiting_Data!K296)), TRUE, FALSE))</f>
        <v>0</v>
      </c>
    </row>
    <row r="297">
      <c r="A297" s="5" t="str">
        <f>IF(Recruiting_Data!A297="", "", Recruiting_Data!A297)</f>
        <v>C-10296</v>
      </c>
      <c r="B297" s="5" t="str">
        <f>IF(Recruiting_Data!B297="", "", Recruiting_Data!B297)</f>
        <v>REQ-2026-0040</v>
      </c>
      <c r="C297" s="5" t="str">
        <f>IF(AND(ISNUMBER(Recruiting_Data!N297), ISNUMBER(Recruiting_Data!P297)), Recruiting_Data!N297 - Recruiting_Data!P297, "")</f>
        <v/>
      </c>
      <c r="D297" s="5">
        <v>1.0</v>
      </c>
      <c r="E297" s="5" t="str">
        <f>IF(Recruiting_Data!R297="Open", TODAY() - Recruiting_Data!P297, "")</f>
        <v/>
      </c>
      <c r="F297" s="8" t="str">
        <f t="shared" si="1"/>
        <v/>
      </c>
      <c r="G297" s="5" t="b">
        <f>IF(A297="", "", IF(COUNTIF(Recruiting_Data!A:A, A297)&gt;1, TRUE, FALSE))</f>
        <v>0</v>
      </c>
      <c r="H297" s="5" t="b">
        <f>IF(A297="", "", IF(OR(AND(Recruiting_Data!N297&lt;&gt;"", Recruiting_Data!J297&lt;&gt;"", Recruiting_Data!N297&lt;Recruiting_Data!J297), AND(Recruiting_Data!M297&lt;&gt;"", Recruiting_Data!L297&lt;&gt;"", Recruiting_Data!M297&lt;Recruiting_Data!L297), AND(Recruiting_Data!L297&lt;&gt;"", Recruiting_Data!K297&lt;&gt;"", Recruiting_Data!L297&lt;Recruiting_Data!K297)), TRUE, FALSE))</f>
        <v>0</v>
      </c>
    </row>
    <row r="298">
      <c r="A298" s="5" t="str">
        <f>IF(Recruiting_Data!A298="", "", Recruiting_Data!A298)</f>
        <v>C-10297</v>
      </c>
      <c r="B298" s="5" t="str">
        <f>IF(Recruiting_Data!B298="", "", Recruiting_Data!B298)</f>
        <v>REQ-2026-0013</v>
      </c>
      <c r="C298" s="5" t="str">
        <f>IF(AND(ISNUMBER(Recruiting_Data!N298), ISNUMBER(Recruiting_Data!P298)), Recruiting_Data!N298 - Recruiting_Data!P298, "")</f>
        <v/>
      </c>
      <c r="D298" s="5">
        <v>1.0</v>
      </c>
      <c r="E298" s="5" t="str">
        <f>IF(Recruiting_Data!R298="Open", TODAY() - Recruiting_Data!P298, "")</f>
        <v/>
      </c>
      <c r="F298" s="8" t="str">
        <f t="shared" si="1"/>
        <v/>
      </c>
      <c r="G298" s="5" t="b">
        <f>IF(A298="", "", IF(COUNTIF(Recruiting_Data!A:A, A298)&gt;1, TRUE, FALSE))</f>
        <v>0</v>
      </c>
      <c r="H298" s="5" t="b">
        <f>IF(A298="", "", IF(OR(AND(Recruiting_Data!N298&lt;&gt;"", Recruiting_Data!J298&lt;&gt;"", Recruiting_Data!N298&lt;Recruiting_Data!J298), AND(Recruiting_Data!M298&lt;&gt;"", Recruiting_Data!L298&lt;&gt;"", Recruiting_Data!M298&lt;Recruiting_Data!L298), AND(Recruiting_Data!L298&lt;&gt;"", Recruiting_Data!K298&lt;&gt;"", Recruiting_Data!L298&lt;Recruiting_Data!K298)), TRUE, FALSE))</f>
        <v>0</v>
      </c>
    </row>
    <row r="299">
      <c r="A299" s="5" t="str">
        <f>IF(Recruiting_Data!A299="", "", Recruiting_Data!A299)</f>
        <v>C-10298</v>
      </c>
      <c r="B299" s="5" t="str">
        <f>IF(Recruiting_Data!B299="", "", Recruiting_Data!B299)</f>
        <v>REQ-2026-0017</v>
      </c>
      <c r="C299" s="5" t="str">
        <f>IF(AND(ISNUMBER(Recruiting_Data!N299), ISNUMBER(Recruiting_Data!P299)), Recruiting_Data!N299 - Recruiting_Data!P299, "")</f>
        <v/>
      </c>
      <c r="D299" s="5">
        <v>2.0</v>
      </c>
      <c r="E299" s="5" t="str">
        <f>IF(Recruiting_Data!R299="Open", TODAY() - Recruiting_Data!P299, "")</f>
        <v/>
      </c>
      <c r="F299" s="8" t="str">
        <f t="shared" si="1"/>
        <v/>
      </c>
      <c r="G299" s="5" t="b">
        <f>IF(A299="", "", IF(COUNTIF(Recruiting_Data!A:A, A299)&gt;1, TRUE, FALSE))</f>
        <v>0</v>
      </c>
      <c r="H299" s="5" t="b">
        <f>IF(A299="", "", IF(OR(AND(Recruiting_Data!N299&lt;&gt;"", Recruiting_Data!J299&lt;&gt;"", Recruiting_Data!N299&lt;Recruiting_Data!J299), AND(Recruiting_Data!M299&lt;&gt;"", Recruiting_Data!L299&lt;&gt;"", Recruiting_Data!M299&lt;Recruiting_Data!L299), AND(Recruiting_Data!L299&lt;&gt;"", Recruiting_Data!K299&lt;&gt;"", Recruiting_Data!L299&lt;Recruiting_Data!K299)), TRUE, FALSE))</f>
        <v>0</v>
      </c>
    </row>
    <row r="300">
      <c r="A300" s="5" t="str">
        <f>IF(Recruiting_Data!A300="", "", Recruiting_Data!A300)</f>
        <v>C-10299</v>
      </c>
      <c r="B300" s="5" t="str">
        <f>IF(Recruiting_Data!B300="", "", Recruiting_Data!B300)</f>
        <v>REQ-2026-0028</v>
      </c>
      <c r="C300" s="5" t="str">
        <f>IF(AND(ISNUMBER(Recruiting_Data!N300), ISNUMBER(Recruiting_Data!P300)), Recruiting_Data!N300 - Recruiting_Data!P300, "")</f>
        <v/>
      </c>
      <c r="D300" s="5">
        <v>3.0</v>
      </c>
      <c r="E300" s="5">
        <f>IF(Recruiting_Data!R300="Open", TODAY() - Recruiting_Data!P300, "")</f>
        <v>222</v>
      </c>
      <c r="F300" s="8" t="str">
        <f t="shared" si="1"/>
        <v>60+</v>
      </c>
      <c r="G300" s="5" t="b">
        <f>IF(A300="", "", IF(COUNTIF(Recruiting_Data!A:A, A300)&gt;1, TRUE, FALSE))</f>
        <v>0</v>
      </c>
      <c r="H300" s="5" t="b">
        <f>IF(A300="", "", IF(OR(AND(Recruiting_Data!N300&lt;&gt;"", Recruiting_Data!J300&lt;&gt;"", Recruiting_Data!N300&lt;Recruiting_Data!J300), AND(Recruiting_Data!M300&lt;&gt;"", Recruiting_Data!L300&lt;&gt;"", Recruiting_Data!M300&lt;Recruiting_Data!L300), AND(Recruiting_Data!L300&lt;&gt;"", Recruiting_Data!K300&lt;&gt;"", Recruiting_Data!L300&lt;Recruiting_Data!K300)), TRUE, FALSE))</f>
        <v>0</v>
      </c>
    </row>
    <row r="301">
      <c r="A301" s="5" t="str">
        <f>IF(Recruiting_Data!A301="", "", Recruiting_Data!A301)</f>
        <v>C-10300</v>
      </c>
      <c r="B301" s="5" t="str">
        <f>IF(Recruiting_Data!B301="", "", Recruiting_Data!B301)</f>
        <v>REQ-2026-0036</v>
      </c>
      <c r="C301" s="5" t="str">
        <f>IF(AND(ISNUMBER(Recruiting_Data!N301), ISNUMBER(Recruiting_Data!P301)), Recruiting_Data!N301 - Recruiting_Data!P301, "")</f>
        <v/>
      </c>
      <c r="D301" s="5">
        <v>1.0</v>
      </c>
      <c r="E301" s="5" t="str">
        <f>IF(Recruiting_Data!R301="Open", TODAY() - Recruiting_Data!P301, "")</f>
        <v/>
      </c>
      <c r="F301" s="8" t="str">
        <f t="shared" si="1"/>
        <v/>
      </c>
      <c r="G301" s="5" t="b">
        <f>IF(A301="", "", IF(COUNTIF(Recruiting_Data!A:A, A301)&gt;1, TRUE, FALSE))</f>
        <v>0</v>
      </c>
      <c r="H301" s="5" t="b">
        <f>IF(A301="", "", IF(OR(AND(Recruiting_Data!N301&lt;&gt;"", Recruiting_Data!J301&lt;&gt;"", Recruiting_Data!N301&lt;Recruiting_Data!J301), AND(Recruiting_Data!M301&lt;&gt;"", Recruiting_Data!L301&lt;&gt;"", Recruiting_Data!M301&lt;Recruiting_Data!L301), AND(Recruiting_Data!L301&lt;&gt;"", Recruiting_Data!K301&lt;&gt;"", Recruiting_Data!L301&lt;Recruiting_Data!K301)), TRUE, FALSE))</f>
        <v>0</v>
      </c>
    </row>
    <row r="302">
      <c r="A302" s="5" t="str">
        <f>IF(Recruiting_Data!A302="", "", Recruiting_Data!A302)</f>
        <v>C-10301</v>
      </c>
      <c r="B302" s="5" t="str">
        <f>IF(Recruiting_Data!B302="", "", Recruiting_Data!B302)</f>
        <v>REQ-2026-0014</v>
      </c>
      <c r="C302" s="5" t="str">
        <f>IF(AND(ISNUMBER(Recruiting_Data!N302), ISNUMBER(Recruiting_Data!P302)), Recruiting_Data!N302 - Recruiting_Data!P302, "")</f>
        <v/>
      </c>
      <c r="D302" s="5">
        <v>2.0</v>
      </c>
      <c r="E302" s="5">
        <f>IF(Recruiting_Data!R302="Open", TODAY() - Recruiting_Data!P302, "")</f>
        <v>148</v>
      </c>
      <c r="F302" s="8" t="str">
        <f t="shared" si="1"/>
        <v>60+</v>
      </c>
      <c r="G302" s="5" t="b">
        <f>IF(A302="", "", IF(COUNTIF(Recruiting_Data!A:A, A302)&gt;1, TRUE, FALSE))</f>
        <v>0</v>
      </c>
      <c r="H302" s="5" t="b">
        <f>IF(A302="", "", IF(OR(AND(Recruiting_Data!N302&lt;&gt;"", Recruiting_Data!J302&lt;&gt;"", Recruiting_Data!N302&lt;Recruiting_Data!J302), AND(Recruiting_Data!M302&lt;&gt;"", Recruiting_Data!L302&lt;&gt;"", Recruiting_Data!M302&lt;Recruiting_Data!L302), AND(Recruiting_Data!L302&lt;&gt;"", Recruiting_Data!K302&lt;&gt;"", Recruiting_Data!L302&lt;Recruiting_Data!K302)), TRUE, FALSE))</f>
        <v>0</v>
      </c>
    </row>
    <row r="303">
      <c r="A303" s="5" t="str">
        <f>IF(Recruiting_Data!A303="", "", Recruiting_Data!A303)</f>
        <v>C-10302</v>
      </c>
      <c r="B303" s="5" t="str">
        <f>IF(Recruiting_Data!B303="", "", Recruiting_Data!B303)</f>
        <v>REQ-2026-0050</v>
      </c>
      <c r="C303" s="5" t="str">
        <f>IF(AND(ISNUMBER(Recruiting_Data!N303), ISNUMBER(Recruiting_Data!P303)), Recruiting_Data!N303 - Recruiting_Data!P303, "")</f>
        <v/>
      </c>
      <c r="D303" s="5">
        <v>4.0</v>
      </c>
      <c r="E303" s="5" t="str">
        <f>IF(Recruiting_Data!R303="Open", TODAY() - Recruiting_Data!P303, "")</f>
        <v/>
      </c>
      <c r="F303" s="8" t="str">
        <f t="shared" si="1"/>
        <v/>
      </c>
      <c r="G303" s="5" t="b">
        <f>IF(A303="", "", IF(COUNTIF(Recruiting_Data!A:A, A303)&gt;1, TRUE, FALSE))</f>
        <v>0</v>
      </c>
      <c r="H303" s="5" t="b">
        <f>IF(A303="", "", IF(OR(AND(Recruiting_Data!N303&lt;&gt;"", Recruiting_Data!J303&lt;&gt;"", Recruiting_Data!N303&lt;Recruiting_Data!J303), AND(Recruiting_Data!M303&lt;&gt;"", Recruiting_Data!L303&lt;&gt;"", Recruiting_Data!M303&lt;Recruiting_Data!L303), AND(Recruiting_Data!L303&lt;&gt;"", Recruiting_Data!K303&lt;&gt;"", Recruiting_Data!L303&lt;Recruiting_Data!K303)), TRUE, FALSE))</f>
        <v>0</v>
      </c>
    </row>
    <row r="304">
      <c r="A304" s="5" t="str">
        <f>IF(Recruiting_Data!A304="", "", Recruiting_Data!A304)</f>
        <v>C-10303</v>
      </c>
      <c r="B304" s="5" t="str">
        <f>IF(Recruiting_Data!B304="", "", Recruiting_Data!B304)</f>
        <v>REQ-2026-0037</v>
      </c>
      <c r="C304" s="5" t="str">
        <f>IF(AND(ISNUMBER(Recruiting_Data!N304), ISNUMBER(Recruiting_Data!P304)), Recruiting_Data!N304 - Recruiting_Data!P304, "")</f>
        <v/>
      </c>
      <c r="D304" s="5">
        <v>2.0</v>
      </c>
      <c r="E304" s="5" t="str">
        <f>IF(Recruiting_Data!R304="Open", TODAY() - Recruiting_Data!P304, "")</f>
        <v/>
      </c>
      <c r="F304" s="8" t="str">
        <f t="shared" si="1"/>
        <v/>
      </c>
      <c r="G304" s="5" t="b">
        <f>IF(A304="", "", IF(COUNTIF(Recruiting_Data!A:A, A304)&gt;1, TRUE, FALSE))</f>
        <v>0</v>
      </c>
      <c r="H304" s="5" t="b">
        <f>IF(A304="", "", IF(OR(AND(Recruiting_Data!N304&lt;&gt;"", Recruiting_Data!J304&lt;&gt;"", Recruiting_Data!N304&lt;Recruiting_Data!J304), AND(Recruiting_Data!M304&lt;&gt;"", Recruiting_Data!L304&lt;&gt;"", Recruiting_Data!M304&lt;Recruiting_Data!L304), AND(Recruiting_Data!L304&lt;&gt;"", Recruiting_Data!K304&lt;&gt;"", Recruiting_Data!L304&lt;Recruiting_Data!K304)), TRUE, FALSE))</f>
        <v>0</v>
      </c>
    </row>
    <row r="305">
      <c r="A305" s="5" t="str">
        <f>IF(Recruiting_Data!A305="", "", Recruiting_Data!A305)</f>
        <v>C-10304</v>
      </c>
      <c r="B305" s="5" t="str">
        <f>IF(Recruiting_Data!B305="", "", Recruiting_Data!B305)</f>
        <v>REQ-2026-0007</v>
      </c>
      <c r="C305" s="5" t="str">
        <f>IF(AND(ISNUMBER(Recruiting_Data!N305), ISNUMBER(Recruiting_Data!P305)), Recruiting_Data!N305 - Recruiting_Data!P305, "")</f>
        <v/>
      </c>
      <c r="D305" s="5">
        <v>1.0</v>
      </c>
      <c r="E305" s="5">
        <f>IF(Recruiting_Data!R305="Open", TODAY() - Recruiting_Data!P305, "")</f>
        <v>113</v>
      </c>
      <c r="F305" s="8" t="str">
        <f t="shared" si="1"/>
        <v>60+</v>
      </c>
      <c r="G305" s="5" t="b">
        <f>IF(A305="", "", IF(COUNTIF(Recruiting_Data!A:A, A305)&gt;1, TRUE, FALSE))</f>
        <v>0</v>
      </c>
      <c r="H305" s="5" t="b">
        <f>IF(A305="", "", IF(OR(AND(Recruiting_Data!N305&lt;&gt;"", Recruiting_Data!J305&lt;&gt;"", Recruiting_Data!N305&lt;Recruiting_Data!J305), AND(Recruiting_Data!M305&lt;&gt;"", Recruiting_Data!L305&lt;&gt;"", Recruiting_Data!M305&lt;Recruiting_Data!L305), AND(Recruiting_Data!L305&lt;&gt;"", Recruiting_Data!K305&lt;&gt;"", Recruiting_Data!L305&lt;Recruiting_Data!K305)), TRUE, FALSE))</f>
        <v>0</v>
      </c>
    </row>
    <row r="306">
      <c r="A306" s="5" t="str">
        <f>IF(Recruiting_Data!A306="", "", Recruiting_Data!A306)</f>
        <v>C-10305</v>
      </c>
      <c r="B306" s="5" t="str">
        <f>IF(Recruiting_Data!B306="", "", Recruiting_Data!B306)</f>
        <v>REQ-2026-0021</v>
      </c>
      <c r="C306" s="5" t="str">
        <f>IF(AND(ISNUMBER(Recruiting_Data!N306), ISNUMBER(Recruiting_Data!P306)), Recruiting_Data!N306 - Recruiting_Data!P306, "")</f>
        <v/>
      </c>
      <c r="D306" s="5">
        <v>1.0</v>
      </c>
      <c r="E306" s="5" t="str">
        <f>IF(Recruiting_Data!R306="Open", TODAY() - Recruiting_Data!P306, "")</f>
        <v/>
      </c>
      <c r="F306" s="8" t="str">
        <f t="shared" si="1"/>
        <v/>
      </c>
      <c r="G306" s="5" t="b">
        <f>IF(A306="", "", IF(COUNTIF(Recruiting_Data!A:A, A306)&gt;1, TRUE, FALSE))</f>
        <v>0</v>
      </c>
      <c r="H306" s="5" t="b">
        <f>IF(A306="", "", IF(OR(AND(Recruiting_Data!N306&lt;&gt;"", Recruiting_Data!J306&lt;&gt;"", Recruiting_Data!N306&lt;Recruiting_Data!J306), AND(Recruiting_Data!M306&lt;&gt;"", Recruiting_Data!L306&lt;&gt;"", Recruiting_Data!M306&lt;Recruiting_Data!L306), AND(Recruiting_Data!L306&lt;&gt;"", Recruiting_Data!K306&lt;&gt;"", Recruiting_Data!L306&lt;Recruiting_Data!K306)), TRUE, FALSE))</f>
        <v>0</v>
      </c>
    </row>
    <row r="307">
      <c r="A307" s="5" t="str">
        <f>IF(Recruiting_Data!A307="", "", Recruiting_Data!A307)</f>
        <v>C-10306</v>
      </c>
      <c r="B307" s="5" t="str">
        <f>IF(Recruiting_Data!B307="", "", Recruiting_Data!B307)</f>
        <v>REQ-2026-0045</v>
      </c>
      <c r="C307" s="5" t="str">
        <f>IF(AND(ISNUMBER(Recruiting_Data!N307), ISNUMBER(Recruiting_Data!P307)), Recruiting_Data!N307 - Recruiting_Data!P307, "")</f>
        <v/>
      </c>
      <c r="D307" s="5">
        <v>3.0</v>
      </c>
      <c r="E307" s="5" t="str">
        <f>IF(Recruiting_Data!R307="Open", TODAY() - Recruiting_Data!P307, "")</f>
        <v/>
      </c>
      <c r="F307" s="8" t="str">
        <f t="shared" si="1"/>
        <v/>
      </c>
      <c r="G307" s="5" t="b">
        <f>IF(A307="", "", IF(COUNTIF(Recruiting_Data!A:A, A307)&gt;1, TRUE, FALSE))</f>
        <v>0</v>
      </c>
      <c r="H307" s="5" t="b">
        <f>IF(A307="", "", IF(OR(AND(Recruiting_Data!N307&lt;&gt;"", Recruiting_Data!J307&lt;&gt;"", Recruiting_Data!N307&lt;Recruiting_Data!J307), AND(Recruiting_Data!M307&lt;&gt;"", Recruiting_Data!L307&lt;&gt;"", Recruiting_Data!M307&lt;Recruiting_Data!L307), AND(Recruiting_Data!L307&lt;&gt;"", Recruiting_Data!K307&lt;&gt;"", Recruiting_Data!L307&lt;Recruiting_Data!K307)), TRUE, FALSE))</f>
        <v>0</v>
      </c>
    </row>
    <row r="308">
      <c r="A308" s="5" t="str">
        <f>IF(Recruiting_Data!A308="", "", Recruiting_Data!A308)</f>
        <v>C-10307</v>
      </c>
      <c r="B308" s="5" t="str">
        <f>IF(Recruiting_Data!B308="", "", Recruiting_Data!B308)</f>
        <v>REQ-2026-0029</v>
      </c>
      <c r="C308" s="5">
        <f>IF(AND(ISNUMBER(Recruiting_Data!N308), ISNUMBER(Recruiting_Data!P308)), Recruiting_Data!N308 - Recruiting_Data!P308, "")</f>
        <v>43</v>
      </c>
      <c r="D308" s="5">
        <v>5.0</v>
      </c>
      <c r="E308" s="5" t="str">
        <f>IF(Recruiting_Data!R308="Open", TODAY() - Recruiting_Data!P308, "")</f>
        <v/>
      </c>
      <c r="F308" s="8" t="str">
        <f t="shared" si="1"/>
        <v/>
      </c>
      <c r="G308" s="5" t="b">
        <f>IF(A308="", "", IF(COUNTIF(Recruiting_Data!A:A, A308)&gt;1, TRUE, FALSE))</f>
        <v>0</v>
      </c>
      <c r="H308" s="5" t="b">
        <f>IF(A308="", "", IF(OR(AND(Recruiting_Data!N308&lt;&gt;"", Recruiting_Data!J308&lt;&gt;"", Recruiting_Data!N308&lt;Recruiting_Data!J308), AND(Recruiting_Data!M308&lt;&gt;"", Recruiting_Data!L308&lt;&gt;"", Recruiting_Data!M308&lt;Recruiting_Data!L308), AND(Recruiting_Data!L308&lt;&gt;"", Recruiting_Data!K308&lt;&gt;"", Recruiting_Data!L308&lt;Recruiting_Data!K308)), TRUE, FALSE))</f>
        <v>0</v>
      </c>
    </row>
    <row r="309">
      <c r="A309" s="5" t="str">
        <f>IF(Recruiting_Data!A309="", "", Recruiting_Data!A309)</f>
        <v>C-10308</v>
      </c>
      <c r="B309" s="5" t="str">
        <f>IF(Recruiting_Data!B309="", "", Recruiting_Data!B309)</f>
        <v>REQ-2026-0045</v>
      </c>
      <c r="C309" s="5" t="str">
        <f>IF(AND(ISNUMBER(Recruiting_Data!N309), ISNUMBER(Recruiting_Data!P309)), Recruiting_Data!N309 - Recruiting_Data!P309, "")</f>
        <v/>
      </c>
      <c r="D309" s="5">
        <v>1.0</v>
      </c>
      <c r="E309" s="5" t="str">
        <f>IF(Recruiting_Data!R309="Open", TODAY() - Recruiting_Data!P309, "")</f>
        <v/>
      </c>
      <c r="F309" s="8" t="str">
        <f t="shared" si="1"/>
        <v/>
      </c>
      <c r="G309" s="5" t="b">
        <f>IF(A309="", "", IF(COUNTIF(Recruiting_Data!A:A, A309)&gt;1, TRUE, FALSE))</f>
        <v>0</v>
      </c>
      <c r="H309" s="5" t="b">
        <f>IF(A309="", "", IF(OR(AND(Recruiting_Data!N309&lt;&gt;"", Recruiting_Data!J309&lt;&gt;"", Recruiting_Data!N309&lt;Recruiting_Data!J309), AND(Recruiting_Data!M309&lt;&gt;"", Recruiting_Data!L309&lt;&gt;"", Recruiting_Data!M309&lt;Recruiting_Data!L309), AND(Recruiting_Data!L309&lt;&gt;"", Recruiting_Data!K309&lt;&gt;"", Recruiting_Data!L309&lt;Recruiting_Data!K309)), TRUE, FALSE))</f>
        <v>0</v>
      </c>
    </row>
    <row r="310">
      <c r="A310" s="5" t="str">
        <f>IF(Recruiting_Data!A310="", "", Recruiting_Data!A310)</f>
        <v>C-10309</v>
      </c>
      <c r="B310" s="5" t="str">
        <f>IF(Recruiting_Data!B310="", "", Recruiting_Data!B310)</f>
        <v>REQ-2026-0044</v>
      </c>
      <c r="C310" s="5" t="str">
        <f>IF(AND(ISNUMBER(Recruiting_Data!N310), ISNUMBER(Recruiting_Data!P310)), Recruiting_Data!N310 - Recruiting_Data!P310, "")</f>
        <v/>
      </c>
      <c r="D310" s="5">
        <v>1.0</v>
      </c>
      <c r="E310" s="5" t="str">
        <f>IF(Recruiting_Data!R310="Open", TODAY() - Recruiting_Data!P310, "")</f>
        <v/>
      </c>
      <c r="F310" s="8" t="str">
        <f t="shared" si="1"/>
        <v/>
      </c>
      <c r="G310" s="5" t="b">
        <f>IF(A310="", "", IF(COUNTIF(Recruiting_Data!A:A, A310)&gt;1, TRUE, FALSE))</f>
        <v>0</v>
      </c>
      <c r="H310" s="5" t="b">
        <f>IF(A310="", "", IF(OR(AND(Recruiting_Data!N310&lt;&gt;"", Recruiting_Data!J310&lt;&gt;"", Recruiting_Data!N310&lt;Recruiting_Data!J310), AND(Recruiting_Data!M310&lt;&gt;"", Recruiting_Data!L310&lt;&gt;"", Recruiting_Data!M310&lt;Recruiting_Data!L310), AND(Recruiting_Data!L310&lt;&gt;"", Recruiting_Data!K310&lt;&gt;"", Recruiting_Data!L310&lt;Recruiting_Data!K310)), TRUE, FALSE))</f>
        <v>0</v>
      </c>
    </row>
    <row r="311">
      <c r="A311" s="5" t="str">
        <f>IF(Recruiting_Data!A311="", "", Recruiting_Data!A311)</f>
        <v>C-10310</v>
      </c>
      <c r="B311" s="5" t="str">
        <f>IF(Recruiting_Data!B311="", "", Recruiting_Data!B311)</f>
        <v>REQ-2026-0014</v>
      </c>
      <c r="C311" s="5" t="str">
        <f>IF(AND(ISNUMBER(Recruiting_Data!N311), ISNUMBER(Recruiting_Data!P311)), Recruiting_Data!N311 - Recruiting_Data!P311, "")</f>
        <v/>
      </c>
      <c r="D311" s="5">
        <v>2.0</v>
      </c>
      <c r="E311" s="5">
        <f>IF(Recruiting_Data!R311="Open", TODAY() - Recruiting_Data!P311, "")</f>
        <v>197</v>
      </c>
      <c r="F311" s="8" t="str">
        <f t="shared" si="1"/>
        <v>60+</v>
      </c>
      <c r="G311" s="5" t="b">
        <f>IF(A311="", "", IF(COUNTIF(Recruiting_Data!A:A, A311)&gt;1, TRUE, FALSE))</f>
        <v>0</v>
      </c>
      <c r="H311" s="5" t="b">
        <f>IF(A311="", "", IF(OR(AND(Recruiting_Data!N311&lt;&gt;"", Recruiting_Data!J311&lt;&gt;"", Recruiting_Data!N311&lt;Recruiting_Data!J311), AND(Recruiting_Data!M311&lt;&gt;"", Recruiting_Data!L311&lt;&gt;"", Recruiting_Data!M311&lt;Recruiting_Data!L311), AND(Recruiting_Data!L311&lt;&gt;"", Recruiting_Data!K311&lt;&gt;"", Recruiting_Data!L311&lt;Recruiting_Data!K311)), TRUE, FALSE))</f>
        <v>0</v>
      </c>
    </row>
    <row r="312">
      <c r="A312" s="5" t="str">
        <f>IF(Recruiting_Data!A312="", "", Recruiting_Data!A312)</f>
        <v>C-10311</v>
      </c>
      <c r="B312" s="5" t="str">
        <f>IF(Recruiting_Data!B312="", "", Recruiting_Data!B312)</f>
        <v>REQ-2026-0027</v>
      </c>
      <c r="C312" s="5" t="str">
        <f>IF(AND(ISNUMBER(Recruiting_Data!N312), ISNUMBER(Recruiting_Data!P312)), Recruiting_Data!N312 - Recruiting_Data!P312, "")</f>
        <v/>
      </c>
      <c r="D312" s="5">
        <v>3.0</v>
      </c>
      <c r="E312" s="5" t="str">
        <f>IF(Recruiting_Data!R312="Open", TODAY() - Recruiting_Data!P312, "")</f>
        <v/>
      </c>
      <c r="F312" s="8" t="str">
        <f t="shared" si="1"/>
        <v/>
      </c>
      <c r="G312" s="5" t="b">
        <f>IF(A312="", "", IF(COUNTIF(Recruiting_Data!A:A, A312)&gt;1, TRUE, FALSE))</f>
        <v>0</v>
      </c>
      <c r="H312" s="5" t="b">
        <f>IF(A312="", "", IF(OR(AND(Recruiting_Data!N312&lt;&gt;"", Recruiting_Data!J312&lt;&gt;"", Recruiting_Data!N312&lt;Recruiting_Data!J312), AND(Recruiting_Data!M312&lt;&gt;"", Recruiting_Data!L312&lt;&gt;"", Recruiting_Data!M312&lt;Recruiting_Data!L312), AND(Recruiting_Data!L312&lt;&gt;"", Recruiting_Data!K312&lt;&gt;"", Recruiting_Data!L312&lt;Recruiting_Data!K312)), TRUE, FALSE))</f>
        <v>0</v>
      </c>
    </row>
    <row r="313">
      <c r="A313" s="5" t="str">
        <f>IF(Recruiting_Data!A313="", "", Recruiting_Data!A313)</f>
        <v>C-10312</v>
      </c>
      <c r="B313" s="5" t="str">
        <f>IF(Recruiting_Data!B313="", "", Recruiting_Data!B313)</f>
        <v>REQ-2026-0008</v>
      </c>
      <c r="C313" s="5" t="str">
        <f>IF(AND(ISNUMBER(Recruiting_Data!N313), ISNUMBER(Recruiting_Data!P313)), Recruiting_Data!N313 - Recruiting_Data!P313, "")</f>
        <v/>
      </c>
      <c r="D313" s="5">
        <v>1.0</v>
      </c>
      <c r="E313" s="5" t="str">
        <f>IF(Recruiting_Data!R313="Open", TODAY() - Recruiting_Data!P313, "")</f>
        <v/>
      </c>
      <c r="F313" s="8" t="str">
        <f t="shared" si="1"/>
        <v/>
      </c>
      <c r="G313" s="5" t="b">
        <f>IF(A313="", "", IF(COUNTIF(Recruiting_Data!A:A, A313)&gt;1, TRUE, FALSE))</f>
        <v>0</v>
      </c>
      <c r="H313" s="5" t="b">
        <f>IF(A313="", "", IF(OR(AND(Recruiting_Data!N313&lt;&gt;"", Recruiting_Data!J313&lt;&gt;"", Recruiting_Data!N313&lt;Recruiting_Data!J313), AND(Recruiting_Data!M313&lt;&gt;"", Recruiting_Data!L313&lt;&gt;"", Recruiting_Data!M313&lt;Recruiting_Data!L313), AND(Recruiting_Data!L313&lt;&gt;"", Recruiting_Data!K313&lt;&gt;"", Recruiting_Data!L313&lt;Recruiting_Data!K313)), TRUE, FALSE))</f>
        <v>0</v>
      </c>
    </row>
    <row r="314">
      <c r="A314" s="5" t="str">
        <f>IF(Recruiting_Data!A314="", "", Recruiting_Data!A314)</f>
        <v>C-10313</v>
      </c>
      <c r="B314" s="5" t="str">
        <f>IF(Recruiting_Data!B314="", "", Recruiting_Data!B314)</f>
        <v>REQ-2026-0023</v>
      </c>
      <c r="C314" s="5" t="str">
        <f>IF(AND(ISNUMBER(Recruiting_Data!N314), ISNUMBER(Recruiting_Data!P314)), Recruiting_Data!N314 - Recruiting_Data!P314, "")</f>
        <v/>
      </c>
      <c r="D314" s="5">
        <v>4.0</v>
      </c>
      <c r="E314" s="5" t="str">
        <f>IF(Recruiting_Data!R314="Open", TODAY() - Recruiting_Data!P314, "")</f>
        <v/>
      </c>
      <c r="F314" s="8" t="str">
        <f t="shared" si="1"/>
        <v/>
      </c>
      <c r="G314" s="5" t="b">
        <f>IF(A314="", "", IF(COUNTIF(Recruiting_Data!A:A, A314)&gt;1, TRUE, FALSE))</f>
        <v>0</v>
      </c>
      <c r="H314" s="5" t="b">
        <f>IF(A314="", "", IF(OR(AND(Recruiting_Data!N314&lt;&gt;"", Recruiting_Data!J314&lt;&gt;"", Recruiting_Data!N314&lt;Recruiting_Data!J314), AND(Recruiting_Data!M314&lt;&gt;"", Recruiting_Data!L314&lt;&gt;"", Recruiting_Data!M314&lt;Recruiting_Data!L314), AND(Recruiting_Data!L314&lt;&gt;"", Recruiting_Data!K314&lt;&gt;"", Recruiting_Data!L314&lt;Recruiting_Data!K314)), TRUE, FALSE))</f>
        <v>0</v>
      </c>
    </row>
    <row r="315">
      <c r="A315" s="5" t="str">
        <f>IF(Recruiting_Data!A315="", "", Recruiting_Data!A315)</f>
        <v>C-10314</v>
      </c>
      <c r="B315" s="5" t="str">
        <f>IF(Recruiting_Data!B315="", "", Recruiting_Data!B315)</f>
        <v>REQ-2026-0045</v>
      </c>
      <c r="C315" s="5" t="str">
        <f>IF(AND(ISNUMBER(Recruiting_Data!N315), ISNUMBER(Recruiting_Data!P315)), Recruiting_Data!N315 - Recruiting_Data!P315, "")</f>
        <v/>
      </c>
      <c r="D315" s="5">
        <v>2.0</v>
      </c>
      <c r="E315" s="5" t="str">
        <f>IF(Recruiting_Data!R315="Open", TODAY() - Recruiting_Data!P315, "")</f>
        <v/>
      </c>
      <c r="F315" s="8" t="str">
        <f t="shared" si="1"/>
        <v/>
      </c>
      <c r="G315" s="5" t="b">
        <f>IF(A315="", "", IF(COUNTIF(Recruiting_Data!A:A, A315)&gt;1, TRUE, FALSE))</f>
        <v>0</v>
      </c>
      <c r="H315" s="5" t="b">
        <f>IF(A315="", "", IF(OR(AND(Recruiting_Data!N315&lt;&gt;"", Recruiting_Data!J315&lt;&gt;"", Recruiting_Data!N315&lt;Recruiting_Data!J315), AND(Recruiting_Data!M315&lt;&gt;"", Recruiting_Data!L315&lt;&gt;"", Recruiting_Data!M315&lt;Recruiting_Data!L315), AND(Recruiting_Data!L315&lt;&gt;"", Recruiting_Data!K315&lt;&gt;"", Recruiting_Data!L315&lt;Recruiting_Data!K315)), TRUE, FALSE))</f>
        <v>0</v>
      </c>
    </row>
    <row r="316">
      <c r="A316" s="5" t="str">
        <f>IF(Recruiting_Data!A316="", "", Recruiting_Data!A316)</f>
        <v>C-10315</v>
      </c>
      <c r="B316" s="5" t="str">
        <f>IF(Recruiting_Data!B316="", "", Recruiting_Data!B316)</f>
        <v>REQ-2026-0049</v>
      </c>
      <c r="C316" s="5" t="str">
        <f>IF(AND(ISNUMBER(Recruiting_Data!N316), ISNUMBER(Recruiting_Data!P316)), Recruiting_Data!N316 - Recruiting_Data!P316, "")</f>
        <v/>
      </c>
      <c r="D316" s="5">
        <v>2.0</v>
      </c>
      <c r="E316" s="5">
        <f>IF(Recruiting_Data!R316="Open", TODAY() - Recruiting_Data!P316, "")</f>
        <v>241</v>
      </c>
      <c r="F316" s="8" t="str">
        <f t="shared" si="1"/>
        <v>60+</v>
      </c>
      <c r="G316" s="5" t="b">
        <f>IF(A316="", "", IF(COUNTIF(Recruiting_Data!A:A, A316)&gt;1, TRUE, FALSE))</f>
        <v>0</v>
      </c>
      <c r="H316" s="5" t="b">
        <f>IF(A316="", "", IF(OR(AND(Recruiting_Data!N316&lt;&gt;"", Recruiting_Data!J316&lt;&gt;"", Recruiting_Data!N316&lt;Recruiting_Data!J316), AND(Recruiting_Data!M316&lt;&gt;"", Recruiting_Data!L316&lt;&gt;"", Recruiting_Data!M316&lt;Recruiting_Data!L316), AND(Recruiting_Data!L316&lt;&gt;"", Recruiting_Data!K316&lt;&gt;"", Recruiting_Data!L316&lt;Recruiting_Data!K316)), TRUE, FALSE))</f>
        <v>0</v>
      </c>
    </row>
    <row r="317">
      <c r="A317" s="5" t="str">
        <f>IF(Recruiting_Data!A317="", "", Recruiting_Data!A317)</f>
        <v>C-10316</v>
      </c>
      <c r="B317" s="5" t="str">
        <f>IF(Recruiting_Data!B317="", "", Recruiting_Data!B317)</f>
        <v>REQ-2026-0023</v>
      </c>
      <c r="C317" s="5" t="str">
        <f>IF(AND(ISNUMBER(Recruiting_Data!N317), ISNUMBER(Recruiting_Data!P317)), Recruiting_Data!N317 - Recruiting_Data!P317, "")</f>
        <v/>
      </c>
      <c r="D317" s="5">
        <v>3.0</v>
      </c>
      <c r="E317" s="5" t="str">
        <f>IF(Recruiting_Data!R317="Open", TODAY() - Recruiting_Data!P317, "")</f>
        <v/>
      </c>
      <c r="F317" s="8" t="str">
        <f t="shared" si="1"/>
        <v/>
      </c>
      <c r="G317" s="5" t="b">
        <f>IF(A317="", "", IF(COUNTIF(Recruiting_Data!A:A, A317)&gt;1, TRUE, FALSE))</f>
        <v>0</v>
      </c>
      <c r="H317" s="5" t="b">
        <f>IF(A317="", "", IF(OR(AND(Recruiting_Data!N317&lt;&gt;"", Recruiting_Data!J317&lt;&gt;"", Recruiting_Data!N317&lt;Recruiting_Data!J317), AND(Recruiting_Data!M317&lt;&gt;"", Recruiting_Data!L317&lt;&gt;"", Recruiting_Data!M317&lt;Recruiting_Data!L317), AND(Recruiting_Data!L317&lt;&gt;"", Recruiting_Data!K317&lt;&gt;"", Recruiting_Data!L317&lt;Recruiting_Data!K317)), TRUE, FALSE))</f>
        <v>0</v>
      </c>
    </row>
    <row r="318">
      <c r="A318" s="5" t="str">
        <f>IF(Recruiting_Data!A318="", "", Recruiting_Data!A318)</f>
        <v>C-10317</v>
      </c>
      <c r="B318" s="5" t="str">
        <f>IF(Recruiting_Data!B318="", "", Recruiting_Data!B318)</f>
        <v>REQ-2026-0041</v>
      </c>
      <c r="C318" s="5" t="str">
        <f>IF(AND(ISNUMBER(Recruiting_Data!N318), ISNUMBER(Recruiting_Data!P318)), Recruiting_Data!N318 - Recruiting_Data!P318, "")</f>
        <v/>
      </c>
      <c r="D318" s="5">
        <v>1.0</v>
      </c>
      <c r="E318" s="5" t="str">
        <f>IF(Recruiting_Data!R318="Open", TODAY() - Recruiting_Data!P318, "")</f>
        <v/>
      </c>
      <c r="F318" s="8" t="str">
        <f t="shared" si="1"/>
        <v/>
      </c>
      <c r="G318" s="5" t="b">
        <f>IF(A318="", "", IF(COUNTIF(Recruiting_Data!A:A, A318)&gt;1, TRUE, FALSE))</f>
        <v>0</v>
      </c>
      <c r="H318" s="5" t="b">
        <f>IF(A318="", "", IF(OR(AND(Recruiting_Data!N318&lt;&gt;"", Recruiting_Data!J318&lt;&gt;"", Recruiting_Data!N318&lt;Recruiting_Data!J318), AND(Recruiting_Data!M318&lt;&gt;"", Recruiting_Data!L318&lt;&gt;"", Recruiting_Data!M318&lt;Recruiting_Data!L318), AND(Recruiting_Data!L318&lt;&gt;"", Recruiting_Data!K318&lt;&gt;"", Recruiting_Data!L318&lt;Recruiting_Data!K318)), TRUE, FALSE))</f>
        <v>0</v>
      </c>
    </row>
    <row r="319">
      <c r="A319" s="5" t="str">
        <f>IF(Recruiting_Data!A319="", "", Recruiting_Data!A319)</f>
        <v>C-10318</v>
      </c>
      <c r="B319" s="5" t="str">
        <f>IF(Recruiting_Data!B319="", "", Recruiting_Data!B319)</f>
        <v>REQ-2026-0004</v>
      </c>
      <c r="C319" s="5" t="str">
        <f>IF(AND(ISNUMBER(Recruiting_Data!N319), ISNUMBER(Recruiting_Data!P319)), Recruiting_Data!N319 - Recruiting_Data!P319, "")</f>
        <v/>
      </c>
      <c r="D319" s="5">
        <v>3.0</v>
      </c>
      <c r="E319" s="5" t="str">
        <f>IF(Recruiting_Data!R319="Open", TODAY() - Recruiting_Data!P319, "")</f>
        <v/>
      </c>
      <c r="F319" s="8" t="str">
        <f t="shared" si="1"/>
        <v/>
      </c>
      <c r="G319" s="5" t="b">
        <f>IF(A319="", "", IF(COUNTIF(Recruiting_Data!A:A, A319)&gt;1, TRUE, FALSE))</f>
        <v>0</v>
      </c>
      <c r="H319" s="5" t="b">
        <f>IF(A319="", "", IF(OR(AND(Recruiting_Data!N319&lt;&gt;"", Recruiting_Data!J319&lt;&gt;"", Recruiting_Data!N319&lt;Recruiting_Data!J319), AND(Recruiting_Data!M319&lt;&gt;"", Recruiting_Data!L319&lt;&gt;"", Recruiting_Data!M319&lt;Recruiting_Data!L319), AND(Recruiting_Data!L319&lt;&gt;"", Recruiting_Data!K319&lt;&gt;"", Recruiting_Data!L319&lt;Recruiting_Data!K319)), TRUE, FALSE))</f>
        <v>0</v>
      </c>
    </row>
    <row r="320">
      <c r="A320" s="5" t="str">
        <f>IF(Recruiting_Data!A320="", "", Recruiting_Data!A320)</f>
        <v>C-10319</v>
      </c>
      <c r="B320" s="5" t="str">
        <f>IF(Recruiting_Data!B320="", "", Recruiting_Data!B320)</f>
        <v>REQ-2026-0015</v>
      </c>
      <c r="C320" s="5" t="str">
        <f>IF(AND(ISNUMBER(Recruiting_Data!N320), ISNUMBER(Recruiting_Data!P320)), Recruiting_Data!N320 - Recruiting_Data!P320, "")</f>
        <v/>
      </c>
      <c r="D320" s="5">
        <v>2.0</v>
      </c>
      <c r="E320" s="5" t="str">
        <f>IF(Recruiting_Data!R320="Open", TODAY() - Recruiting_Data!P320, "")</f>
        <v/>
      </c>
      <c r="F320" s="8" t="str">
        <f t="shared" si="1"/>
        <v/>
      </c>
      <c r="G320" s="5" t="b">
        <f>IF(A320="", "", IF(COUNTIF(Recruiting_Data!A:A, A320)&gt;1, TRUE, FALSE))</f>
        <v>0</v>
      </c>
      <c r="H320" s="5" t="b">
        <f>IF(A320="", "", IF(OR(AND(Recruiting_Data!N320&lt;&gt;"", Recruiting_Data!J320&lt;&gt;"", Recruiting_Data!N320&lt;Recruiting_Data!J320), AND(Recruiting_Data!M320&lt;&gt;"", Recruiting_Data!L320&lt;&gt;"", Recruiting_Data!M320&lt;Recruiting_Data!L320), AND(Recruiting_Data!L320&lt;&gt;"", Recruiting_Data!K320&lt;&gt;"", Recruiting_Data!L320&lt;Recruiting_Data!K320)), TRUE, FALSE))</f>
        <v>0</v>
      </c>
    </row>
    <row r="321">
      <c r="A321" s="5" t="str">
        <f>IF(Recruiting_Data!A321="", "", Recruiting_Data!A321)</f>
        <v>C-10320</v>
      </c>
      <c r="B321" s="5" t="str">
        <f>IF(Recruiting_Data!B321="", "", Recruiting_Data!B321)</f>
        <v>REQ-2026-0012</v>
      </c>
      <c r="C321" s="5">
        <f>IF(AND(ISNUMBER(Recruiting_Data!N321), ISNUMBER(Recruiting_Data!P321)), Recruiting_Data!N321 - Recruiting_Data!P321, "")</f>
        <v>46</v>
      </c>
      <c r="D321" s="5">
        <v>5.0</v>
      </c>
      <c r="E321" s="5" t="str">
        <f>IF(Recruiting_Data!R321="Open", TODAY() - Recruiting_Data!P321, "")</f>
        <v/>
      </c>
      <c r="F321" s="8" t="str">
        <f t="shared" si="1"/>
        <v/>
      </c>
      <c r="G321" s="5" t="b">
        <f>IF(A321="", "", IF(COUNTIF(Recruiting_Data!A:A, A321)&gt;1, TRUE, FALSE))</f>
        <v>0</v>
      </c>
      <c r="H321" s="5" t="b">
        <f>IF(A321="", "", IF(OR(AND(Recruiting_Data!N321&lt;&gt;"", Recruiting_Data!J321&lt;&gt;"", Recruiting_Data!N321&lt;Recruiting_Data!J321), AND(Recruiting_Data!M321&lt;&gt;"", Recruiting_Data!L321&lt;&gt;"", Recruiting_Data!M321&lt;Recruiting_Data!L321), AND(Recruiting_Data!L321&lt;&gt;"", Recruiting_Data!K321&lt;&gt;"", Recruiting_Data!L321&lt;Recruiting_Data!K321)), TRUE, FALSE))</f>
        <v>0</v>
      </c>
    </row>
    <row r="322">
      <c r="A322" s="5" t="str">
        <f>IF(Recruiting_Data!A322="", "", Recruiting_Data!A322)</f>
        <v>C-10321</v>
      </c>
      <c r="B322" s="5" t="str">
        <f>IF(Recruiting_Data!B322="", "", Recruiting_Data!B322)</f>
        <v>REQ-2026-0002</v>
      </c>
      <c r="C322" s="5" t="str">
        <f>IF(AND(ISNUMBER(Recruiting_Data!N322), ISNUMBER(Recruiting_Data!P322)), Recruiting_Data!N322 - Recruiting_Data!P322, "")</f>
        <v/>
      </c>
      <c r="D322" s="5">
        <v>1.0</v>
      </c>
      <c r="E322" s="5">
        <f>IF(Recruiting_Data!R322="Open", TODAY() - Recruiting_Data!P322, "")</f>
        <v>111</v>
      </c>
      <c r="F322" s="8" t="str">
        <f t="shared" si="1"/>
        <v>60+</v>
      </c>
      <c r="G322" s="5" t="b">
        <f>IF(A322="", "", IF(COUNTIF(Recruiting_Data!A:A, A322)&gt;1, TRUE, FALSE))</f>
        <v>0</v>
      </c>
      <c r="H322" s="5" t="b">
        <f>IF(A322="", "", IF(OR(AND(Recruiting_Data!N322&lt;&gt;"", Recruiting_Data!J322&lt;&gt;"", Recruiting_Data!N322&lt;Recruiting_Data!J322), AND(Recruiting_Data!M322&lt;&gt;"", Recruiting_Data!L322&lt;&gt;"", Recruiting_Data!M322&lt;Recruiting_Data!L322), AND(Recruiting_Data!L322&lt;&gt;"", Recruiting_Data!K322&lt;&gt;"", Recruiting_Data!L322&lt;Recruiting_Data!K322)), TRUE, FALSE))</f>
        <v>0</v>
      </c>
    </row>
    <row r="323">
      <c r="A323" s="5" t="str">
        <f>IF(Recruiting_Data!A323="", "", Recruiting_Data!A323)</f>
        <v>C-10322</v>
      </c>
      <c r="B323" s="5" t="str">
        <f>IF(Recruiting_Data!B323="", "", Recruiting_Data!B323)</f>
        <v>REQ-2026-0029</v>
      </c>
      <c r="C323" s="5" t="str">
        <f>IF(AND(ISNUMBER(Recruiting_Data!N323), ISNUMBER(Recruiting_Data!P323)), Recruiting_Data!N323 - Recruiting_Data!P323, "")</f>
        <v/>
      </c>
      <c r="D323" s="5">
        <v>1.0</v>
      </c>
      <c r="E323" s="5" t="str">
        <f>IF(Recruiting_Data!R323="Open", TODAY() - Recruiting_Data!P323, "")</f>
        <v/>
      </c>
      <c r="F323" s="8" t="str">
        <f t="shared" si="1"/>
        <v/>
      </c>
      <c r="G323" s="5" t="b">
        <f>IF(A323="", "", IF(COUNTIF(Recruiting_Data!A:A, A323)&gt;1, TRUE, FALSE))</f>
        <v>0</v>
      </c>
      <c r="H323" s="5" t="b">
        <f>IF(A323="", "", IF(OR(AND(Recruiting_Data!N323&lt;&gt;"", Recruiting_Data!J323&lt;&gt;"", Recruiting_Data!N323&lt;Recruiting_Data!J323), AND(Recruiting_Data!M323&lt;&gt;"", Recruiting_Data!L323&lt;&gt;"", Recruiting_Data!M323&lt;Recruiting_Data!L323), AND(Recruiting_Data!L323&lt;&gt;"", Recruiting_Data!K323&lt;&gt;"", Recruiting_Data!L323&lt;Recruiting_Data!K323)), TRUE, FALSE))</f>
        <v>0</v>
      </c>
    </row>
    <row r="324">
      <c r="A324" s="5" t="str">
        <f>IF(Recruiting_Data!A324="", "", Recruiting_Data!A324)</f>
        <v>C-10323</v>
      </c>
      <c r="B324" s="5" t="str">
        <f>IF(Recruiting_Data!B324="", "", Recruiting_Data!B324)</f>
        <v>REQ-2026-0013</v>
      </c>
      <c r="C324" s="5">
        <f>IF(AND(ISNUMBER(Recruiting_Data!N324), ISNUMBER(Recruiting_Data!P324)), Recruiting_Data!N324 - Recruiting_Data!P324, "")</f>
        <v>35</v>
      </c>
      <c r="D324" s="5">
        <v>5.0</v>
      </c>
      <c r="E324" s="5" t="str">
        <f>IF(Recruiting_Data!R324="Open", TODAY() - Recruiting_Data!P324, "")</f>
        <v/>
      </c>
      <c r="F324" s="8" t="str">
        <f t="shared" si="1"/>
        <v/>
      </c>
      <c r="G324" s="5" t="b">
        <f>IF(A324="", "", IF(COUNTIF(Recruiting_Data!A:A, A324)&gt;1, TRUE, FALSE))</f>
        <v>0</v>
      </c>
      <c r="H324" s="5" t="b">
        <f>IF(A324="", "", IF(OR(AND(Recruiting_Data!N324&lt;&gt;"", Recruiting_Data!J324&lt;&gt;"", Recruiting_Data!N324&lt;Recruiting_Data!J324), AND(Recruiting_Data!M324&lt;&gt;"", Recruiting_Data!L324&lt;&gt;"", Recruiting_Data!M324&lt;Recruiting_Data!L324), AND(Recruiting_Data!L324&lt;&gt;"", Recruiting_Data!K324&lt;&gt;"", Recruiting_Data!L324&lt;Recruiting_Data!K324)), TRUE, FALSE))</f>
        <v>0</v>
      </c>
    </row>
    <row r="325">
      <c r="A325" s="5" t="str">
        <f>IF(Recruiting_Data!A325="", "", Recruiting_Data!A325)</f>
        <v>C-10324</v>
      </c>
      <c r="B325" s="5" t="str">
        <f>IF(Recruiting_Data!B325="", "", Recruiting_Data!B325)</f>
        <v>REQ-2026-0040</v>
      </c>
      <c r="C325" s="5" t="str">
        <f>IF(AND(ISNUMBER(Recruiting_Data!N325), ISNUMBER(Recruiting_Data!P325)), Recruiting_Data!N325 - Recruiting_Data!P325, "")</f>
        <v/>
      </c>
      <c r="D325" s="5">
        <v>4.0</v>
      </c>
      <c r="E325" s="5" t="str">
        <f>IF(Recruiting_Data!R325="Open", TODAY() - Recruiting_Data!P325, "")</f>
        <v/>
      </c>
      <c r="F325" s="8" t="str">
        <f t="shared" si="1"/>
        <v/>
      </c>
      <c r="G325" s="5" t="b">
        <f>IF(A325="", "", IF(COUNTIF(Recruiting_Data!A:A, A325)&gt;1, TRUE, FALSE))</f>
        <v>0</v>
      </c>
      <c r="H325" s="5" t="b">
        <f>IF(A325="", "", IF(OR(AND(Recruiting_Data!N325&lt;&gt;"", Recruiting_Data!J325&lt;&gt;"", Recruiting_Data!N325&lt;Recruiting_Data!J325), AND(Recruiting_Data!M325&lt;&gt;"", Recruiting_Data!L325&lt;&gt;"", Recruiting_Data!M325&lt;Recruiting_Data!L325), AND(Recruiting_Data!L325&lt;&gt;"", Recruiting_Data!K325&lt;&gt;"", Recruiting_Data!L325&lt;Recruiting_Data!K325)), TRUE, FALSE))</f>
        <v>0</v>
      </c>
    </row>
    <row r="326">
      <c r="A326" s="5" t="str">
        <f>IF(Recruiting_Data!A326="", "", Recruiting_Data!A326)</f>
        <v>C-10325</v>
      </c>
      <c r="B326" s="5" t="str">
        <f>IF(Recruiting_Data!B326="", "", Recruiting_Data!B326)</f>
        <v>REQ-2026-0041</v>
      </c>
      <c r="C326" s="5">
        <f>IF(AND(ISNUMBER(Recruiting_Data!N326), ISNUMBER(Recruiting_Data!P326)), Recruiting_Data!N326 - Recruiting_Data!P326, "")</f>
        <v>42</v>
      </c>
      <c r="D326" s="5">
        <v>5.0</v>
      </c>
      <c r="E326" s="5" t="str">
        <f>IF(Recruiting_Data!R326="Open", TODAY() - Recruiting_Data!P326, "")</f>
        <v/>
      </c>
      <c r="F326" s="8" t="str">
        <f t="shared" si="1"/>
        <v/>
      </c>
      <c r="G326" s="5" t="b">
        <f>IF(A326="", "", IF(COUNTIF(Recruiting_Data!A:A, A326)&gt;1, TRUE, FALSE))</f>
        <v>0</v>
      </c>
      <c r="H326" s="5" t="b">
        <f>IF(A326="", "", IF(OR(AND(Recruiting_Data!N326&lt;&gt;"", Recruiting_Data!J326&lt;&gt;"", Recruiting_Data!N326&lt;Recruiting_Data!J326), AND(Recruiting_Data!M326&lt;&gt;"", Recruiting_Data!L326&lt;&gt;"", Recruiting_Data!M326&lt;Recruiting_Data!L326), AND(Recruiting_Data!L326&lt;&gt;"", Recruiting_Data!K326&lt;&gt;"", Recruiting_Data!L326&lt;Recruiting_Data!K326)), TRUE, FALSE))</f>
        <v>0</v>
      </c>
    </row>
    <row r="327">
      <c r="A327" s="5" t="str">
        <f>IF(Recruiting_Data!A327="", "", Recruiting_Data!A327)</f>
        <v>C-10326</v>
      </c>
      <c r="B327" s="5" t="str">
        <f>IF(Recruiting_Data!B327="", "", Recruiting_Data!B327)</f>
        <v>REQ-2026-0028</v>
      </c>
      <c r="C327" s="5" t="str">
        <f>IF(AND(ISNUMBER(Recruiting_Data!N327), ISNUMBER(Recruiting_Data!P327)), Recruiting_Data!N327 - Recruiting_Data!P327, "")</f>
        <v/>
      </c>
      <c r="D327" s="5">
        <v>1.0</v>
      </c>
      <c r="E327" s="5">
        <f>IF(Recruiting_Data!R327="Open", TODAY() - Recruiting_Data!P327, "")</f>
        <v>218</v>
      </c>
      <c r="F327" s="8" t="str">
        <f t="shared" si="1"/>
        <v>60+</v>
      </c>
      <c r="G327" s="5" t="b">
        <f>IF(A327="", "", IF(COUNTIF(Recruiting_Data!A:A, A327)&gt;1, TRUE, FALSE))</f>
        <v>0</v>
      </c>
      <c r="H327" s="5" t="b">
        <f>IF(A327="", "", IF(OR(AND(Recruiting_Data!N327&lt;&gt;"", Recruiting_Data!J327&lt;&gt;"", Recruiting_Data!N327&lt;Recruiting_Data!J327), AND(Recruiting_Data!M327&lt;&gt;"", Recruiting_Data!L327&lt;&gt;"", Recruiting_Data!M327&lt;Recruiting_Data!L327), AND(Recruiting_Data!L327&lt;&gt;"", Recruiting_Data!K327&lt;&gt;"", Recruiting_Data!L327&lt;Recruiting_Data!K327)), TRUE, FALSE))</f>
        <v>0</v>
      </c>
    </row>
    <row r="328">
      <c r="A328" s="5" t="str">
        <f>IF(Recruiting_Data!A328="", "", Recruiting_Data!A328)</f>
        <v>C-10327</v>
      </c>
      <c r="B328" s="5" t="str">
        <f>IF(Recruiting_Data!B328="", "", Recruiting_Data!B328)</f>
        <v>REQ-2026-0040</v>
      </c>
      <c r="C328" s="5" t="str">
        <f>IF(AND(ISNUMBER(Recruiting_Data!N328), ISNUMBER(Recruiting_Data!P328)), Recruiting_Data!N328 - Recruiting_Data!P328, "")</f>
        <v/>
      </c>
      <c r="D328" s="5">
        <v>1.0</v>
      </c>
      <c r="E328" s="5" t="str">
        <f>IF(Recruiting_Data!R328="Open", TODAY() - Recruiting_Data!P328, "")</f>
        <v/>
      </c>
      <c r="F328" s="8" t="str">
        <f t="shared" si="1"/>
        <v/>
      </c>
      <c r="G328" s="5" t="b">
        <f>IF(A328="", "", IF(COUNTIF(Recruiting_Data!A:A, A328)&gt;1, TRUE, FALSE))</f>
        <v>0</v>
      </c>
      <c r="H328" s="5" t="b">
        <f>IF(A328="", "", IF(OR(AND(Recruiting_Data!N328&lt;&gt;"", Recruiting_Data!J328&lt;&gt;"", Recruiting_Data!N328&lt;Recruiting_Data!J328), AND(Recruiting_Data!M328&lt;&gt;"", Recruiting_Data!L328&lt;&gt;"", Recruiting_Data!M328&lt;Recruiting_Data!L328), AND(Recruiting_Data!L328&lt;&gt;"", Recruiting_Data!K328&lt;&gt;"", Recruiting_Data!L328&lt;Recruiting_Data!K328)), TRUE, FALSE))</f>
        <v>0</v>
      </c>
    </row>
    <row r="329">
      <c r="A329" s="5" t="str">
        <f>IF(Recruiting_Data!A329="", "", Recruiting_Data!A329)</f>
        <v>C-10328</v>
      </c>
      <c r="B329" s="5" t="str">
        <f>IF(Recruiting_Data!B329="", "", Recruiting_Data!B329)</f>
        <v>REQ-2026-0040</v>
      </c>
      <c r="C329" s="5" t="str">
        <f>IF(AND(ISNUMBER(Recruiting_Data!N329), ISNUMBER(Recruiting_Data!P329)), Recruiting_Data!N329 - Recruiting_Data!P329, "")</f>
        <v/>
      </c>
      <c r="D329" s="5">
        <v>3.0</v>
      </c>
      <c r="E329" s="5" t="str">
        <f>IF(Recruiting_Data!R329="Open", TODAY() - Recruiting_Data!P329, "")</f>
        <v/>
      </c>
      <c r="F329" s="8" t="str">
        <f t="shared" si="1"/>
        <v/>
      </c>
      <c r="G329" s="5" t="b">
        <f>IF(A329="", "", IF(COUNTIF(Recruiting_Data!A:A, A329)&gt;1, TRUE, FALSE))</f>
        <v>0</v>
      </c>
      <c r="H329" s="5" t="b">
        <f>IF(A329="", "", IF(OR(AND(Recruiting_Data!N329&lt;&gt;"", Recruiting_Data!J329&lt;&gt;"", Recruiting_Data!N329&lt;Recruiting_Data!J329), AND(Recruiting_Data!M329&lt;&gt;"", Recruiting_Data!L329&lt;&gt;"", Recruiting_Data!M329&lt;Recruiting_Data!L329), AND(Recruiting_Data!L329&lt;&gt;"", Recruiting_Data!K329&lt;&gt;"", Recruiting_Data!L329&lt;Recruiting_Data!K329)), TRUE, FALSE))</f>
        <v>0</v>
      </c>
    </row>
    <row r="330">
      <c r="A330" s="5" t="str">
        <f>IF(Recruiting_Data!A330="", "", Recruiting_Data!A330)</f>
        <v>C-10329</v>
      </c>
      <c r="B330" s="5" t="str">
        <f>IF(Recruiting_Data!B330="", "", Recruiting_Data!B330)</f>
        <v>REQ-2026-0050</v>
      </c>
      <c r="C330" s="5" t="str">
        <f>IF(AND(ISNUMBER(Recruiting_Data!N330), ISNUMBER(Recruiting_Data!P330)), Recruiting_Data!N330 - Recruiting_Data!P330, "")</f>
        <v/>
      </c>
      <c r="D330" s="5">
        <v>1.0</v>
      </c>
      <c r="E330" s="5" t="str">
        <f>IF(Recruiting_Data!R330="Open", TODAY() - Recruiting_Data!P330, "")</f>
        <v/>
      </c>
      <c r="F330" s="8" t="str">
        <f t="shared" si="1"/>
        <v/>
      </c>
      <c r="G330" s="5" t="b">
        <f>IF(A330="", "", IF(COUNTIF(Recruiting_Data!A:A, A330)&gt;1, TRUE, FALSE))</f>
        <v>0</v>
      </c>
      <c r="H330" s="5" t="b">
        <f>IF(A330="", "", IF(OR(AND(Recruiting_Data!N330&lt;&gt;"", Recruiting_Data!J330&lt;&gt;"", Recruiting_Data!N330&lt;Recruiting_Data!J330), AND(Recruiting_Data!M330&lt;&gt;"", Recruiting_Data!L330&lt;&gt;"", Recruiting_Data!M330&lt;Recruiting_Data!L330), AND(Recruiting_Data!L330&lt;&gt;"", Recruiting_Data!K330&lt;&gt;"", Recruiting_Data!L330&lt;Recruiting_Data!K330)), TRUE, FALSE))</f>
        <v>0</v>
      </c>
    </row>
    <row r="331">
      <c r="A331" s="5" t="str">
        <f>IF(Recruiting_Data!A331="", "", Recruiting_Data!A331)</f>
        <v>C-10330</v>
      </c>
      <c r="B331" s="5" t="str">
        <f>IF(Recruiting_Data!B331="", "", Recruiting_Data!B331)</f>
        <v>REQ-2026-0050</v>
      </c>
      <c r="C331" s="5" t="str">
        <f>IF(AND(ISNUMBER(Recruiting_Data!N331), ISNUMBER(Recruiting_Data!P331)), Recruiting_Data!N331 - Recruiting_Data!P331, "")</f>
        <v/>
      </c>
      <c r="D331" s="5">
        <v>2.0</v>
      </c>
      <c r="E331" s="5" t="str">
        <f>IF(Recruiting_Data!R331="Open", TODAY() - Recruiting_Data!P331, "")</f>
        <v/>
      </c>
      <c r="F331" s="8" t="str">
        <f t="shared" si="1"/>
        <v/>
      </c>
      <c r="G331" s="5" t="b">
        <f>IF(A331="", "", IF(COUNTIF(Recruiting_Data!A:A, A331)&gt;1, TRUE, FALSE))</f>
        <v>0</v>
      </c>
      <c r="H331" s="5" t="b">
        <f>IF(A331="", "", IF(OR(AND(Recruiting_Data!N331&lt;&gt;"", Recruiting_Data!J331&lt;&gt;"", Recruiting_Data!N331&lt;Recruiting_Data!J331), AND(Recruiting_Data!M331&lt;&gt;"", Recruiting_Data!L331&lt;&gt;"", Recruiting_Data!M331&lt;Recruiting_Data!L331), AND(Recruiting_Data!L331&lt;&gt;"", Recruiting_Data!K331&lt;&gt;"", Recruiting_Data!L331&lt;Recruiting_Data!K331)), TRUE, FALSE))</f>
        <v>0</v>
      </c>
    </row>
    <row r="332">
      <c r="A332" s="5" t="str">
        <f>IF(Recruiting_Data!A332="", "", Recruiting_Data!A332)</f>
        <v>C-10331</v>
      </c>
      <c r="B332" s="5" t="str">
        <f>IF(Recruiting_Data!B332="", "", Recruiting_Data!B332)</f>
        <v>REQ-2026-0042</v>
      </c>
      <c r="C332" s="5">
        <f>IF(AND(ISNUMBER(Recruiting_Data!N332), ISNUMBER(Recruiting_Data!P332)), Recruiting_Data!N332 - Recruiting_Data!P332, "")</f>
        <v>53</v>
      </c>
      <c r="D332" s="5">
        <v>5.0</v>
      </c>
      <c r="E332" s="5" t="str">
        <f>IF(Recruiting_Data!R332="Open", TODAY() - Recruiting_Data!P332, "")</f>
        <v/>
      </c>
      <c r="F332" s="8" t="str">
        <f t="shared" si="1"/>
        <v/>
      </c>
      <c r="G332" s="5" t="b">
        <f>IF(A332="", "", IF(COUNTIF(Recruiting_Data!A:A, A332)&gt;1, TRUE, FALSE))</f>
        <v>0</v>
      </c>
      <c r="H332" s="5" t="b">
        <f>IF(A332="", "", IF(OR(AND(Recruiting_Data!N332&lt;&gt;"", Recruiting_Data!J332&lt;&gt;"", Recruiting_Data!N332&lt;Recruiting_Data!J332), AND(Recruiting_Data!M332&lt;&gt;"", Recruiting_Data!L332&lt;&gt;"", Recruiting_Data!M332&lt;Recruiting_Data!L332), AND(Recruiting_Data!L332&lt;&gt;"", Recruiting_Data!K332&lt;&gt;"", Recruiting_Data!L332&lt;Recruiting_Data!K332)), TRUE, FALSE))</f>
        <v>0</v>
      </c>
    </row>
    <row r="333">
      <c r="A333" s="5" t="str">
        <f>IF(Recruiting_Data!A333="", "", Recruiting_Data!A333)</f>
        <v>C-10332</v>
      </c>
      <c r="B333" s="5" t="str">
        <f>IF(Recruiting_Data!B333="", "", Recruiting_Data!B333)</f>
        <v>REQ-2026-0009</v>
      </c>
      <c r="C333" s="5">
        <f>IF(AND(ISNUMBER(Recruiting_Data!N333), ISNUMBER(Recruiting_Data!P333)), Recruiting_Data!N333 - Recruiting_Data!P333, "")</f>
        <v>37</v>
      </c>
      <c r="D333" s="5">
        <v>5.0</v>
      </c>
      <c r="E333" s="5" t="str">
        <f>IF(Recruiting_Data!R333="Open", TODAY() - Recruiting_Data!P333, "")</f>
        <v/>
      </c>
      <c r="F333" s="8" t="str">
        <f t="shared" si="1"/>
        <v/>
      </c>
      <c r="G333" s="5" t="b">
        <f>IF(A333="", "", IF(COUNTIF(Recruiting_Data!A:A, A333)&gt;1, TRUE, FALSE))</f>
        <v>0</v>
      </c>
      <c r="H333" s="5" t="b">
        <f>IF(A333="", "", IF(OR(AND(Recruiting_Data!N333&lt;&gt;"", Recruiting_Data!J333&lt;&gt;"", Recruiting_Data!N333&lt;Recruiting_Data!J333), AND(Recruiting_Data!M333&lt;&gt;"", Recruiting_Data!L333&lt;&gt;"", Recruiting_Data!M333&lt;Recruiting_Data!L333), AND(Recruiting_Data!L333&lt;&gt;"", Recruiting_Data!K333&lt;&gt;"", Recruiting_Data!L333&lt;Recruiting_Data!K333)), TRUE, FALSE))</f>
        <v>0</v>
      </c>
    </row>
    <row r="334">
      <c r="A334" s="5" t="str">
        <f>IF(Recruiting_Data!A334="", "", Recruiting_Data!A334)</f>
        <v>C-10333</v>
      </c>
      <c r="B334" s="5" t="str">
        <f>IF(Recruiting_Data!B334="", "", Recruiting_Data!B334)</f>
        <v>REQ-2026-0049</v>
      </c>
      <c r="C334" s="5" t="str">
        <f>IF(AND(ISNUMBER(Recruiting_Data!N334), ISNUMBER(Recruiting_Data!P334)), Recruiting_Data!N334 - Recruiting_Data!P334, "")</f>
        <v/>
      </c>
      <c r="D334" s="5">
        <v>3.0</v>
      </c>
      <c r="E334" s="5">
        <f>IF(Recruiting_Data!R334="Open", TODAY() - Recruiting_Data!P334, "")</f>
        <v>235</v>
      </c>
      <c r="F334" s="8" t="str">
        <f t="shared" si="1"/>
        <v>60+</v>
      </c>
      <c r="G334" s="5" t="b">
        <f>IF(A334="", "", IF(COUNTIF(Recruiting_Data!A:A, A334)&gt;1, TRUE, FALSE))</f>
        <v>0</v>
      </c>
      <c r="H334" s="5" t="b">
        <f>IF(A334="", "", IF(OR(AND(Recruiting_Data!N334&lt;&gt;"", Recruiting_Data!J334&lt;&gt;"", Recruiting_Data!N334&lt;Recruiting_Data!J334), AND(Recruiting_Data!M334&lt;&gt;"", Recruiting_Data!L334&lt;&gt;"", Recruiting_Data!M334&lt;Recruiting_Data!L334), AND(Recruiting_Data!L334&lt;&gt;"", Recruiting_Data!K334&lt;&gt;"", Recruiting_Data!L334&lt;Recruiting_Data!K334)), TRUE, FALSE))</f>
        <v>0</v>
      </c>
    </row>
    <row r="335">
      <c r="A335" s="5" t="str">
        <f>IF(Recruiting_Data!A335="", "", Recruiting_Data!A335)</f>
        <v>C-10334</v>
      </c>
      <c r="B335" s="5" t="str">
        <f>IF(Recruiting_Data!B335="", "", Recruiting_Data!B335)</f>
        <v>REQ-2026-0035</v>
      </c>
      <c r="C335" s="5">
        <f>IF(AND(ISNUMBER(Recruiting_Data!N335), ISNUMBER(Recruiting_Data!P335)), Recruiting_Data!N335 - Recruiting_Data!P335, "")</f>
        <v>47</v>
      </c>
      <c r="D335" s="5">
        <v>5.0</v>
      </c>
      <c r="E335" s="5" t="str">
        <f>IF(Recruiting_Data!R335="Open", TODAY() - Recruiting_Data!P335, "")</f>
        <v/>
      </c>
      <c r="F335" s="8" t="str">
        <f t="shared" si="1"/>
        <v/>
      </c>
      <c r="G335" s="5" t="b">
        <f>IF(A335="", "", IF(COUNTIF(Recruiting_Data!A:A, A335)&gt;1, TRUE, FALSE))</f>
        <v>0</v>
      </c>
      <c r="H335" s="5" t="b">
        <f>IF(A335="", "", IF(OR(AND(Recruiting_Data!N335&lt;&gt;"", Recruiting_Data!J335&lt;&gt;"", Recruiting_Data!N335&lt;Recruiting_Data!J335), AND(Recruiting_Data!M335&lt;&gt;"", Recruiting_Data!L335&lt;&gt;"", Recruiting_Data!M335&lt;Recruiting_Data!L335), AND(Recruiting_Data!L335&lt;&gt;"", Recruiting_Data!K335&lt;&gt;"", Recruiting_Data!L335&lt;Recruiting_Data!K335)), TRUE, FALSE))</f>
        <v>0</v>
      </c>
    </row>
    <row r="336">
      <c r="A336" s="5" t="str">
        <f>IF(Recruiting_Data!A336="", "", Recruiting_Data!A336)</f>
        <v>C-10335</v>
      </c>
      <c r="B336" s="5" t="str">
        <f>IF(Recruiting_Data!B336="", "", Recruiting_Data!B336)</f>
        <v>REQ-2026-0008</v>
      </c>
      <c r="C336" s="5">
        <f>IF(AND(ISNUMBER(Recruiting_Data!N336), ISNUMBER(Recruiting_Data!P336)), Recruiting_Data!N336 - Recruiting_Data!P336, "")</f>
        <v>33</v>
      </c>
      <c r="D336" s="5">
        <v>5.0</v>
      </c>
      <c r="E336" s="5" t="str">
        <f>IF(Recruiting_Data!R336="Open", TODAY() - Recruiting_Data!P336, "")</f>
        <v/>
      </c>
      <c r="F336" s="8" t="str">
        <f t="shared" si="1"/>
        <v/>
      </c>
      <c r="G336" s="5" t="b">
        <f>IF(A336="", "", IF(COUNTIF(Recruiting_Data!A:A, A336)&gt;1, TRUE, FALSE))</f>
        <v>0</v>
      </c>
      <c r="H336" s="5" t="b">
        <f>IF(A336="", "", IF(OR(AND(Recruiting_Data!N336&lt;&gt;"", Recruiting_Data!J336&lt;&gt;"", Recruiting_Data!N336&lt;Recruiting_Data!J336), AND(Recruiting_Data!M336&lt;&gt;"", Recruiting_Data!L336&lt;&gt;"", Recruiting_Data!M336&lt;Recruiting_Data!L336), AND(Recruiting_Data!L336&lt;&gt;"", Recruiting_Data!K336&lt;&gt;"", Recruiting_Data!L336&lt;Recruiting_Data!K336)), TRUE, FALSE))</f>
        <v>0</v>
      </c>
    </row>
    <row r="337">
      <c r="A337" s="5" t="str">
        <f>IF(Recruiting_Data!A337="", "", Recruiting_Data!A337)</f>
        <v>C-10336</v>
      </c>
      <c r="B337" s="5" t="str">
        <f>IF(Recruiting_Data!B337="", "", Recruiting_Data!B337)</f>
        <v>REQ-2026-0040</v>
      </c>
      <c r="C337" s="5" t="str">
        <f>IF(AND(ISNUMBER(Recruiting_Data!N337), ISNUMBER(Recruiting_Data!P337)), Recruiting_Data!N337 - Recruiting_Data!P337, "")</f>
        <v/>
      </c>
      <c r="D337" s="5">
        <v>3.0</v>
      </c>
      <c r="E337" s="5" t="str">
        <f>IF(Recruiting_Data!R337="Open", TODAY() - Recruiting_Data!P337, "")</f>
        <v/>
      </c>
      <c r="F337" s="8" t="str">
        <f t="shared" si="1"/>
        <v/>
      </c>
      <c r="G337" s="5" t="b">
        <f>IF(A337="", "", IF(COUNTIF(Recruiting_Data!A:A, A337)&gt;1, TRUE, FALSE))</f>
        <v>0</v>
      </c>
      <c r="H337" s="5" t="b">
        <f>IF(A337="", "", IF(OR(AND(Recruiting_Data!N337&lt;&gt;"", Recruiting_Data!J337&lt;&gt;"", Recruiting_Data!N337&lt;Recruiting_Data!J337), AND(Recruiting_Data!M337&lt;&gt;"", Recruiting_Data!L337&lt;&gt;"", Recruiting_Data!M337&lt;Recruiting_Data!L337), AND(Recruiting_Data!L337&lt;&gt;"", Recruiting_Data!K337&lt;&gt;"", Recruiting_Data!L337&lt;Recruiting_Data!K337)), TRUE, FALSE))</f>
        <v>0</v>
      </c>
    </row>
    <row r="338">
      <c r="A338" s="5" t="str">
        <f>IF(Recruiting_Data!A338="", "", Recruiting_Data!A338)</f>
        <v>C-10337</v>
      </c>
      <c r="B338" s="5" t="str">
        <f>IF(Recruiting_Data!B338="", "", Recruiting_Data!B338)</f>
        <v>REQ-2026-0026</v>
      </c>
      <c r="C338" s="5" t="str">
        <f>IF(AND(ISNUMBER(Recruiting_Data!N338), ISNUMBER(Recruiting_Data!P338)), Recruiting_Data!N338 - Recruiting_Data!P338, "")</f>
        <v/>
      </c>
      <c r="D338" s="5">
        <v>1.0</v>
      </c>
      <c r="E338" s="5" t="str">
        <f>IF(Recruiting_Data!R338="Open", TODAY() - Recruiting_Data!P338, "")</f>
        <v/>
      </c>
      <c r="F338" s="8" t="str">
        <f t="shared" si="1"/>
        <v/>
      </c>
      <c r="G338" s="5" t="b">
        <f>IF(A338="", "", IF(COUNTIF(Recruiting_Data!A:A, A338)&gt;1, TRUE, FALSE))</f>
        <v>0</v>
      </c>
      <c r="H338" s="5" t="b">
        <f>IF(A338="", "", IF(OR(AND(Recruiting_Data!N338&lt;&gt;"", Recruiting_Data!J338&lt;&gt;"", Recruiting_Data!N338&lt;Recruiting_Data!J338), AND(Recruiting_Data!M338&lt;&gt;"", Recruiting_Data!L338&lt;&gt;"", Recruiting_Data!M338&lt;Recruiting_Data!L338), AND(Recruiting_Data!L338&lt;&gt;"", Recruiting_Data!K338&lt;&gt;"", Recruiting_Data!L338&lt;Recruiting_Data!K338)), TRUE, FALSE))</f>
        <v>0</v>
      </c>
    </row>
    <row r="339">
      <c r="A339" s="5" t="str">
        <f>IF(Recruiting_Data!A339="", "", Recruiting_Data!A339)</f>
        <v>C-10338</v>
      </c>
      <c r="B339" s="5" t="str">
        <f>IF(Recruiting_Data!B339="", "", Recruiting_Data!B339)</f>
        <v>REQ-2026-0035</v>
      </c>
      <c r="C339" s="5" t="str">
        <f>IF(AND(ISNUMBER(Recruiting_Data!N339), ISNUMBER(Recruiting_Data!P339)), Recruiting_Data!N339 - Recruiting_Data!P339, "")</f>
        <v/>
      </c>
      <c r="D339" s="5">
        <v>1.0</v>
      </c>
      <c r="E339" s="5" t="str">
        <f>IF(Recruiting_Data!R339="Open", TODAY() - Recruiting_Data!P339, "")</f>
        <v/>
      </c>
      <c r="F339" s="8" t="str">
        <f t="shared" si="1"/>
        <v/>
      </c>
      <c r="G339" s="5" t="b">
        <f>IF(A339="", "", IF(COUNTIF(Recruiting_Data!A:A, A339)&gt;1, TRUE, FALSE))</f>
        <v>0</v>
      </c>
      <c r="H339" s="5" t="b">
        <f>IF(A339="", "", IF(OR(AND(Recruiting_Data!N339&lt;&gt;"", Recruiting_Data!J339&lt;&gt;"", Recruiting_Data!N339&lt;Recruiting_Data!J339), AND(Recruiting_Data!M339&lt;&gt;"", Recruiting_Data!L339&lt;&gt;"", Recruiting_Data!M339&lt;Recruiting_Data!L339), AND(Recruiting_Data!L339&lt;&gt;"", Recruiting_Data!K339&lt;&gt;"", Recruiting_Data!L339&lt;Recruiting_Data!K339)), TRUE, FALSE))</f>
        <v>0</v>
      </c>
    </row>
    <row r="340">
      <c r="A340" s="5" t="str">
        <f>IF(Recruiting_Data!A340="", "", Recruiting_Data!A340)</f>
        <v>C-10339</v>
      </c>
      <c r="B340" s="5" t="str">
        <f>IF(Recruiting_Data!B340="", "", Recruiting_Data!B340)</f>
        <v>REQ-2026-0038</v>
      </c>
      <c r="C340" s="5">
        <f>IF(AND(ISNUMBER(Recruiting_Data!N340), ISNUMBER(Recruiting_Data!P340)), Recruiting_Data!N340 - Recruiting_Data!P340, "")</f>
        <v>34</v>
      </c>
      <c r="D340" s="5">
        <v>5.0</v>
      </c>
      <c r="E340" s="5" t="str">
        <f>IF(Recruiting_Data!R340="Open", TODAY() - Recruiting_Data!P340, "")</f>
        <v/>
      </c>
      <c r="F340" s="8" t="str">
        <f t="shared" si="1"/>
        <v/>
      </c>
      <c r="G340" s="5" t="b">
        <f>IF(A340="", "", IF(COUNTIF(Recruiting_Data!A:A, A340)&gt;1, TRUE, FALSE))</f>
        <v>0</v>
      </c>
      <c r="H340" s="5" t="b">
        <f>IF(A340="", "", IF(OR(AND(Recruiting_Data!N340&lt;&gt;"", Recruiting_Data!J340&lt;&gt;"", Recruiting_Data!N340&lt;Recruiting_Data!J340), AND(Recruiting_Data!M340&lt;&gt;"", Recruiting_Data!L340&lt;&gt;"", Recruiting_Data!M340&lt;Recruiting_Data!L340), AND(Recruiting_Data!L340&lt;&gt;"", Recruiting_Data!K340&lt;&gt;"", Recruiting_Data!L340&lt;Recruiting_Data!K340)), TRUE, FALSE))</f>
        <v>0</v>
      </c>
    </row>
    <row r="341">
      <c r="A341" s="5" t="str">
        <f>IF(Recruiting_Data!A341="", "", Recruiting_Data!A341)</f>
        <v>C-10340</v>
      </c>
      <c r="B341" s="5" t="str">
        <f>IF(Recruiting_Data!B341="", "", Recruiting_Data!B341)</f>
        <v>REQ-2026-0024</v>
      </c>
      <c r="C341" s="5" t="str">
        <f>IF(AND(ISNUMBER(Recruiting_Data!N341), ISNUMBER(Recruiting_Data!P341)), Recruiting_Data!N341 - Recruiting_Data!P341, "")</f>
        <v/>
      </c>
      <c r="D341" s="5">
        <v>2.0</v>
      </c>
      <c r="E341" s="5" t="str">
        <f>IF(Recruiting_Data!R341="Open", TODAY() - Recruiting_Data!P341, "")</f>
        <v/>
      </c>
      <c r="F341" s="8" t="str">
        <f t="shared" si="1"/>
        <v/>
      </c>
      <c r="G341" s="5" t="b">
        <f>IF(A341="", "", IF(COUNTIF(Recruiting_Data!A:A, A341)&gt;1, TRUE, FALSE))</f>
        <v>0</v>
      </c>
      <c r="H341" s="5" t="b">
        <f>IF(A341="", "", IF(OR(AND(Recruiting_Data!N341&lt;&gt;"", Recruiting_Data!J341&lt;&gt;"", Recruiting_Data!N341&lt;Recruiting_Data!J341), AND(Recruiting_Data!M341&lt;&gt;"", Recruiting_Data!L341&lt;&gt;"", Recruiting_Data!M341&lt;Recruiting_Data!L341), AND(Recruiting_Data!L341&lt;&gt;"", Recruiting_Data!K341&lt;&gt;"", Recruiting_Data!L341&lt;Recruiting_Data!K341)), TRUE, FALSE))</f>
        <v>0</v>
      </c>
    </row>
    <row r="342">
      <c r="A342" s="5" t="str">
        <f>IF(Recruiting_Data!A342="", "", Recruiting_Data!A342)</f>
        <v>C-10341</v>
      </c>
      <c r="B342" s="5" t="str">
        <f>IF(Recruiting_Data!B342="", "", Recruiting_Data!B342)</f>
        <v>REQ-2026-0017</v>
      </c>
      <c r="C342" s="5" t="str">
        <f>IF(AND(ISNUMBER(Recruiting_Data!N342), ISNUMBER(Recruiting_Data!P342)), Recruiting_Data!N342 - Recruiting_Data!P342, "")</f>
        <v/>
      </c>
      <c r="D342" s="5">
        <v>1.0</v>
      </c>
      <c r="E342" s="5" t="str">
        <f>IF(Recruiting_Data!R342="Open", TODAY() - Recruiting_Data!P342, "")</f>
        <v/>
      </c>
      <c r="F342" s="8" t="str">
        <f t="shared" si="1"/>
        <v/>
      </c>
      <c r="G342" s="5" t="b">
        <f>IF(A342="", "", IF(COUNTIF(Recruiting_Data!A:A, A342)&gt;1, TRUE, FALSE))</f>
        <v>0</v>
      </c>
      <c r="H342" s="5" t="b">
        <f>IF(A342="", "", IF(OR(AND(Recruiting_Data!N342&lt;&gt;"", Recruiting_Data!J342&lt;&gt;"", Recruiting_Data!N342&lt;Recruiting_Data!J342), AND(Recruiting_Data!M342&lt;&gt;"", Recruiting_Data!L342&lt;&gt;"", Recruiting_Data!M342&lt;Recruiting_Data!L342), AND(Recruiting_Data!L342&lt;&gt;"", Recruiting_Data!K342&lt;&gt;"", Recruiting_Data!L342&lt;Recruiting_Data!K342)), TRUE, FALSE))</f>
        <v>0</v>
      </c>
    </row>
    <row r="343">
      <c r="A343" s="5" t="str">
        <f>IF(Recruiting_Data!A343="", "", Recruiting_Data!A343)</f>
        <v>C-10342</v>
      </c>
      <c r="B343" s="5" t="str">
        <f>IF(Recruiting_Data!B343="", "", Recruiting_Data!B343)</f>
        <v>REQ-2026-0048</v>
      </c>
      <c r="C343" s="5" t="str">
        <f>IF(AND(ISNUMBER(Recruiting_Data!N343), ISNUMBER(Recruiting_Data!P343)), Recruiting_Data!N343 - Recruiting_Data!P343, "")</f>
        <v/>
      </c>
      <c r="D343" s="5">
        <v>1.0</v>
      </c>
      <c r="E343" s="5" t="str">
        <f>IF(Recruiting_Data!R343="Open", TODAY() - Recruiting_Data!P343, "")</f>
        <v/>
      </c>
      <c r="F343" s="8" t="str">
        <f t="shared" si="1"/>
        <v/>
      </c>
      <c r="G343" s="5" t="b">
        <f>IF(A343="", "", IF(COUNTIF(Recruiting_Data!A:A, A343)&gt;1, TRUE, FALSE))</f>
        <v>0</v>
      </c>
      <c r="H343" s="5" t="b">
        <f>IF(A343="", "", IF(OR(AND(Recruiting_Data!N343&lt;&gt;"", Recruiting_Data!J343&lt;&gt;"", Recruiting_Data!N343&lt;Recruiting_Data!J343), AND(Recruiting_Data!M343&lt;&gt;"", Recruiting_Data!L343&lt;&gt;"", Recruiting_Data!M343&lt;Recruiting_Data!L343), AND(Recruiting_Data!L343&lt;&gt;"", Recruiting_Data!K343&lt;&gt;"", Recruiting_Data!L343&lt;Recruiting_Data!K343)), TRUE, FALSE))</f>
        <v>0</v>
      </c>
    </row>
    <row r="344">
      <c r="A344" s="5" t="str">
        <f>IF(Recruiting_Data!A344="", "", Recruiting_Data!A344)</f>
        <v>C-10343</v>
      </c>
      <c r="B344" s="5" t="str">
        <f>IF(Recruiting_Data!B344="", "", Recruiting_Data!B344)</f>
        <v>REQ-2026-0010</v>
      </c>
      <c r="C344" s="5" t="str">
        <f>IF(AND(ISNUMBER(Recruiting_Data!N344), ISNUMBER(Recruiting_Data!P344)), Recruiting_Data!N344 - Recruiting_Data!P344, "")</f>
        <v/>
      </c>
      <c r="D344" s="5">
        <v>1.0</v>
      </c>
      <c r="E344" s="5" t="str">
        <f>IF(Recruiting_Data!R344="Open", TODAY() - Recruiting_Data!P344, "")</f>
        <v/>
      </c>
      <c r="F344" s="8" t="str">
        <f t="shared" si="1"/>
        <v/>
      </c>
      <c r="G344" s="5" t="b">
        <f>IF(A344="", "", IF(COUNTIF(Recruiting_Data!A:A, A344)&gt;1, TRUE, FALSE))</f>
        <v>0</v>
      </c>
      <c r="H344" s="5" t="b">
        <f>IF(A344="", "", IF(OR(AND(Recruiting_Data!N344&lt;&gt;"", Recruiting_Data!J344&lt;&gt;"", Recruiting_Data!N344&lt;Recruiting_Data!J344), AND(Recruiting_Data!M344&lt;&gt;"", Recruiting_Data!L344&lt;&gt;"", Recruiting_Data!M344&lt;Recruiting_Data!L344), AND(Recruiting_Data!L344&lt;&gt;"", Recruiting_Data!K344&lt;&gt;"", Recruiting_Data!L344&lt;Recruiting_Data!K344)), TRUE, FALSE))</f>
        <v>0</v>
      </c>
    </row>
    <row r="345">
      <c r="A345" s="5" t="str">
        <f>IF(Recruiting_Data!A345="", "", Recruiting_Data!A345)</f>
        <v>C-10344</v>
      </c>
      <c r="B345" s="5" t="str">
        <f>IF(Recruiting_Data!B345="", "", Recruiting_Data!B345)</f>
        <v>REQ-2026-0002</v>
      </c>
      <c r="C345" s="5" t="str">
        <f>IF(AND(ISNUMBER(Recruiting_Data!N345), ISNUMBER(Recruiting_Data!P345)), Recruiting_Data!N345 - Recruiting_Data!P345, "")</f>
        <v/>
      </c>
      <c r="D345" s="5">
        <v>4.0</v>
      </c>
      <c r="E345" s="5">
        <f>IF(Recruiting_Data!R345="Open", TODAY() - Recruiting_Data!P345, "")</f>
        <v>132</v>
      </c>
      <c r="F345" s="8" t="str">
        <f t="shared" si="1"/>
        <v>60+</v>
      </c>
      <c r="G345" s="5" t="b">
        <f>IF(A345="", "", IF(COUNTIF(Recruiting_Data!A:A, A345)&gt;1, TRUE, FALSE))</f>
        <v>0</v>
      </c>
      <c r="H345" s="5" t="b">
        <f>IF(A345="", "", IF(OR(AND(Recruiting_Data!N345&lt;&gt;"", Recruiting_Data!J345&lt;&gt;"", Recruiting_Data!N345&lt;Recruiting_Data!J345), AND(Recruiting_Data!M345&lt;&gt;"", Recruiting_Data!L345&lt;&gt;"", Recruiting_Data!M345&lt;Recruiting_Data!L345), AND(Recruiting_Data!L345&lt;&gt;"", Recruiting_Data!K345&lt;&gt;"", Recruiting_Data!L345&lt;Recruiting_Data!K345)), TRUE, FALSE))</f>
        <v>0</v>
      </c>
    </row>
    <row r="346">
      <c r="A346" s="5" t="str">
        <f>IF(Recruiting_Data!A346="", "", Recruiting_Data!A346)</f>
        <v>C-10345</v>
      </c>
      <c r="B346" s="5" t="str">
        <f>IF(Recruiting_Data!B346="", "", Recruiting_Data!B346)</f>
        <v>REQ-2026-0046</v>
      </c>
      <c r="C346" s="5" t="str">
        <f>IF(AND(ISNUMBER(Recruiting_Data!N346), ISNUMBER(Recruiting_Data!P346)), Recruiting_Data!N346 - Recruiting_Data!P346, "")</f>
        <v/>
      </c>
      <c r="D346" s="5">
        <v>4.0</v>
      </c>
      <c r="E346" s="5">
        <f>IF(Recruiting_Data!R346="Open", TODAY() - Recruiting_Data!P346, "")</f>
        <v>233</v>
      </c>
      <c r="F346" s="8" t="str">
        <f t="shared" si="1"/>
        <v>60+</v>
      </c>
      <c r="G346" s="5" t="b">
        <f>IF(A346="", "", IF(COUNTIF(Recruiting_Data!A:A, A346)&gt;1, TRUE, FALSE))</f>
        <v>0</v>
      </c>
      <c r="H346" s="5" t="b">
        <f>IF(A346="", "", IF(OR(AND(Recruiting_Data!N346&lt;&gt;"", Recruiting_Data!J346&lt;&gt;"", Recruiting_Data!N346&lt;Recruiting_Data!J346), AND(Recruiting_Data!M346&lt;&gt;"", Recruiting_Data!L346&lt;&gt;"", Recruiting_Data!M346&lt;Recruiting_Data!L346), AND(Recruiting_Data!L346&lt;&gt;"", Recruiting_Data!K346&lt;&gt;"", Recruiting_Data!L346&lt;Recruiting_Data!K346)), TRUE, FALSE))</f>
        <v>0</v>
      </c>
    </row>
    <row r="347">
      <c r="A347" s="5" t="str">
        <f>IF(Recruiting_Data!A347="", "", Recruiting_Data!A347)</f>
        <v>C-10346</v>
      </c>
      <c r="B347" s="5" t="str">
        <f>IF(Recruiting_Data!B347="", "", Recruiting_Data!B347)</f>
        <v>REQ-2026-0023</v>
      </c>
      <c r="C347" s="5" t="str">
        <f>IF(AND(ISNUMBER(Recruiting_Data!N347), ISNUMBER(Recruiting_Data!P347)), Recruiting_Data!N347 - Recruiting_Data!P347, "")</f>
        <v/>
      </c>
      <c r="D347" s="5">
        <v>1.0</v>
      </c>
      <c r="E347" s="5" t="str">
        <f>IF(Recruiting_Data!R347="Open", TODAY() - Recruiting_Data!P347, "")</f>
        <v/>
      </c>
      <c r="F347" s="8" t="str">
        <f t="shared" si="1"/>
        <v/>
      </c>
      <c r="G347" s="5" t="b">
        <f>IF(A347="", "", IF(COUNTIF(Recruiting_Data!A:A, A347)&gt;1, TRUE, FALSE))</f>
        <v>0</v>
      </c>
      <c r="H347" s="5" t="b">
        <f>IF(A347="", "", IF(OR(AND(Recruiting_Data!N347&lt;&gt;"", Recruiting_Data!J347&lt;&gt;"", Recruiting_Data!N347&lt;Recruiting_Data!J347), AND(Recruiting_Data!M347&lt;&gt;"", Recruiting_Data!L347&lt;&gt;"", Recruiting_Data!M347&lt;Recruiting_Data!L347), AND(Recruiting_Data!L347&lt;&gt;"", Recruiting_Data!K347&lt;&gt;"", Recruiting_Data!L347&lt;Recruiting_Data!K347)), TRUE, FALSE))</f>
        <v>0</v>
      </c>
    </row>
    <row r="348">
      <c r="A348" s="5" t="str">
        <f>IF(Recruiting_Data!A348="", "", Recruiting_Data!A348)</f>
        <v>C-10347</v>
      </c>
      <c r="B348" s="5" t="str">
        <f>IF(Recruiting_Data!B348="", "", Recruiting_Data!B348)</f>
        <v>REQ-2026-0031</v>
      </c>
      <c r="C348" s="5" t="str">
        <f>IF(AND(ISNUMBER(Recruiting_Data!N348), ISNUMBER(Recruiting_Data!P348)), Recruiting_Data!N348 - Recruiting_Data!P348, "")</f>
        <v/>
      </c>
      <c r="D348" s="5">
        <v>3.0</v>
      </c>
      <c r="E348" s="5">
        <f>IF(Recruiting_Data!R348="Open", TODAY() - Recruiting_Data!P348, "")</f>
        <v>197</v>
      </c>
      <c r="F348" s="8" t="str">
        <f t="shared" si="1"/>
        <v>60+</v>
      </c>
      <c r="G348" s="5" t="b">
        <f>IF(A348="", "", IF(COUNTIF(Recruiting_Data!A:A, A348)&gt;1, TRUE, FALSE))</f>
        <v>0</v>
      </c>
      <c r="H348" s="5" t="b">
        <f>IF(A348="", "", IF(OR(AND(Recruiting_Data!N348&lt;&gt;"", Recruiting_Data!J348&lt;&gt;"", Recruiting_Data!N348&lt;Recruiting_Data!J348), AND(Recruiting_Data!M348&lt;&gt;"", Recruiting_Data!L348&lt;&gt;"", Recruiting_Data!M348&lt;Recruiting_Data!L348), AND(Recruiting_Data!L348&lt;&gt;"", Recruiting_Data!K348&lt;&gt;"", Recruiting_Data!L348&lt;Recruiting_Data!K348)), TRUE, FALSE))</f>
        <v>0</v>
      </c>
    </row>
    <row r="349">
      <c r="A349" s="5" t="str">
        <f>IF(Recruiting_Data!A349="", "", Recruiting_Data!A349)</f>
        <v>C-10348</v>
      </c>
      <c r="B349" s="5" t="str">
        <f>IF(Recruiting_Data!B349="", "", Recruiting_Data!B349)</f>
        <v>REQ-2026-0008</v>
      </c>
      <c r="C349" s="5" t="str">
        <f>IF(AND(ISNUMBER(Recruiting_Data!N349), ISNUMBER(Recruiting_Data!P349)), Recruiting_Data!N349 - Recruiting_Data!P349, "")</f>
        <v/>
      </c>
      <c r="D349" s="5">
        <v>4.0</v>
      </c>
      <c r="E349" s="5" t="str">
        <f>IF(Recruiting_Data!R349="Open", TODAY() - Recruiting_Data!P349, "")</f>
        <v/>
      </c>
      <c r="F349" s="8" t="str">
        <f t="shared" si="1"/>
        <v/>
      </c>
      <c r="G349" s="5" t="b">
        <f>IF(A349="", "", IF(COUNTIF(Recruiting_Data!A:A, A349)&gt;1, TRUE, FALSE))</f>
        <v>0</v>
      </c>
      <c r="H349" s="5" t="b">
        <f>IF(A349="", "", IF(OR(AND(Recruiting_Data!N349&lt;&gt;"", Recruiting_Data!J349&lt;&gt;"", Recruiting_Data!N349&lt;Recruiting_Data!J349), AND(Recruiting_Data!M349&lt;&gt;"", Recruiting_Data!L349&lt;&gt;"", Recruiting_Data!M349&lt;Recruiting_Data!L349), AND(Recruiting_Data!L349&lt;&gt;"", Recruiting_Data!K349&lt;&gt;"", Recruiting_Data!L349&lt;Recruiting_Data!K349)), TRUE, FALSE))</f>
        <v>0</v>
      </c>
    </row>
    <row r="350">
      <c r="A350" s="5" t="str">
        <f>IF(Recruiting_Data!A350="", "", Recruiting_Data!A350)</f>
        <v>C-10349</v>
      </c>
      <c r="B350" s="5" t="str">
        <f>IF(Recruiting_Data!B350="", "", Recruiting_Data!B350)</f>
        <v>REQ-2026-0041</v>
      </c>
      <c r="C350" s="5" t="str">
        <f>IF(AND(ISNUMBER(Recruiting_Data!N350), ISNUMBER(Recruiting_Data!P350)), Recruiting_Data!N350 - Recruiting_Data!P350, "")</f>
        <v/>
      </c>
      <c r="D350" s="5">
        <v>1.0</v>
      </c>
      <c r="E350" s="5" t="str">
        <f>IF(Recruiting_Data!R350="Open", TODAY() - Recruiting_Data!P350, "")</f>
        <v/>
      </c>
      <c r="F350" s="8" t="str">
        <f t="shared" si="1"/>
        <v/>
      </c>
      <c r="G350" s="5" t="b">
        <f>IF(A350="", "", IF(COUNTIF(Recruiting_Data!A:A, A350)&gt;1, TRUE, FALSE))</f>
        <v>0</v>
      </c>
      <c r="H350" s="5" t="b">
        <f>IF(A350="", "", IF(OR(AND(Recruiting_Data!N350&lt;&gt;"", Recruiting_Data!J350&lt;&gt;"", Recruiting_Data!N350&lt;Recruiting_Data!J350), AND(Recruiting_Data!M350&lt;&gt;"", Recruiting_Data!L350&lt;&gt;"", Recruiting_Data!M350&lt;Recruiting_Data!L350), AND(Recruiting_Data!L350&lt;&gt;"", Recruiting_Data!K350&lt;&gt;"", Recruiting_Data!L350&lt;Recruiting_Data!K350)), TRUE, FALSE))</f>
        <v>0</v>
      </c>
    </row>
    <row r="351">
      <c r="A351" s="5" t="str">
        <f>IF(Recruiting_Data!A351="", "", Recruiting_Data!A351)</f>
        <v>C-10350</v>
      </c>
      <c r="B351" s="5" t="str">
        <f>IF(Recruiting_Data!B351="", "", Recruiting_Data!B351)</f>
        <v>REQ-2026-0023</v>
      </c>
      <c r="C351" s="5" t="str">
        <f>IF(AND(ISNUMBER(Recruiting_Data!N351), ISNUMBER(Recruiting_Data!P351)), Recruiting_Data!N351 - Recruiting_Data!P351, "")</f>
        <v/>
      </c>
      <c r="D351" s="5">
        <v>3.0</v>
      </c>
      <c r="E351" s="5" t="str">
        <f>IF(Recruiting_Data!R351="Open", TODAY() - Recruiting_Data!P351, "")</f>
        <v/>
      </c>
      <c r="F351" s="8" t="str">
        <f t="shared" si="1"/>
        <v/>
      </c>
      <c r="G351" s="5" t="b">
        <f>IF(A351="", "", IF(COUNTIF(Recruiting_Data!A:A, A351)&gt;1, TRUE, FALSE))</f>
        <v>0</v>
      </c>
      <c r="H351" s="5" t="b">
        <f>IF(A351="", "", IF(OR(AND(Recruiting_Data!N351&lt;&gt;"", Recruiting_Data!J351&lt;&gt;"", Recruiting_Data!N351&lt;Recruiting_Data!J351), AND(Recruiting_Data!M351&lt;&gt;"", Recruiting_Data!L351&lt;&gt;"", Recruiting_Data!M351&lt;Recruiting_Data!L351), AND(Recruiting_Data!L351&lt;&gt;"", Recruiting_Data!K351&lt;&gt;"", Recruiting_Data!L351&lt;Recruiting_Data!K351)), TRUE, FALSE))</f>
        <v>0</v>
      </c>
    </row>
    <row r="352">
      <c r="A352" s="5" t="str">
        <f>IF(Recruiting_Data!A352="", "", Recruiting_Data!A352)</f>
        <v>C-10351</v>
      </c>
      <c r="B352" s="5" t="str">
        <f>IF(Recruiting_Data!B352="", "", Recruiting_Data!B352)</f>
        <v>REQ-2026-0033</v>
      </c>
      <c r="C352" s="5" t="str">
        <f>IF(AND(ISNUMBER(Recruiting_Data!N352), ISNUMBER(Recruiting_Data!P352)), Recruiting_Data!N352 - Recruiting_Data!P352, "")</f>
        <v/>
      </c>
      <c r="D352" s="5">
        <v>3.0</v>
      </c>
      <c r="E352" s="5" t="str">
        <f>IF(Recruiting_Data!R352="Open", TODAY() - Recruiting_Data!P352, "")</f>
        <v/>
      </c>
      <c r="F352" s="8" t="str">
        <f t="shared" si="1"/>
        <v/>
      </c>
      <c r="G352" s="5" t="b">
        <f>IF(A352="", "", IF(COUNTIF(Recruiting_Data!A:A, A352)&gt;1, TRUE, FALSE))</f>
        <v>0</v>
      </c>
      <c r="H352" s="5" t="b">
        <f>IF(A352="", "", IF(OR(AND(Recruiting_Data!N352&lt;&gt;"", Recruiting_Data!J352&lt;&gt;"", Recruiting_Data!N352&lt;Recruiting_Data!J352), AND(Recruiting_Data!M352&lt;&gt;"", Recruiting_Data!L352&lt;&gt;"", Recruiting_Data!M352&lt;Recruiting_Data!L352), AND(Recruiting_Data!L352&lt;&gt;"", Recruiting_Data!K352&lt;&gt;"", Recruiting_Data!L352&lt;Recruiting_Data!K352)), TRUE, FALSE))</f>
        <v>0</v>
      </c>
    </row>
    <row r="353">
      <c r="A353" s="5" t="str">
        <f>IF(Recruiting_Data!A353="", "", Recruiting_Data!A353)</f>
        <v>C-10352</v>
      </c>
      <c r="B353" s="5" t="str">
        <f>IF(Recruiting_Data!B353="", "", Recruiting_Data!B353)</f>
        <v>REQ-2026-0035</v>
      </c>
      <c r="C353" s="5">
        <f>IF(AND(ISNUMBER(Recruiting_Data!N353), ISNUMBER(Recruiting_Data!P353)), Recruiting_Data!N353 - Recruiting_Data!P353, "")</f>
        <v>41</v>
      </c>
      <c r="D353" s="5">
        <v>5.0</v>
      </c>
      <c r="E353" s="5" t="str">
        <f>IF(Recruiting_Data!R353="Open", TODAY() - Recruiting_Data!P353, "")</f>
        <v/>
      </c>
      <c r="F353" s="8" t="str">
        <f t="shared" si="1"/>
        <v/>
      </c>
      <c r="G353" s="5" t="b">
        <f>IF(A353="", "", IF(COUNTIF(Recruiting_Data!A:A, A353)&gt;1, TRUE, FALSE))</f>
        <v>0</v>
      </c>
      <c r="H353" s="5" t="b">
        <f>IF(A353="", "", IF(OR(AND(Recruiting_Data!N353&lt;&gt;"", Recruiting_Data!J353&lt;&gt;"", Recruiting_Data!N353&lt;Recruiting_Data!J353), AND(Recruiting_Data!M353&lt;&gt;"", Recruiting_Data!L353&lt;&gt;"", Recruiting_Data!M353&lt;Recruiting_Data!L353), AND(Recruiting_Data!L353&lt;&gt;"", Recruiting_Data!K353&lt;&gt;"", Recruiting_Data!L353&lt;Recruiting_Data!K353)), TRUE, FALSE))</f>
        <v>0</v>
      </c>
    </row>
    <row r="354">
      <c r="A354" s="5" t="str">
        <f>IF(Recruiting_Data!A354="", "", Recruiting_Data!A354)</f>
        <v>C-10353</v>
      </c>
      <c r="B354" s="5" t="str">
        <f>IF(Recruiting_Data!B354="", "", Recruiting_Data!B354)</f>
        <v>REQ-2026-0038</v>
      </c>
      <c r="C354" s="5">
        <f>IF(AND(ISNUMBER(Recruiting_Data!N354), ISNUMBER(Recruiting_Data!P354)), Recruiting_Data!N354 - Recruiting_Data!P354, "")</f>
        <v>44</v>
      </c>
      <c r="D354" s="5">
        <v>5.0</v>
      </c>
      <c r="E354" s="5" t="str">
        <f>IF(Recruiting_Data!R354="Open", TODAY() - Recruiting_Data!P354, "")</f>
        <v/>
      </c>
      <c r="F354" s="8" t="str">
        <f t="shared" si="1"/>
        <v/>
      </c>
      <c r="G354" s="5" t="b">
        <f>IF(A354="", "", IF(COUNTIF(Recruiting_Data!A:A, A354)&gt;1, TRUE, FALSE))</f>
        <v>0</v>
      </c>
      <c r="H354" s="5" t="b">
        <f>IF(A354="", "", IF(OR(AND(Recruiting_Data!N354&lt;&gt;"", Recruiting_Data!J354&lt;&gt;"", Recruiting_Data!N354&lt;Recruiting_Data!J354), AND(Recruiting_Data!M354&lt;&gt;"", Recruiting_Data!L354&lt;&gt;"", Recruiting_Data!M354&lt;Recruiting_Data!L354), AND(Recruiting_Data!L354&lt;&gt;"", Recruiting_Data!K354&lt;&gt;"", Recruiting_Data!L354&lt;Recruiting_Data!K354)), TRUE, FALSE))</f>
        <v>0</v>
      </c>
    </row>
    <row r="355">
      <c r="A355" s="5" t="str">
        <f>IF(Recruiting_Data!A355="", "", Recruiting_Data!A355)</f>
        <v>C-10354</v>
      </c>
      <c r="B355" s="5" t="str">
        <f>IF(Recruiting_Data!B355="", "", Recruiting_Data!B355)</f>
        <v>REQ-2026-0024</v>
      </c>
      <c r="C355" s="5" t="str">
        <f>IF(AND(ISNUMBER(Recruiting_Data!N355), ISNUMBER(Recruiting_Data!P355)), Recruiting_Data!N355 - Recruiting_Data!P355, "")</f>
        <v/>
      </c>
      <c r="D355" s="5">
        <v>1.0</v>
      </c>
      <c r="E355" s="5" t="str">
        <f>IF(Recruiting_Data!R355="Open", TODAY() - Recruiting_Data!P355, "")</f>
        <v/>
      </c>
      <c r="F355" s="8" t="str">
        <f t="shared" si="1"/>
        <v/>
      </c>
      <c r="G355" s="5" t="b">
        <f>IF(A355="", "", IF(COUNTIF(Recruiting_Data!A:A, A355)&gt;1, TRUE, FALSE))</f>
        <v>0</v>
      </c>
      <c r="H355" s="5" t="b">
        <f>IF(A355="", "", IF(OR(AND(Recruiting_Data!N355&lt;&gt;"", Recruiting_Data!J355&lt;&gt;"", Recruiting_Data!N355&lt;Recruiting_Data!J355), AND(Recruiting_Data!M355&lt;&gt;"", Recruiting_Data!L355&lt;&gt;"", Recruiting_Data!M355&lt;Recruiting_Data!L355), AND(Recruiting_Data!L355&lt;&gt;"", Recruiting_Data!K355&lt;&gt;"", Recruiting_Data!L355&lt;Recruiting_Data!K355)), TRUE, FALSE))</f>
        <v>0</v>
      </c>
    </row>
    <row r="356">
      <c r="A356" s="5" t="str">
        <f>IF(Recruiting_Data!A356="", "", Recruiting_Data!A356)</f>
        <v>C-10355</v>
      </c>
      <c r="B356" s="5" t="str">
        <f>IF(Recruiting_Data!B356="", "", Recruiting_Data!B356)</f>
        <v>REQ-2026-0050</v>
      </c>
      <c r="C356" s="5" t="str">
        <f>IF(AND(ISNUMBER(Recruiting_Data!N356), ISNUMBER(Recruiting_Data!P356)), Recruiting_Data!N356 - Recruiting_Data!P356, "")</f>
        <v/>
      </c>
      <c r="D356" s="5">
        <v>4.0</v>
      </c>
      <c r="E356" s="5" t="str">
        <f>IF(Recruiting_Data!R356="Open", TODAY() - Recruiting_Data!P356, "")</f>
        <v/>
      </c>
      <c r="F356" s="8" t="str">
        <f t="shared" si="1"/>
        <v/>
      </c>
      <c r="G356" s="5" t="b">
        <f>IF(A356="", "", IF(COUNTIF(Recruiting_Data!A:A, A356)&gt;1, TRUE, FALSE))</f>
        <v>0</v>
      </c>
      <c r="H356" s="5" t="b">
        <f>IF(A356="", "", IF(OR(AND(Recruiting_Data!N356&lt;&gt;"", Recruiting_Data!J356&lt;&gt;"", Recruiting_Data!N356&lt;Recruiting_Data!J356), AND(Recruiting_Data!M356&lt;&gt;"", Recruiting_Data!L356&lt;&gt;"", Recruiting_Data!M356&lt;Recruiting_Data!L356), AND(Recruiting_Data!L356&lt;&gt;"", Recruiting_Data!K356&lt;&gt;"", Recruiting_Data!L356&lt;Recruiting_Data!K356)), TRUE, FALSE))</f>
        <v>0</v>
      </c>
    </row>
    <row r="357">
      <c r="A357" s="5" t="str">
        <f>IF(Recruiting_Data!A357="", "", Recruiting_Data!A357)</f>
        <v>C-10356</v>
      </c>
      <c r="B357" s="5" t="str">
        <f>IF(Recruiting_Data!B357="", "", Recruiting_Data!B357)</f>
        <v>REQ-2026-0034</v>
      </c>
      <c r="C357" s="5" t="str">
        <f>IF(AND(ISNUMBER(Recruiting_Data!N357), ISNUMBER(Recruiting_Data!P357)), Recruiting_Data!N357 - Recruiting_Data!P357, "")</f>
        <v/>
      </c>
      <c r="D357" s="5">
        <v>1.0</v>
      </c>
      <c r="E357" s="5" t="str">
        <f>IF(Recruiting_Data!R357="Open", TODAY() - Recruiting_Data!P357, "")</f>
        <v/>
      </c>
      <c r="F357" s="8" t="str">
        <f t="shared" si="1"/>
        <v/>
      </c>
      <c r="G357" s="5" t="b">
        <f>IF(A357="", "", IF(COUNTIF(Recruiting_Data!A:A, A357)&gt;1, TRUE, FALSE))</f>
        <v>0</v>
      </c>
      <c r="H357" s="5" t="b">
        <f>IF(A357="", "", IF(OR(AND(Recruiting_Data!N357&lt;&gt;"", Recruiting_Data!J357&lt;&gt;"", Recruiting_Data!N357&lt;Recruiting_Data!J357), AND(Recruiting_Data!M357&lt;&gt;"", Recruiting_Data!L357&lt;&gt;"", Recruiting_Data!M357&lt;Recruiting_Data!L357), AND(Recruiting_Data!L357&lt;&gt;"", Recruiting_Data!K357&lt;&gt;"", Recruiting_Data!L357&lt;Recruiting_Data!K357)), TRUE, FALSE))</f>
        <v>0</v>
      </c>
    </row>
    <row r="358">
      <c r="A358" s="5" t="str">
        <f>IF(Recruiting_Data!A358="", "", Recruiting_Data!A358)</f>
        <v>C-10357</v>
      </c>
      <c r="B358" s="5" t="str">
        <f>IF(Recruiting_Data!B358="", "", Recruiting_Data!B358)</f>
        <v>REQ-2026-0050</v>
      </c>
      <c r="C358" s="5" t="str">
        <f>IF(AND(ISNUMBER(Recruiting_Data!N358), ISNUMBER(Recruiting_Data!P358)), Recruiting_Data!N358 - Recruiting_Data!P358, "")</f>
        <v/>
      </c>
      <c r="D358" s="5">
        <v>1.0</v>
      </c>
      <c r="E358" s="5" t="str">
        <f>IF(Recruiting_Data!R358="Open", TODAY() - Recruiting_Data!P358, "")</f>
        <v/>
      </c>
      <c r="F358" s="8" t="str">
        <f t="shared" si="1"/>
        <v/>
      </c>
      <c r="G358" s="5" t="b">
        <f>IF(A358="", "", IF(COUNTIF(Recruiting_Data!A:A, A358)&gt;1, TRUE, FALSE))</f>
        <v>0</v>
      </c>
      <c r="H358" s="5" t="b">
        <f>IF(A358="", "", IF(OR(AND(Recruiting_Data!N358&lt;&gt;"", Recruiting_Data!J358&lt;&gt;"", Recruiting_Data!N358&lt;Recruiting_Data!J358), AND(Recruiting_Data!M358&lt;&gt;"", Recruiting_Data!L358&lt;&gt;"", Recruiting_Data!M358&lt;Recruiting_Data!L358), AND(Recruiting_Data!L358&lt;&gt;"", Recruiting_Data!K358&lt;&gt;"", Recruiting_Data!L358&lt;Recruiting_Data!K358)), TRUE, FALSE))</f>
        <v>0</v>
      </c>
    </row>
    <row r="359">
      <c r="A359" s="5" t="str">
        <f>IF(Recruiting_Data!A359="", "", Recruiting_Data!A359)</f>
        <v>C-10358</v>
      </c>
      <c r="B359" s="5" t="str">
        <f>IF(Recruiting_Data!B359="", "", Recruiting_Data!B359)</f>
        <v>REQ-2026-0019</v>
      </c>
      <c r="C359" s="5">
        <f>IF(AND(ISNUMBER(Recruiting_Data!N359), ISNUMBER(Recruiting_Data!P359)), Recruiting_Data!N359 - Recruiting_Data!P359, "")</f>
        <v>39</v>
      </c>
      <c r="D359" s="5">
        <v>5.0</v>
      </c>
      <c r="E359" s="5" t="str">
        <f>IF(Recruiting_Data!R359="Open", TODAY() - Recruiting_Data!P359, "")</f>
        <v/>
      </c>
      <c r="F359" s="8" t="str">
        <f t="shared" si="1"/>
        <v/>
      </c>
      <c r="G359" s="5" t="b">
        <f>IF(A359="", "", IF(COUNTIF(Recruiting_Data!A:A, A359)&gt;1, TRUE, FALSE))</f>
        <v>0</v>
      </c>
      <c r="H359" s="5" t="b">
        <f>IF(A359="", "", IF(OR(AND(Recruiting_Data!N359&lt;&gt;"", Recruiting_Data!J359&lt;&gt;"", Recruiting_Data!N359&lt;Recruiting_Data!J359), AND(Recruiting_Data!M359&lt;&gt;"", Recruiting_Data!L359&lt;&gt;"", Recruiting_Data!M359&lt;Recruiting_Data!L359), AND(Recruiting_Data!L359&lt;&gt;"", Recruiting_Data!K359&lt;&gt;"", Recruiting_Data!L359&lt;Recruiting_Data!K359)), TRUE, FALSE))</f>
        <v>0</v>
      </c>
    </row>
    <row r="360">
      <c r="A360" s="5" t="str">
        <f>IF(Recruiting_Data!A360="", "", Recruiting_Data!A360)</f>
        <v>C-10359</v>
      </c>
      <c r="B360" s="5" t="str">
        <f>IF(Recruiting_Data!B360="", "", Recruiting_Data!B360)</f>
        <v>REQ-2026-0023</v>
      </c>
      <c r="C360" s="5" t="str">
        <f>IF(AND(ISNUMBER(Recruiting_Data!N360), ISNUMBER(Recruiting_Data!P360)), Recruiting_Data!N360 - Recruiting_Data!P360, "")</f>
        <v/>
      </c>
      <c r="D360" s="5">
        <v>3.0</v>
      </c>
      <c r="E360" s="5" t="str">
        <f>IF(Recruiting_Data!R360="Open", TODAY() - Recruiting_Data!P360, "")</f>
        <v/>
      </c>
      <c r="F360" s="8" t="str">
        <f t="shared" si="1"/>
        <v/>
      </c>
      <c r="G360" s="5" t="b">
        <f>IF(A360="", "", IF(COUNTIF(Recruiting_Data!A:A, A360)&gt;1, TRUE, FALSE))</f>
        <v>0</v>
      </c>
      <c r="H360" s="5" t="b">
        <f>IF(A360="", "", IF(OR(AND(Recruiting_Data!N360&lt;&gt;"", Recruiting_Data!J360&lt;&gt;"", Recruiting_Data!N360&lt;Recruiting_Data!J360), AND(Recruiting_Data!M360&lt;&gt;"", Recruiting_Data!L360&lt;&gt;"", Recruiting_Data!M360&lt;Recruiting_Data!L360), AND(Recruiting_Data!L360&lt;&gt;"", Recruiting_Data!K360&lt;&gt;"", Recruiting_Data!L360&lt;Recruiting_Data!K360)), TRUE, FALSE))</f>
        <v>0</v>
      </c>
    </row>
    <row r="361">
      <c r="A361" s="5" t="str">
        <f>IF(Recruiting_Data!A361="", "", Recruiting_Data!A361)</f>
        <v>C-10360</v>
      </c>
      <c r="B361" s="5" t="str">
        <f>IF(Recruiting_Data!B361="", "", Recruiting_Data!B361)</f>
        <v>REQ-2026-0037</v>
      </c>
      <c r="C361" s="5" t="str">
        <f>IF(AND(ISNUMBER(Recruiting_Data!N361), ISNUMBER(Recruiting_Data!P361)), Recruiting_Data!N361 - Recruiting_Data!P361, "")</f>
        <v/>
      </c>
      <c r="D361" s="5">
        <v>1.0</v>
      </c>
      <c r="E361" s="5" t="str">
        <f>IF(Recruiting_Data!R361="Open", TODAY() - Recruiting_Data!P361, "")</f>
        <v/>
      </c>
      <c r="F361" s="8" t="str">
        <f t="shared" si="1"/>
        <v/>
      </c>
      <c r="G361" s="5" t="b">
        <f>IF(A361="", "", IF(COUNTIF(Recruiting_Data!A:A, A361)&gt;1, TRUE, FALSE))</f>
        <v>0</v>
      </c>
      <c r="H361" s="5" t="b">
        <f>IF(A361="", "", IF(OR(AND(Recruiting_Data!N361&lt;&gt;"", Recruiting_Data!J361&lt;&gt;"", Recruiting_Data!N361&lt;Recruiting_Data!J361), AND(Recruiting_Data!M361&lt;&gt;"", Recruiting_Data!L361&lt;&gt;"", Recruiting_Data!M361&lt;Recruiting_Data!L361), AND(Recruiting_Data!L361&lt;&gt;"", Recruiting_Data!K361&lt;&gt;"", Recruiting_Data!L361&lt;Recruiting_Data!K361)), TRUE, FALSE))</f>
        <v>0</v>
      </c>
    </row>
    <row r="362">
      <c r="A362" s="5" t="str">
        <f>IF(Recruiting_Data!A362="", "", Recruiting_Data!A362)</f>
        <v>C-10361</v>
      </c>
      <c r="B362" s="5" t="str">
        <f>IF(Recruiting_Data!B362="", "", Recruiting_Data!B362)</f>
        <v>REQ-2026-0033</v>
      </c>
      <c r="C362" s="5" t="str">
        <f>IF(AND(ISNUMBER(Recruiting_Data!N362), ISNUMBER(Recruiting_Data!P362)), Recruiting_Data!N362 - Recruiting_Data!P362, "")</f>
        <v/>
      </c>
      <c r="D362" s="5">
        <v>2.0</v>
      </c>
      <c r="E362" s="5" t="str">
        <f>IF(Recruiting_Data!R362="Open", TODAY() - Recruiting_Data!P362, "")</f>
        <v/>
      </c>
      <c r="F362" s="8" t="str">
        <f t="shared" si="1"/>
        <v/>
      </c>
      <c r="G362" s="5" t="b">
        <f>IF(A362="", "", IF(COUNTIF(Recruiting_Data!A:A, A362)&gt;1, TRUE, FALSE))</f>
        <v>0</v>
      </c>
      <c r="H362" s="5" t="b">
        <f>IF(A362="", "", IF(OR(AND(Recruiting_Data!N362&lt;&gt;"", Recruiting_Data!J362&lt;&gt;"", Recruiting_Data!N362&lt;Recruiting_Data!J362), AND(Recruiting_Data!M362&lt;&gt;"", Recruiting_Data!L362&lt;&gt;"", Recruiting_Data!M362&lt;Recruiting_Data!L362), AND(Recruiting_Data!L362&lt;&gt;"", Recruiting_Data!K362&lt;&gt;"", Recruiting_Data!L362&lt;Recruiting_Data!K362)), TRUE, FALSE))</f>
        <v>0</v>
      </c>
    </row>
    <row r="363">
      <c r="A363" s="5" t="str">
        <f>IF(Recruiting_Data!A363="", "", Recruiting_Data!A363)</f>
        <v>C-10362</v>
      </c>
      <c r="B363" s="5" t="str">
        <f>IF(Recruiting_Data!B363="", "", Recruiting_Data!B363)</f>
        <v>REQ-2026-0035</v>
      </c>
      <c r="C363" s="5" t="str">
        <f>IF(AND(ISNUMBER(Recruiting_Data!N363), ISNUMBER(Recruiting_Data!P363)), Recruiting_Data!N363 - Recruiting_Data!P363, "")</f>
        <v/>
      </c>
      <c r="D363" s="5">
        <v>4.0</v>
      </c>
      <c r="E363" s="5" t="str">
        <f>IF(Recruiting_Data!R363="Open", TODAY() - Recruiting_Data!P363, "")</f>
        <v/>
      </c>
      <c r="F363" s="8" t="str">
        <f t="shared" si="1"/>
        <v/>
      </c>
      <c r="G363" s="5" t="b">
        <f>IF(A363="", "", IF(COUNTIF(Recruiting_Data!A:A, A363)&gt;1, TRUE, FALSE))</f>
        <v>0</v>
      </c>
      <c r="H363" s="5" t="b">
        <f>IF(A363="", "", IF(OR(AND(Recruiting_Data!N363&lt;&gt;"", Recruiting_Data!J363&lt;&gt;"", Recruiting_Data!N363&lt;Recruiting_Data!J363), AND(Recruiting_Data!M363&lt;&gt;"", Recruiting_Data!L363&lt;&gt;"", Recruiting_Data!M363&lt;Recruiting_Data!L363), AND(Recruiting_Data!L363&lt;&gt;"", Recruiting_Data!K363&lt;&gt;"", Recruiting_Data!L363&lt;Recruiting_Data!K363)), TRUE, FALSE))</f>
        <v>0</v>
      </c>
    </row>
    <row r="364">
      <c r="A364" s="5" t="str">
        <f>IF(Recruiting_Data!A364="", "", Recruiting_Data!A364)</f>
        <v>C-10363</v>
      </c>
      <c r="B364" s="5" t="str">
        <f>IF(Recruiting_Data!B364="", "", Recruiting_Data!B364)</f>
        <v>REQ-2026-0027</v>
      </c>
      <c r="C364" s="5" t="str">
        <f>IF(AND(ISNUMBER(Recruiting_Data!N364), ISNUMBER(Recruiting_Data!P364)), Recruiting_Data!N364 - Recruiting_Data!P364, "")</f>
        <v/>
      </c>
      <c r="D364" s="5">
        <v>2.0</v>
      </c>
      <c r="E364" s="5" t="str">
        <f>IF(Recruiting_Data!R364="Open", TODAY() - Recruiting_Data!P364, "")</f>
        <v/>
      </c>
      <c r="F364" s="8" t="str">
        <f t="shared" si="1"/>
        <v/>
      </c>
      <c r="G364" s="5" t="b">
        <f>IF(A364="", "", IF(COUNTIF(Recruiting_Data!A:A, A364)&gt;1, TRUE, FALSE))</f>
        <v>0</v>
      </c>
      <c r="H364" s="5" t="b">
        <f>IF(A364="", "", IF(OR(AND(Recruiting_Data!N364&lt;&gt;"", Recruiting_Data!J364&lt;&gt;"", Recruiting_Data!N364&lt;Recruiting_Data!J364), AND(Recruiting_Data!M364&lt;&gt;"", Recruiting_Data!L364&lt;&gt;"", Recruiting_Data!M364&lt;Recruiting_Data!L364), AND(Recruiting_Data!L364&lt;&gt;"", Recruiting_Data!K364&lt;&gt;"", Recruiting_Data!L364&lt;Recruiting_Data!K364)), TRUE, FALSE))</f>
        <v>0</v>
      </c>
    </row>
    <row r="365">
      <c r="A365" s="5" t="str">
        <f>IF(Recruiting_Data!A365="", "", Recruiting_Data!A365)</f>
        <v>C-10364</v>
      </c>
      <c r="B365" s="5" t="str">
        <f>IF(Recruiting_Data!B365="", "", Recruiting_Data!B365)</f>
        <v>REQ-2026-0028</v>
      </c>
      <c r="C365" s="5" t="str">
        <f>IF(AND(ISNUMBER(Recruiting_Data!N365), ISNUMBER(Recruiting_Data!P365)), Recruiting_Data!N365 - Recruiting_Data!P365, "")</f>
        <v/>
      </c>
      <c r="D365" s="5">
        <v>1.0</v>
      </c>
      <c r="E365" s="5">
        <f>IF(Recruiting_Data!R365="Open", TODAY() - Recruiting_Data!P365, "")</f>
        <v>209</v>
      </c>
      <c r="F365" s="8" t="str">
        <f t="shared" si="1"/>
        <v>60+</v>
      </c>
      <c r="G365" s="5" t="b">
        <f>IF(A365="", "", IF(COUNTIF(Recruiting_Data!A:A, A365)&gt;1, TRUE, FALSE))</f>
        <v>0</v>
      </c>
      <c r="H365" s="5" t="b">
        <f>IF(A365="", "", IF(OR(AND(Recruiting_Data!N365&lt;&gt;"", Recruiting_Data!J365&lt;&gt;"", Recruiting_Data!N365&lt;Recruiting_Data!J365), AND(Recruiting_Data!M365&lt;&gt;"", Recruiting_Data!L365&lt;&gt;"", Recruiting_Data!M365&lt;Recruiting_Data!L365), AND(Recruiting_Data!L365&lt;&gt;"", Recruiting_Data!K365&lt;&gt;"", Recruiting_Data!L365&lt;Recruiting_Data!K365)), TRUE, FALSE))</f>
        <v>0</v>
      </c>
    </row>
    <row r="366">
      <c r="A366" s="5" t="str">
        <f>IF(Recruiting_Data!A366="", "", Recruiting_Data!A366)</f>
        <v>C-10365</v>
      </c>
      <c r="B366" s="5" t="str">
        <f>IF(Recruiting_Data!B366="", "", Recruiting_Data!B366)</f>
        <v>REQ-2026-0014</v>
      </c>
      <c r="C366" s="5" t="str">
        <f>IF(AND(ISNUMBER(Recruiting_Data!N366), ISNUMBER(Recruiting_Data!P366)), Recruiting_Data!N366 - Recruiting_Data!P366, "")</f>
        <v/>
      </c>
      <c r="D366" s="5">
        <v>2.0</v>
      </c>
      <c r="E366" s="5">
        <f>IF(Recruiting_Data!R366="Open", TODAY() - Recruiting_Data!P366, "")</f>
        <v>243</v>
      </c>
      <c r="F366" s="8" t="str">
        <f t="shared" si="1"/>
        <v>60+</v>
      </c>
      <c r="G366" s="5" t="b">
        <f>IF(A366="", "", IF(COUNTIF(Recruiting_Data!A:A, A366)&gt;1, TRUE, FALSE))</f>
        <v>0</v>
      </c>
      <c r="H366" s="5" t="b">
        <f>IF(A366="", "", IF(OR(AND(Recruiting_Data!N366&lt;&gt;"", Recruiting_Data!J366&lt;&gt;"", Recruiting_Data!N366&lt;Recruiting_Data!J366), AND(Recruiting_Data!M366&lt;&gt;"", Recruiting_Data!L366&lt;&gt;"", Recruiting_Data!M366&lt;Recruiting_Data!L366), AND(Recruiting_Data!L366&lt;&gt;"", Recruiting_Data!K366&lt;&gt;"", Recruiting_Data!L366&lt;Recruiting_Data!K366)), TRUE, FALSE))</f>
        <v>0</v>
      </c>
    </row>
    <row r="367">
      <c r="A367" s="5" t="str">
        <f>IF(Recruiting_Data!A367="", "", Recruiting_Data!A367)</f>
        <v>C-10366</v>
      </c>
      <c r="B367" s="5" t="str">
        <f>IF(Recruiting_Data!B367="", "", Recruiting_Data!B367)</f>
        <v>REQ-2026-0011</v>
      </c>
      <c r="C367" s="5">
        <f>IF(AND(ISNUMBER(Recruiting_Data!N367), ISNUMBER(Recruiting_Data!P367)), Recruiting_Data!N367 - Recruiting_Data!P367, "")</f>
        <v>44</v>
      </c>
      <c r="D367" s="5">
        <v>5.0</v>
      </c>
      <c r="E367" s="5" t="str">
        <f>IF(Recruiting_Data!R367="Open", TODAY() - Recruiting_Data!P367, "")</f>
        <v/>
      </c>
      <c r="F367" s="8" t="str">
        <f t="shared" si="1"/>
        <v/>
      </c>
      <c r="G367" s="5" t="b">
        <f>IF(A367="", "", IF(COUNTIF(Recruiting_Data!A:A, A367)&gt;1, TRUE, FALSE))</f>
        <v>0</v>
      </c>
      <c r="H367" s="5" t="b">
        <f>IF(A367="", "", IF(OR(AND(Recruiting_Data!N367&lt;&gt;"", Recruiting_Data!J367&lt;&gt;"", Recruiting_Data!N367&lt;Recruiting_Data!J367), AND(Recruiting_Data!M367&lt;&gt;"", Recruiting_Data!L367&lt;&gt;"", Recruiting_Data!M367&lt;Recruiting_Data!L367), AND(Recruiting_Data!L367&lt;&gt;"", Recruiting_Data!K367&lt;&gt;"", Recruiting_Data!L367&lt;Recruiting_Data!K367)), TRUE, FALSE))</f>
        <v>0</v>
      </c>
    </row>
    <row r="368">
      <c r="A368" s="5" t="str">
        <f>IF(Recruiting_Data!A368="", "", Recruiting_Data!A368)</f>
        <v>C-10367</v>
      </c>
      <c r="B368" s="5" t="str">
        <f>IF(Recruiting_Data!B368="", "", Recruiting_Data!B368)</f>
        <v>REQ-2026-0010</v>
      </c>
      <c r="C368" s="5" t="str">
        <f>IF(AND(ISNUMBER(Recruiting_Data!N368), ISNUMBER(Recruiting_Data!P368)), Recruiting_Data!N368 - Recruiting_Data!P368, "")</f>
        <v/>
      </c>
      <c r="D368" s="5">
        <v>4.0</v>
      </c>
      <c r="E368" s="5" t="str">
        <f>IF(Recruiting_Data!R368="Open", TODAY() - Recruiting_Data!P368, "")</f>
        <v/>
      </c>
      <c r="F368" s="8" t="str">
        <f t="shared" si="1"/>
        <v/>
      </c>
      <c r="G368" s="5" t="b">
        <f>IF(A368="", "", IF(COUNTIF(Recruiting_Data!A:A, A368)&gt;1, TRUE, FALSE))</f>
        <v>0</v>
      </c>
      <c r="H368" s="5" t="b">
        <f>IF(A368="", "", IF(OR(AND(Recruiting_Data!N368&lt;&gt;"", Recruiting_Data!J368&lt;&gt;"", Recruiting_Data!N368&lt;Recruiting_Data!J368), AND(Recruiting_Data!M368&lt;&gt;"", Recruiting_Data!L368&lt;&gt;"", Recruiting_Data!M368&lt;Recruiting_Data!L368), AND(Recruiting_Data!L368&lt;&gt;"", Recruiting_Data!K368&lt;&gt;"", Recruiting_Data!L368&lt;Recruiting_Data!K368)), TRUE, FALSE))</f>
        <v>0</v>
      </c>
    </row>
    <row r="369">
      <c r="A369" s="5" t="str">
        <f>IF(Recruiting_Data!A369="", "", Recruiting_Data!A369)</f>
        <v>C-10368</v>
      </c>
      <c r="B369" s="5" t="str">
        <f>IF(Recruiting_Data!B369="", "", Recruiting_Data!B369)</f>
        <v>REQ-2026-0033</v>
      </c>
      <c r="C369" s="5" t="str">
        <f>IF(AND(ISNUMBER(Recruiting_Data!N369), ISNUMBER(Recruiting_Data!P369)), Recruiting_Data!N369 - Recruiting_Data!P369, "")</f>
        <v/>
      </c>
      <c r="D369" s="5">
        <v>1.0</v>
      </c>
      <c r="E369" s="5" t="str">
        <f>IF(Recruiting_Data!R369="Open", TODAY() - Recruiting_Data!P369, "")</f>
        <v/>
      </c>
      <c r="F369" s="8" t="str">
        <f t="shared" si="1"/>
        <v/>
      </c>
      <c r="G369" s="5" t="b">
        <f>IF(A369="", "", IF(COUNTIF(Recruiting_Data!A:A, A369)&gt;1, TRUE, FALSE))</f>
        <v>0</v>
      </c>
      <c r="H369" s="5" t="b">
        <f>IF(A369="", "", IF(OR(AND(Recruiting_Data!N369&lt;&gt;"", Recruiting_Data!J369&lt;&gt;"", Recruiting_Data!N369&lt;Recruiting_Data!J369), AND(Recruiting_Data!M369&lt;&gt;"", Recruiting_Data!L369&lt;&gt;"", Recruiting_Data!M369&lt;Recruiting_Data!L369), AND(Recruiting_Data!L369&lt;&gt;"", Recruiting_Data!K369&lt;&gt;"", Recruiting_Data!L369&lt;Recruiting_Data!K369)), TRUE, FALSE))</f>
        <v>0</v>
      </c>
    </row>
    <row r="370">
      <c r="A370" s="5" t="str">
        <f>IF(Recruiting_Data!A370="", "", Recruiting_Data!A370)</f>
        <v>C-10369</v>
      </c>
      <c r="B370" s="5" t="str">
        <f>IF(Recruiting_Data!B370="", "", Recruiting_Data!B370)</f>
        <v>REQ-2026-0018</v>
      </c>
      <c r="C370" s="5" t="str">
        <f>IF(AND(ISNUMBER(Recruiting_Data!N370), ISNUMBER(Recruiting_Data!P370)), Recruiting_Data!N370 - Recruiting_Data!P370, "")</f>
        <v/>
      </c>
      <c r="D370" s="5">
        <v>1.0</v>
      </c>
      <c r="E370" s="5" t="str">
        <f>IF(Recruiting_Data!R370="Open", TODAY() - Recruiting_Data!P370, "")</f>
        <v/>
      </c>
      <c r="F370" s="8" t="str">
        <f t="shared" si="1"/>
        <v/>
      </c>
      <c r="G370" s="5" t="b">
        <f>IF(A370="", "", IF(COUNTIF(Recruiting_Data!A:A, A370)&gt;1, TRUE, FALSE))</f>
        <v>0</v>
      </c>
      <c r="H370" s="5" t="b">
        <f>IF(A370="", "", IF(OR(AND(Recruiting_Data!N370&lt;&gt;"", Recruiting_Data!J370&lt;&gt;"", Recruiting_Data!N370&lt;Recruiting_Data!J370), AND(Recruiting_Data!M370&lt;&gt;"", Recruiting_Data!L370&lt;&gt;"", Recruiting_Data!M370&lt;Recruiting_Data!L370), AND(Recruiting_Data!L370&lt;&gt;"", Recruiting_Data!K370&lt;&gt;"", Recruiting_Data!L370&lt;Recruiting_Data!K370)), TRUE, FALSE))</f>
        <v>0</v>
      </c>
    </row>
    <row r="371">
      <c r="A371" s="5" t="str">
        <f>IF(Recruiting_Data!A371="", "", Recruiting_Data!A371)</f>
        <v>C-10370</v>
      </c>
      <c r="B371" s="5" t="str">
        <f>IF(Recruiting_Data!B371="", "", Recruiting_Data!B371)</f>
        <v>REQ-2026-0034</v>
      </c>
      <c r="C371" s="5">
        <f>IF(AND(ISNUMBER(Recruiting_Data!N371), ISNUMBER(Recruiting_Data!P371)), Recruiting_Data!N371 - Recruiting_Data!P371, "")</f>
        <v>44</v>
      </c>
      <c r="D371" s="5">
        <v>5.0</v>
      </c>
      <c r="E371" s="5" t="str">
        <f>IF(Recruiting_Data!R371="Open", TODAY() - Recruiting_Data!P371, "")</f>
        <v/>
      </c>
      <c r="F371" s="8" t="str">
        <f t="shared" si="1"/>
        <v/>
      </c>
      <c r="G371" s="5" t="b">
        <f>IF(A371="", "", IF(COUNTIF(Recruiting_Data!A:A, A371)&gt;1, TRUE, FALSE))</f>
        <v>0</v>
      </c>
      <c r="H371" s="5" t="b">
        <f>IF(A371="", "", IF(OR(AND(Recruiting_Data!N371&lt;&gt;"", Recruiting_Data!J371&lt;&gt;"", Recruiting_Data!N371&lt;Recruiting_Data!J371), AND(Recruiting_Data!M371&lt;&gt;"", Recruiting_Data!L371&lt;&gt;"", Recruiting_Data!M371&lt;Recruiting_Data!L371), AND(Recruiting_Data!L371&lt;&gt;"", Recruiting_Data!K371&lt;&gt;"", Recruiting_Data!L371&lt;Recruiting_Data!K371)), TRUE, FALSE))</f>
        <v>0</v>
      </c>
    </row>
    <row r="372">
      <c r="A372" s="5" t="str">
        <f>IF(Recruiting_Data!A372="", "", Recruiting_Data!A372)</f>
        <v>C-10371</v>
      </c>
      <c r="B372" s="5" t="str">
        <f>IF(Recruiting_Data!B372="", "", Recruiting_Data!B372)</f>
        <v>REQ-2026-0019</v>
      </c>
      <c r="C372" s="5" t="str">
        <f>IF(AND(ISNUMBER(Recruiting_Data!N372), ISNUMBER(Recruiting_Data!P372)), Recruiting_Data!N372 - Recruiting_Data!P372, "")</f>
        <v/>
      </c>
      <c r="D372" s="5">
        <v>1.0</v>
      </c>
      <c r="E372" s="5" t="str">
        <f>IF(Recruiting_Data!R372="Open", TODAY() - Recruiting_Data!P372, "")</f>
        <v/>
      </c>
      <c r="F372" s="8" t="str">
        <f t="shared" si="1"/>
        <v/>
      </c>
      <c r="G372" s="5" t="b">
        <f>IF(A372="", "", IF(COUNTIF(Recruiting_Data!A:A, A372)&gt;1, TRUE, FALSE))</f>
        <v>0</v>
      </c>
      <c r="H372" s="5" t="b">
        <f>IF(A372="", "", IF(OR(AND(Recruiting_Data!N372&lt;&gt;"", Recruiting_Data!J372&lt;&gt;"", Recruiting_Data!N372&lt;Recruiting_Data!J372), AND(Recruiting_Data!M372&lt;&gt;"", Recruiting_Data!L372&lt;&gt;"", Recruiting_Data!M372&lt;Recruiting_Data!L372), AND(Recruiting_Data!L372&lt;&gt;"", Recruiting_Data!K372&lt;&gt;"", Recruiting_Data!L372&lt;Recruiting_Data!K372)), TRUE, FALSE))</f>
        <v>0</v>
      </c>
    </row>
    <row r="373">
      <c r="A373" s="5" t="str">
        <f>IF(Recruiting_Data!A373="", "", Recruiting_Data!A373)</f>
        <v>C-10372</v>
      </c>
      <c r="B373" s="5" t="str">
        <f>IF(Recruiting_Data!B373="", "", Recruiting_Data!B373)</f>
        <v>REQ-2026-0047</v>
      </c>
      <c r="C373" s="5" t="str">
        <f>IF(AND(ISNUMBER(Recruiting_Data!N373), ISNUMBER(Recruiting_Data!P373)), Recruiting_Data!N373 - Recruiting_Data!P373, "")</f>
        <v/>
      </c>
      <c r="D373" s="5">
        <v>4.0</v>
      </c>
      <c r="E373" s="5">
        <f>IF(Recruiting_Data!R373="Open", TODAY() - Recruiting_Data!P373, "")</f>
        <v>145</v>
      </c>
      <c r="F373" s="8" t="str">
        <f t="shared" si="1"/>
        <v>60+</v>
      </c>
      <c r="G373" s="5" t="b">
        <f>IF(A373="", "", IF(COUNTIF(Recruiting_Data!A:A, A373)&gt;1, TRUE, FALSE))</f>
        <v>0</v>
      </c>
      <c r="H373" s="5" t="b">
        <f>IF(A373="", "", IF(OR(AND(Recruiting_Data!N373&lt;&gt;"", Recruiting_Data!J373&lt;&gt;"", Recruiting_Data!N373&lt;Recruiting_Data!J373), AND(Recruiting_Data!M373&lt;&gt;"", Recruiting_Data!L373&lt;&gt;"", Recruiting_Data!M373&lt;Recruiting_Data!L373), AND(Recruiting_Data!L373&lt;&gt;"", Recruiting_Data!K373&lt;&gt;"", Recruiting_Data!L373&lt;Recruiting_Data!K373)), TRUE, FALSE))</f>
        <v>0</v>
      </c>
    </row>
    <row r="374">
      <c r="A374" s="5" t="str">
        <f>IF(Recruiting_Data!A374="", "", Recruiting_Data!A374)</f>
        <v>C-10373</v>
      </c>
      <c r="B374" s="5" t="str">
        <f>IF(Recruiting_Data!B374="", "", Recruiting_Data!B374)</f>
        <v>REQ-2026-0011</v>
      </c>
      <c r="C374" s="5" t="str">
        <f>IF(AND(ISNUMBER(Recruiting_Data!N374), ISNUMBER(Recruiting_Data!P374)), Recruiting_Data!N374 - Recruiting_Data!P374, "")</f>
        <v/>
      </c>
      <c r="D374" s="5">
        <v>2.0</v>
      </c>
      <c r="E374" s="5" t="str">
        <f>IF(Recruiting_Data!R374="Open", TODAY() - Recruiting_Data!P374, "")</f>
        <v/>
      </c>
      <c r="F374" s="8" t="str">
        <f t="shared" si="1"/>
        <v/>
      </c>
      <c r="G374" s="5" t="b">
        <f>IF(A374="", "", IF(COUNTIF(Recruiting_Data!A:A, A374)&gt;1, TRUE, FALSE))</f>
        <v>0</v>
      </c>
      <c r="H374" s="5" t="b">
        <f>IF(A374="", "", IF(OR(AND(Recruiting_Data!N374&lt;&gt;"", Recruiting_Data!J374&lt;&gt;"", Recruiting_Data!N374&lt;Recruiting_Data!J374), AND(Recruiting_Data!M374&lt;&gt;"", Recruiting_Data!L374&lt;&gt;"", Recruiting_Data!M374&lt;Recruiting_Data!L374), AND(Recruiting_Data!L374&lt;&gt;"", Recruiting_Data!K374&lt;&gt;"", Recruiting_Data!L374&lt;Recruiting_Data!K374)), TRUE, FALSE))</f>
        <v>0</v>
      </c>
    </row>
    <row r="375">
      <c r="A375" s="5" t="str">
        <f>IF(Recruiting_Data!A375="", "", Recruiting_Data!A375)</f>
        <v>C-10374</v>
      </c>
      <c r="B375" s="5" t="str">
        <f>IF(Recruiting_Data!B375="", "", Recruiting_Data!B375)</f>
        <v>REQ-2026-0050</v>
      </c>
      <c r="C375" s="5">
        <f>IF(AND(ISNUMBER(Recruiting_Data!N375), ISNUMBER(Recruiting_Data!P375)), Recruiting_Data!N375 - Recruiting_Data!P375, "")</f>
        <v>32</v>
      </c>
      <c r="D375" s="5">
        <v>5.0</v>
      </c>
      <c r="E375" s="5" t="str">
        <f>IF(Recruiting_Data!R375="Open", TODAY() - Recruiting_Data!P375, "")</f>
        <v/>
      </c>
      <c r="F375" s="8" t="str">
        <f t="shared" si="1"/>
        <v/>
      </c>
      <c r="G375" s="5" t="b">
        <f>IF(A375="", "", IF(COUNTIF(Recruiting_Data!A:A, A375)&gt;1, TRUE, FALSE))</f>
        <v>0</v>
      </c>
      <c r="H375" s="5" t="b">
        <f>IF(A375="", "", IF(OR(AND(Recruiting_Data!N375&lt;&gt;"", Recruiting_Data!J375&lt;&gt;"", Recruiting_Data!N375&lt;Recruiting_Data!J375), AND(Recruiting_Data!M375&lt;&gt;"", Recruiting_Data!L375&lt;&gt;"", Recruiting_Data!M375&lt;Recruiting_Data!L375), AND(Recruiting_Data!L375&lt;&gt;"", Recruiting_Data!K375&lt;&gt;"", Recruiting_Data!L375&lt;Recruiting_Data!K375)), TRUE, FALSE))</f>
        <v>0</v>
      </c>
    </row>
    <row r="376">
      <c r="A376" s="5" t="str">
        <f>IF(Recruiting_Data!A376="", "", Recruiting_Data!A376)</f>
        <v>C-10375</v>
      </c>
      <c r="B376" s="5" t="str">
        <f>IF(Recruiting_Data!B376="", "", Recruiting_Data!B376)</f>
        <v>REQ-2026-0033</v>
      </c>
      <c r="C376" s="5" t="str">
        <f>IF(AND(ISNUMBER(Recruiting_Data!N376), ISNUMBER(Recruiting_Data!P376)), Recruiting_Data!N376 - Recruiting_Data!P376, "")</f>
        <v/>
      </c>
      <c r="D376" s="5">
        <v>4.0</v>
      </c>
      <c r="E376" s="5" t="str">
        <f>IF(Recruiting_Data!R376="Open", TODAY() - Recruiting_Data!P376, "")</f>
        <v/>
      </c>
      <c r="F376" s="8" t="str">
        <f t="shared" si="1"/>
        <v/>
      </c>
      <c r="G376" s="5" t="b">
        <f>IF(A376="", "", IF(COUNTIF(Recruiting_Data!A:A, A376)&gt;1, TRUE, FALSE))</f>
        <v>0</v>
      </c>
      <c r="H376" s="5" t="b">
        <f>IF(A376="", "", IF(OR(AND(Recruiting_Data!N376&lt;&gt;"", Recruiting_Data!J376&lt;&gt;"", Recruiting_Data!N376&lt;Recruiting_Data!J376), AND(Recruiting_Data!M376&lt;&gt;"", Recruiting_Data!L376&lt;&gt;"", Recruiting_Data!M376&lt;Recruiting_Data!L376), AND(Recruiting_Data!L376&lt;&gt;"", Recruiting_Data!K376&lt;&gt;"", Recruiting_Data!L376&lt;Recruiting_Data!K376)), TRUE, FALSE))</f>
        <v>0</v>
      </c>
    </row>
    <row r="377">
      <c r="A377" s="5" t="str">
        <f>IF(Recruiting_Data!A377="", "", Recruiting_Data!A377)</f>
        <v>C-10376</v>
      </c>
      <c r="B377" s="5" t="str">
        <f>IF(Recruiting_Data!B377="", "", Recruiting_Data!B377)</f>
        <v>REQ-2026-0049</v>
      </c>
      <c r="C377" s="5" t="str">
        <f>IF(AND(ISNUMBER(Recruiting_Data!N377), ISNUMBER(Recruiting_Data!P377)), Recruiting_Data!N377 - Recruiting_Data!P377, "")</f>
        <v/>
      </c>
      <c r="D377" s="5">
        <v>1.0</v>
      </c>
      <c r="E377" s="5">
        <f>IF(Recruiting_Data!R377="Open", TODAY() - Recruiting_Data!P377, "")</f>
        <v>242</v>
      </c>
      <c r="F377" s="8" t="str">
        <f t="shared" si="1"/>
        <v>60+</v>
      </c>
      <c r="G377" s="5" t="b">
        <f>IF(A377="", "", IF(COUNTIF(Recruiting_Data!A:A, A377)&gt;1, TRUE, FALSE))</f>
        <v>0</v>
      </c>
      <c r="H377" s="5" t="b">
        <f>IF(A377="", "", IF(OR(AND(Recruiting_Data!N377&lt;&gt;"", Recruiting_Data!J377&lt;&gt;"", Recruiting_Data!N377&lt;Recruiting_Data!J377), AND(Recruiting_Data!M377&lt;&gt;"", Recruiting_Data!L377&lt;&gt;"", Recruiting_Data!M377&lt;Recruiting_Data!L377), AND(Recruiting_Data!L377&lt;&gt;"", Recruiting_Data!K377&lt;&gt;"", Recruiting_Data!L377&lt;Recruiting_Data!K377)), TRUE, FALSE))</f>
        <v>0</v>
      </c>
    </row>
    <row r="378">
      <c r="A378" s="5" t="str">
        <f>IF(Recruiting_Data!A378="", "", Recruiting_Data!A378)</f>
        <v>C-10377</v>
      </c>
      <c r="B378" s="5" t="str">
        <f>IF(Recruiting_Data!B378="", "", Recruiting_Data!B378)</f>
        <v>REQ-2026-0019</v>
      </c>
      <c r="C378" s="5" t="str">
        <f>IF(AND(ISNUMBER(Recruiting_Data!N378), ISNUMBER(Recruiting_Data!P378)), Recruiting_Data!N378 - Recruiting_Data!P378, "")</f>
        <v/>
      </c>
      <c r="D378" s="5">
        <v>4.0</v>
      </c>
      <c r="E378" s="5" t="str">
        <f>IF(Recruiting_Data!R378="Open", TODAY() - Recruiting_Data!P378, "")</f>
        <v/>
      </c>
      <c r="F378" s="8" t="str">
        <f t="shared" si="1"/>
        <v/>
      </c>
      <c r="G378" s="5" t="b">
        <f>IF(A378="", "", IF(COUNTIF(Recruiting_Data!A:A, A378)&gt;1, TRUE, FALSE))</f>
        <v>0</v>
      </c>
      <c r="H378" s="5" t="b">
        <f>IF(A378="", "", IF(OR(AND(Recruiting_Data!N378&lt;&gt;"", Recruiting_Data!J378&lt;&gt;"", Recruiting_Data!N378&lt;Recruiting_Data!J378), AND(Recruiting_Data!M378&lt;&gt;"", Recruiting_Data!L378&lt;&gt;"", Recruiting_Data!M378&lt;Recruiting_Data!L378), AND(Recruiting_Data!L378&lt;&gt;"", Recruiting_Data!K378&lt;&gt;"", Recruiting_Data!L378&lt;Recruiting_Data!K378)), TRUE, FALSE))</f>
        <v>0</v>
      </c>
    </row>
    <row r="379">
      <c r="A379" s="5" t="str">
        <f>IF(Recruiting_Data!A379="", "", Recruiting_Data!A379)</f>
        <v>C-10378</v>
      </c>
      <c r="B379" s="5" t="str">
        <f>IF(Recruiting_Data!B379="", "", Recruiting_Data!B379)</f>
        <v>REQ-2026-0037</v>
      </c>
      <c r="C379" s="5">
        <f>IF(AND(ISNUMBER(Recruiting_Data!N379), ISNUMBER(Recruiting_Data!P379)), Recruiting_Data!N379 - Recruiting_Data!P379, "")</f>
        <v>48</v>
      </c>
      <c r="D379" s="5">
        <v>5.0</v>
      </c>
      <c r="E379" s="5" t="str">
        <f>IF(Recruiting_Data!R379="Open", TODAY() - Recruiting_Data!P379, "")</f>
        <v/>
      </c>
      <c r="F379" s="8" t="str">
        <f t="shared" si="1"/>
        <v/>
      </c>
      <c r="G379" s="5" t="b">
        <f>IF(A379="", "", IF(COUNTIF(Recruiting_Data!A:A, A379)&gt;1, TRUE, FALSE))</f>
        <v>0</v>
      </c>
      <c r="H379" s="5" t="b">
        <f>IF(A379="", "", IF(OR(AND(Recruiting_Data!N379&lt;&gt;"", Recruiting_Data!J379&lt;&gt;"", Recruiting_Data!N379&lt;Recruiting_Data!J379), AND(Recruiting_Data!M379&lt;&gt;"", Recruiting_Data!L379&lt;&gt;"", Recruiting_Data!M379&lt;Recruiting_Data!L379), AND(Recruiting_Data!L379&lt;&gt;"", Recruiting_Data!K379&lt;&gt;"", Recruiting_Data!L379&lt;Recruiting_Data!K379)), TRUE, FALSE))</f>
        <v>0</v>
      </c>
    </row>
    <row r="380">
      <c r="A380" s="5" t="str">
        <f>IF(Recruiting_Data!A380="", "", Recruiting_Data!A380)</f>
        <v>C-10379</v>
      </c>
      <c r="B380" s="5" t="str">
        <f>IF(Recruiting_Data!B380="", "", Recruiting_Data!B380)</f>
        <v>REQ-2026-0002</v>
      </c>
      <c r="C380" s="5" t="str">
        <f>IF(AND(ISNUMBER(Recruiting_Data!N380), ISNUMBER(Recruiting_Data!P380)), Recruiting_Data!N380 - Recruiting_Data!P380, "")</f>
        <v/>
      </c>
      <c r="D380" s="5">
        <v>4.0</v>
      </c>
      <c r="E380" s="5">
        <f>IF(Recruiting_Data!R380="Open", TODAY() - Recruiting_Data!P380, "")</f>
        <v>148</v>
      </c>
      <c r="F380" s="8" t="str">
        <f t="shared" si="1"/>
        <v>60+</v>
      </c>
      <c r="G380" s="5" t="b">
        <f>IF(A380="", "", IF(COUNTIF(Recruiting_Data!A:A, A380)&gt;1, TRUE, FALSE))</f>
        <v>0</v>
      </c>
      <c r="H380" s="5" t="b">
        <f>IF(A380="", "", IF(OR(AND(Recruiting_Data!N380&lt;&gt;"", Recruiting_Data!J380&lt;&gt;"", Recruiting_Data!N380&lt;Recruiting_Data!J380), AND(Recruiting_Data!M380&lt;&gt;"", Recruiting_Data!L380&lt;&gt;"", Recruiting_Data!M380&lt;Recruiting_Data!L380), AND(Recruiting_Data!L380&lt;&gt;"", Recruiting_Data!K380&lt;&gt;"", Recruiting_Data!L380&lt;Recruiting_Data!K380)), TRUE, FALSE))</f>
        <v>0</v>
      </c>
    </row>
    <row r="381">
      <c r="A381" s="5" t="str">
        <f>IF(Recruiting_Data!A381="", "", Recruiting_Data!A381)</f>
        <v>C-10380</v>
      </c>
      <c r="B381" s="5" t="str">
        <f>IF(Recruiting_Data!B381="", "", Recruiting_Data!B381)</f>
        <v>REQ-2026-0021</v>
      </c>
      <c r="C381" s="5" t="str">
        <f>IF(AND(ISNUMBER(Recruiting_Data!N381), ISNUMBER(Recruiting_Data!P381)), Recruiting_Data!N381 - Recruiting_Data!P381, "")</f>
        <v/>
      </c>
      <c r="D381" s="5">
        <v>2.0</v>
      </c>
      <c r="E381" s="5" t="str">
        <f>IF(Recruiting_Data!R381="Open", TODAY() - Recruiting_Data!P381, "")</f>
        <v/>
      </c>
      <c r="F381" s="8" t="str">
        <f t="shared" si="1"/>
        <v/>
      </c>
      <c r="G381" s="5" t="b">
        <f>IF(A381="", "", IF(COUNTIF(Recruiting_Data!A:A, A381)&gt;1, TRUE, FALSE))</f>
        <v>0</v>
      </c>
      <c r="H381" s="5" t="b">
        <f>IF(A381="", "", IF(OR(AND(Recruiting_Data!N381&lt;&gt;"", Recruiting_Data!J381&lt;&gt;"", Recruiting_Data!N381&lt;Recruiting_Data!J381), AND(Recruiting_Data!M381&lt;&gt;"", Recruiting_Data!L381&lt;&gt;"", Recruiting_Data!M381&lt;Recruiting_Data!L381), AND(Recruiting_Data!L381&lt;&gt;"", Recruiting_Data!K381&lt;&gt;"", Recruiting_Data!L381&lt;Recruiting_Data!K381)), TRUE, FALSE))</f>
        <v>0</v>
      </c>
    </row>
    <row r="382">
      <c r="A382" s="5" t="str">
        <f>IF(Recruiting_Data!A382="", "", Recruiting_Data!A382)</f>
        <v>C-10381</v>
      </c>
      <c r="B382" s="5" t="str">
        <f>IF(Recruiting_Data!B382="", "", Recruiting_Data!B382)</f>
        <v>REQ-2026-0044</v>
      </c>
      <c r="C382" s="5" t="str">
        <f>IF(AND(ISNUMBER(Recruiting_Data!N382), ISNUMBER(Recruiting_Data!P382)), Recruiting_Data!N382 - Recruiting_Data!P382, "")</f>
        <v/>
      </c>
      <c r="D382" s="5">
        <v>1.0</v>
      </c>
      <c r="E382" s="5" t="str">
        <f>IF(Recruiting_Data!R382="Open", TODAY() - Recruiting_Data!P382, "")</f>
        <v/>
      </c>
      <c r="F382" s="8" t="str">
        <f t="shared" si="1"/>
        <v/>
      </c>
      <c r="G382" s="5" t="b">
        <f>IF(A382="", "", IF(COUNTIF(Recruiting_Data!A:A, A382)&gt;1, TRUE, FALSE))</f>
        <v>0</v>
      </c>
      <c r="H382" s="5" t="b">
        <f>IF(A382="", "", IF(OR(AND(Recruiting_Data!N382&lt;&gt;"", Recruiting_Data!J382&lt;&gt;"", Recruiting_Data!N382&lt;Recruiting_Data!J382), AND(Recruiting_Data!M382&lt;&gt;"", Recruiting_Data!L382&lt;&gt;"", Recruiting_Data!M382&lt;Recruiting_Data!L382), AND(Recruiting_Data!L382&lt;&gt;"", Recruiting_Data!K382&lt;&gt;"", Recruiting_Data!L382&lt;Recruiting_Data!K382)), TRUE, FALSE))</f>
        <v>0</v>
      </c>
    </row>
    <row r="383">
      <c r="A383" s="5" t="str">
        <f>IF(Recruiting_Data!A383="", "", Recruiting_Data!A383)</f>
        <v>C-10382</v>
      </c>
      <c r="B383" s="5" t="str">
        <f>IF(Recruiting_Data!B383="", "", Recruiting_Data!B383)</f>
        <v>REQ-2026-0028</v>
      </c>
      <c r="C383" s="5" t="str">
        <f>IF(AND(ISNUMBER(Recruiting_Data!N383), ISNUMBER(Recruiting_Data!P383)), Recruiting_Data!N383 - Recruiting_Data!P383, "")</f>
        <v/>
      </c>
      <c r="D383" s="5">
        <v>4.0</v>
      </c>
      <c r="E383" s="5">
        <f>IF(Recruiting_Data!R383="Open", TODAY() - Recruiting_Data!P383, "")</f>
        <v>215</v>
      </c>
      <c r="F383" s="8" t="str">
        <f t="shared" si="1"/>
        <v>60+</v>
      </c>
      <c r="G383" s="5" t="b">
        <f>IF(A383="", "", IF(COUNTIF(Recruiting_Data!A:A, A383)&gt;1, TRUE, FALSE))</f>
        <v>0</v>
      </c>
      <c r="H383" s="5" t="b">
        <f>IF(A383="", "", IF(OR(AND(Recruiting_Data!N383&lt;&gt;"", Recruiting_Data!J383&lt;&gt;"", Recruiting_Data!N383&lt;Recruiting_Data!J383), AND(Recruiting_Data!M383&lt;&gt;"", Recruiting_Data!L383&lt;&gt;"", Recruiting_Data!M383&lt;Recruiting_Data!L383), AND(Recruiting_Data!L383&lt;&gt;"", Recruiting_Data!K383&lt;&gt;"", Recruiting_Data!L383&lt;Recruiting_Data!K383)), TRUE, FALSE))</f>
        <v>0</v>
      </c>
    </row>
    <row r="384">
      <c r="A384" s="5" t="str">
        <f>IF(Recruiting_Data!A384="", "", Recruiting_Data!A384)</f>
        <v>C-10383</v>
      </c>
      <c r="B384" s="5" t="str">
        <f>IF(Recruiting_Data!B384="", "", Recruiting_Data!B384)</f>
        <v>REQ-2026-0007</v>
      </c>
      <c r="C384" s="5" t="str">
        <f>IF(AND(ISNUMBER(Recruiting_Data!N384), ISNUMBER(Recruiting_Data!P384)), Recruiting_Data!N384 - Recruiting_Data!P384, "")</f>
        <v/>
      </c>
      <c r="D384" s="5">
        <v>2.0</v>
      </c>
      <c r="E384" s="5">
        <f>IF(Recruiting_Data!R384="Open", TODAY() - Recruiting_Data!P384, "")</f>
        <v>123</v>
      </c>
      <c r="F384" s="8" t="str">
        <f t="shared" si="1"/>
        <v>60+</v>
      </c>
      <c r="G384" s="5" t="b">
        <f>IF(A384="", "", IF(COUNTIF(Recruiting_Data!A:A, A384)&gt;1, TRUE, FALSE))</f>
        <v>0</v>
      </c>
      <c r="H384" s="5" t="b">
        <f>IF(A384="", "", IF(OR(AND(Recruiting_Data!N384&lt;&gt;"", Recruiting_Data!J384&lt;&gt;"", Recruiting_Data!N384&lt;Recruiting_Data!J384), AND(Recruiting_Data!M384&lt;&gt;"", Recruiting_Data!L384&lt;&gt;"", Recruiting_Data!M384&lt;Recruiting_Data!L384), AND(Recruiting_Data!L384&lt;&gt;"", Recruiting_Data!K384&lt;&gt;"", Recruiting_Data!L384&lt;Recruiting_Data!K384)), TRUE, FALSE))</f>
        <v>0</v>
      </c>
    </row>
    <row r="385">
      <c r="A385" s="5" t="str">
        <f>IF(Recruiting_Data!A385="", "", Recruiting_Data!A385)</f>
        <v>C-10384</v>
      </c>
      <c r="B385" s="5" t="str">
        <f>IF(Recruiting_Data!B385="", "", Recruiting_Data!B385)</f>
        <v>REQ-2026-0033</v>
      </c>
      <c r="C385" s="5">
        <f>IF(AND(ISNUMBER(Recruiting_Data!N385), ISNUMBER(Recruiting_Data!P385)), Recruiting_Data!N385 - Recruiting_Data!P385, "")</f>
        <v>30</v>
      </c>
      <c r="D385" s="5">
        <v>5.0</v>
      </c>
      <c r="E385" s="5" t="str">
        <f>IF(Recruiting_Data!R385="Open", TODAY() - Recruiting_Data!P385, "")</f>
        <v/>
      </c>
      <c r="F385" s="8" t="str">
        <f t="shared" si="1"/>
        <v/>
      </c>
      <c r="G385" s="5" t="b">
        <f>IF(A385="", "", IF(COUNTIF(Recruiting_Data!A:A, A385)&gt;1, TRUE, FALSE))</f>
        <v>0</v>
      </c>
      <c r="H385" s="5" t="b">
        <f>IF(A385="", "", IF(OR(AND(Recruiting_Data!N385&lt;&gt;"", Recruiting_Data!J385&lt;&gt;"", Recruiting_Data!N385&lt;Recruiting_Data!J385), AND(Recruiting_Data!M385&lt;&gt;"", Recruiting_Data!L385&lt;&gt;"", Recruiting_Data!M385&lt;Recruiting_Data!L385), AND(Recruiting_Data!L385&lt;&gt;"", Recruiting_Data!K385&lt;&gt;"", Recruiting_Data!L385&lt;Recruiting_Data!K385)), TRUE, FALSE))</f>
        <v>0</v>
      </c>
    </row>
    <row r="386">
      <c r="A386" s="5" t="str">
        <f>IF(Recruiting_Data!A386="", "", Recruiting_Data!A386)</f>
        <v>C-10385</v>
      </c>
      <c r="B386" s="5" t="str">
        <f>IF(Recruiting_Data!B386="", "", Recruiting_Data!B386)</f>
        <v>REQ-2026-0017</v>
      </c>
      <c r="C386" s="5" t="str">
        <f>IF(AND(ISNUMBER(Recruiting_Data!N386), ISNUMBER(Recruiting_Data!P386)), Recruiting_Data!N386 - Recruiting_Data!P386, "")</f>
        <v/>
      </c>
      <c r="D386" s="5">
        <v>1.0</v>
      </c>
      <c r="E386" s="5" t="str">
        <f>IF(Recruiting_Data!R386="Open", TODAY() - Recruiting_Data!P386, "")</f>
        <v/>
      </c>
      <c r="F386" s="8" t="str">
        <f t="shared" si="1"/>
        <v/>
      </c>
      <c r="G386" s="5" t="b">
        <f>IF(A386="", "", IF(COUNTIF(Recruiting_Data!A:A, A386)&gt;1, TRUE, FALSE))</f>
        <v>0</v>
      </c>
      <c r="H386" s="5" t="b">
        <f>IF(A386="", "", IF(OR(AND(Recruiting_Data!N386&lt;&gt;"", Recruiting_Data!J386&lt;&gt;"", Recruiting_Data!N386&lt;Recruiting_Data!J386), AND(Recruiting_Data!M386&lt;&gt;"", Recruiting_Data!L386&lt;&gt;"", Recruiting_Data!M386&lt;Recruiting_Data!L386), AND(Recruiting_Data!L386&lt;&gt;"", Recruiting_Data!K386&lt;&gt;"", Recruiting_Data!L386&lt;Recruiting_Data!K386)), TRUE, FALSE))</f>
        <v>0</v>
      </c>
    </row>
    <row r="387">
      <c r="A387" s="5" t="str">
        <f>IF(Recruiting_Data!A387="", "", Recruiting_Data!A387)</f>
        <v>C-10386</v>
      </c>
      <c r="B387" s="5" t="str">
        <f>IF(Recruiting_Data!B387="", "", Recruiting_Data!B387)</f>
        <v>REQ-2026-0040</v>
      </c>
      <c r="C387" s="5" t="str">
        <f>IF(AND(ISNUMBER(Recruiting_Data!N387), ISNUMBER(Recruiting_Data!P387)), Recruiting_Data!N387 - Recruiting_Data!P387, "")</f>
        <v/>
      </c>
      <c r="D387" s="5">
        <v>2.0</v>
      </c>
      <c r="E387" s="5" t="str">
        <f>IF(Recruiting_Data!R387="Open", TODAY() - Recruiting_Data!P387, "")</f>
        <v/>
      </c>
      <c r="F387" s="8" t="str">
        <f t="shared" si="1"/>
        <v/>
      </c>
      <c r="G387" s="5" t="b">
        <f>IF(A387="", "", IF(COUNTIF(Recruiting_Data!A:A, A387)&gt;1, TRUE, FALSE))</f>
        <v>0</v>
      </c>
      <c r="H387" s="5" t="b">
        <f>IF(A387="", "", IF(OR(AND(Recruiting_Data!N387&lt;&gt;"", Recruiting_Data!J387&lt;&gt;"", Recruiting_Data!N387&lt;Recruiting_Data!J387), AND(Recruiting_Data!M387&lt;&gt;"", Recruiting_Data!L387&lt;&gt;"", Recruiting_Data!M387&lt;Recruiting_Data!L387), AND(Recruiting_Data!L387&lt;&gt;"", Recruiting_Data!K387&lt;&gt;"", Recruiting_Data!L387&lt;Recruiting_Data!K387)), TRUE, FALSE))</f>
        <v>0</v>
      </c>
    </row>
    <row r="388">
      <c r="A388" s="5" t="str">
        <f>IF(Recruiting_Data!A388="", "", Recruiting_Data!A388)</f>
        <v>C-10387</v>
      </c>
      <c r="B388" s="5" t="str">
        <f>IF(Recruiting_Data!B388="", "", Recruiting_Data!B388)</f>
        <v>REQ-2026-0013</v>
      </c>
      <c r="C388" s="5" t="str">
        <f>IF(AND(ISNUMBER(Recruiting_Data!N388), ISNUMBER(Recruiting_Data!P388)), Recruiting_Data!N388 - Recruiting_Data!P388, "")</f>
        <v/>
      </c>
      <c r="D388" s="5">
        <v>4.0</v>
      </c>
      <c r="E388" s="5" t="str">
        <f>IF(Recruiting_Data!R388="Open", TODAY() - Recruiting_Data!P388, "")</f>
        <v/>
      </c>
      <c r="F388" s="8" t="str">
        <f t="shared" si="1"/>
        <v/>
      </c>
      <c r="G388" s="5" t="b">
        <f>IF(A388="", "", IF(COUNTIF(Recruiting_Data!A:A, A388)&gt;1, TRUE, FALSE))</f>
        <v>0</v>
      </c>
      <c r="H388" s="5" t="b">
        <f>IF(A388="", "", IF(OR(AND(Recruiting_Data!N388&lt;&gt;"", Recruiting_Data!J388&lt;&gt;"", Recruiting_Data!N388&lt;Recruiting_Data!J388), AND(Recruiting_Data!M388&lt;&gt;"", Recruiting_Data!L388&lt;&gt;"", Recruiting_Data!M388&lt;Recruiting_Data!L388), AND(Recruiting_Data!L388&lt;&gt;"", Recruiting_Data!K388&lt;&gt;"", Recruiting_Data!L388&lt;Recruiting_Data!K388)), TRUE, FALSE))</f>
        <v>0</v>
      </c>
    </row>
    <row r="389">
      <c r="A389" s="5" t="str">
        <f>IF(Recruiting_Data!A389="", "", Recruiting_Data!A389)</f>
        <v>C-10388</v>
      </c>
      <c r="B389" s="5" t="str">
        <f>IF(Recruiting_Data!B389="", "", Recruiting_Data!B389)</f>
        <v>REQ-2026-0008</v>
      </c>
      <c r="C389" s="5" t="str">
        <f>IF(AND(ISNUMBER(Recruiting_Data!N389), ISNUMBER(Recruiting_Data!P389)), Recruiting_Data!N389 - Recruiting_Data!P389, "")</f>
        <v/>
      </c>
      <c r="D389" s="5">
        <v>2.0</v>
      </c>
      <c r="E389" s="5" t="str">
        <f>IF(Recruiting_Data!R389="Open", TODAY() - Recruiting_Data!P389, "")</f>
        <v/>
      </c>
      <c r="F389" s="8" t="str">
        <f t="shared" si="1"/>
        <v/>
      </c>
      <c r="G389" s="5" t="b">
        <f>IF(A389="", "", IF(COUNTIF(Recruiting_Data!A:A, A389)&gt;1, TRUE, FALSE))</f>
        <v>0</v>
      </c>
      <c r="H389" s="5" t="b">
        <f>IF(A389="", "", IF(OR(AND(Recruiting_Data!N389&lt;&gt;"", Recruiting_Data!J389&lt;&gt;"", Recruiting_Data!N389&lt;Recruiting_Data!J389), AND(Recruiting_Data!M389&lt;&gt;"", Recruiting_Data!L389&lt;&gt;"", Recruiting_Data!M389&lt;Recruiting_Data!L389), AND(Recruiting_Data!L389&lt;&gt;"", Recruiting_Data!K389&lt;&gt;"", Recruiting_Data!L389&lt;Recruiting_Data!K389)), TRUE, FALSE))</f>
        <v>0</v>
      </c>
    </row>
    <row r="390">
      <c r="A390" s="5" t="str">
        <f>IF(Recruiting_Data!A390="", "", Recruiting_Data!A390)</f>
        <v>C-10389</v>
      </c>
      <c r="B390" s="5" t="str">
        <f>IF(Recruiting_Data!B390="", "", Recruiting_Data!B390)</f>
        <v>REQ-2026-0021</v>
      </c>
      <c r="C390" s="5" t="str">
        <f>IF(AND(ISNUMBER(Recruiting_Data!N390), ISNUMBER(Recruiting_Data!P390)), Recruiting_Data!N390 - Recruiting_Data!P390, "")</f>
        <v/>
      </c>
      <c r="D390" s="5">
        <v>1.0</v>
      </c>
      <c r="E390" s="5" t="str">
        <f>IF(Recruiting_Data!R390="Open", TODAY() - Recruiting_Data!P390, "")</f>
        <v/>
      </c>
      <c r="F390" s="8" t="str">
        <f t="shared" si="1"/>
        <v/>
      </c>
      <c r="G390" s="5" t="b">
        <f>IF(A390="", "", IF(COUNTIF(Recruiting_Data!A:A, A390)&gt;1, TRUE, FALSE))</f>
        <v>0</v>
      </c>
      <c r="H390" s="5" t="b">
        <f>IF(A390="", "", IF(OR(AND(Recruiting_Data!N390&lt;&gt;"", Recruiting_Data!J390&lt;&gt;"", Recruiting_Data!N390&lt;Recruiting_Data!J390), AND(Recruiting_Data!M390&lt;&gt;"", Recruiting_Data!L390&lt;&gt;"", Recruiting_Data!M390&lt;Recruiting_Data!L390), AND(Recruiting_Data!L390&lt;&gt;"", Recruiting_Data!K390&lt;&gt;"", Recruiting_Data!L390&lt;Recruiting_Data!K390)), TRUE, FALSE))</f>
        <v>0</v>
      </c>
    </row>
    <row r="391">
      <c r="A391" s="5" t="str">
        <f>IF(Recruiting_Data!A391="", "", Recruiting_Data!A391)</f>
        <v>C-10390</v>
      </c>
      <c r="B391" s="5" t="str">
        <f>IF(Recruiting_Data!B391="", "", Recruiting_Data!B391)</f>
        <v>REQ-2026-0034</v>
      </c>
      <c r="C391" s="5" t="str">
        <f>IF(AND(ISNUMBER(Recruiting_Data!N391), ISNUMBER(Recruiting_Data!P391)), Recruiting_Data!N391 - Recruiting_Data!P391, "")</f>
        <v/>
      </c>
      <c r="D391" s="5">
        <v>1.0</v>
      </c>
      <c r="E391" s="5" t="str">
        <f>IF(Recruiting_Data!R391="Open", TODAY() - Recruiting_Data!P391, "")</f>
        <v/>
      </c>
      <c r="F391" s="8" t="str">
        <f t="shared" si="1"/>
        <v/>
      </c>
      <c r="G391" s="5" t="b">
        <f>IF(A391="", "", IF(COUNTIF(Recruiting_Data!A:A, A391)&gt;1, TRUE, FALSE))</f>
        <v>0</v>
      </c>
      <c r="H391" s="5" t="b">
        <f>IF(A391="", "", IF(OR(AND(Recruiting_Data!N391&lt;&gt;"", Recruiting_Data!J391&lt;&gt;"", Recruiting_Data!N391&lt;Recruiting_Data!J391), AND(Recruiting_Data!M391&lt;&gt;"", Recruiting_Data!L391&lt;&gt;"", Recruiting_Data!M391&lt;Recruiting_Data!L391), AND(Recruiting_Data!L391&lt;&gt;"", Recruiting_Data!K391&lt;&gt;"", Recruiting_Data!L391&lt;Recruiting_Data!K391)), TRUE, FALSE))</f>
        <v>0</v>
      </c>
    </row>
    <row r="392">
      <c r="A392" s="5" t="str">
        <f>IF(Recruiting_Data!A392="", "", Recruiting_Data!A392)</f>
        <v>C-10391</v>
      </c>
      <c r="B392" s="5" t="str">
        <f>IF(Recruiting_Data!B392="", "", Recruiting_Data!B392)</f>
        <v>REQ-2026-0039</v>
      </c>
      <c r="C392" s="5" t="str">
        <f>IF(AND(ISNUMBER(Recruiting_Data!N392), ISNUMBER(Recruiting_Data!P392)), Recruiting_Data!N392 - Recruiting_Data!P392, "")</f>
        <v/>
      </c>
      <c r="D392" s="5">
        <v>3.0</v>
      </c>
      <c r="E392" s="5">
        <f>IF(Recruiting_Data!R392="Open", TODAY() - Recruiting_Data!P392, "")</f>
        <v>219</v>
      </c>
      <c r="F392" s="8" t="str">
        <f t="shared" si="1"/>
        <v>60+</v>
      </c>
      <c r="G392" s="5" t="b">
        <f>IF(A392="", "", IF(COUNTIF(Recruiting_Data!A:A, A392)&gt;1, TRUE, FALSE))</f>
        <v>0</v>
      </c>
      <c r="H392" s="5" t="b">
        <f>IF(A392="", "", IF(OR(AND(Recruiting_Data!N392&lt;&gt;"", Recruiting_Data!J392&lt;&gt;"", Recruiting_Data!N392&lt;Recruiting_Data!J392), AND(Recruiting_Data!M392&lt;&gt;"", Recruiting_Data!L392&lt;&gt;"", Recruiting_Data!M392&lt;Recruiting_Data!L392), AND(Recruiting_Data!L392&lt;&gt;"", Recruiting_Data!K392&lt;&gt;"", Recruiting_Data!L392&lt;Recruiting_Data!K392)), TRUE, FALSE))</f>
        <v>0</v>
      </c>
    </row>
    <row r="393">
      <c r="A393" s="5" t="str">
        <f>IF(Recruiting_Data!A393="", "", Recruiting_Data!A393)</f>
        <v>C-10392</v>
      </c>
      <c r="B393" s="5" t="str">
        <f>IF(Recruiting_Data!B393="", "", Recruiting_Data!B393)</f>
        <v>REQ-2026-0050</v>
      </c>
      <c r="C393" s="5">
        <f>IF(AND(ISNUMBER(Recruiting_Data!N393), ISNUMBER(Recruiting_Data!P393)), Recruiting_Data!N393 - Recruiting_Data!P393, "")</f>
        <v>45</v>
      </c>
      <c r="D393" s="5">
        <v>5.0</v>
      </c>
      <c r="E393" s="5" t="str">
        <f>IF(Recruiting_Data!R393="Open", TODAY() - Recruiting_Data!P393, "")</f>
        <v/>
      </c>
      <c r="F393" s="8" t="str">
        <f t="shared" si="1"/>
        <v/>
      </c>
      <c r="G393" s="5" t="b">
        <f>IF(A393="", "", IF(COUNTIF(Recruiting_Data!A:A, A393)&gt;1, TRUE, FALSE))</f>
        <v>0</v>
      </c>
      <c r="H393" s="5" t="b">
        <f>IF(A393="", "", IF(OR(AND(Recruiting_Data!N393&lt;&gt;"", Recruiting_Data!J393&lt;&gt;"", Recruiting_Data!N393&lt;Recruiting_Data!J393), AND(Recruiting_Data!M393&lt;&gt;"", Recruiting_Data!L393&lt;&gt;"", Recruiting_Data!M393&lt;Recruiting_Data!L393), AND(Recruiting_Data!L393&lt;&gt;"", Recruiting_Data!K393&lt;&gt;"", Recruiting_Data!L393&lt;Recruiting_Data!K393)), TRUE, FALSE))</f>
        <v>0</v>
      </c>
    </row>
    <row r="394">
      <c r="A394" s="5" t="str">
        <f>IF(Recruiting_Data!A394="", "", Recruiting_Data!A394)</f>
        <v>C-10393</v>
      </c>
      <c r="B394" s="5" t="str">
        <f>IF(Recruiting_Data!B394="", "", Recruiting_Data!B394)</f>
        <v>REQ-2026-0022</v>
      </c>
      <c r="C394" s="5">
        <f>IF(AND(ISNUMBER(Recruiting_Data!N394), ISNUMBER(Recruiting_Data!P394)), Recruiting_Data!N394 - Recruiting_Data!P394, "")</f>
        <v>50</v>
      </c>
      <c r="D394" s="5">
        <v>5.0</v>
      </c>
      <c r="E394" s="5" t="str">
        <f>IF(Recruiting_Data!R394="Open", TODAY() - Recruiting_Data!P394, "")</f>
        <v/>
      </c>
      <c r="F394" s="8" t="str">
        <f t="shared" si="1"/>
        <v/>
      </c>
      <c r="G394" s="5" t="b">
        <f>IF(A394="", "", IF(COUNTIF(Recruiting_Data!A:A, A394)&gt;1, TRUE, FALSE))</f>
        <v>0</v>
      </c>
      <c r="H394" s="5" t="b">
        <f>IF(A394="", "", IF(OR(AND(Recruiting_Data!N394&lt;&gt;"", Recruiting_Data!J394&lt;&gt;"", Recruiting_Data!N394&lt;Recruiting_Data!J394), AND(Recruiting_Data!M394&lt;&gt;"", Recruiting_Data!L394&lt;&gt;"", Recruiting_Data!M394&lt;Recruiting_Data!L394), AND(Recruiting_Data!L394&lt;&gt;"", Recruiting_Data!K394&lt;&gt;"", Recruiting_Data!L394&lt;Recruiting_Data!K394)), TRUE, FALSE))</f>
        <v>0</v>
      </c>
    </row>
    <row r="395">
      <c r="A395" s="5" t="str">
        <f>IF(Recruiting_Data!A395="", "", Recruiting_Data!A395)</f>
        <v>C-10394</v>
      </c>
      <c r="B395" s="5" t="str">
        <f>IF(Recruiting_Data!B395="", "", Recruiting_Data!B395)</f>
        <v>REQ-2026-0021</v>
      </c>
      <c r="C395" s="5" t="str">
        <f>IF(AND(ISNUMBER(Recruiting_Data!N395), ISNUMBER(Recruiting_Data!P395)), Recruiting_Data!N395 - Recruiting_Data!P395, "")</f>
        <v/>
      </c>
      <c r="D395" s="5">
        <v>2.0</v>
      </c>
      <c r="E395" s="5" t="str">
        <f>IF(Recruiting_Data!R395="Open", TODAY() - Recruiting_Data!P395, "")</f>
        <v/>
      </c>
      <c r="F395" s="8" t="str">
        <f t="shared" si="1"/>
        <v/>
      </c>
      <c r="G395" s="5" t="b">
        <f>IF(A395="", "", IF(COUNTIF(Recruiting_Data!A:A, A395)&gt;1, TRUE, FALSE))</f>
        <v>0</v>
      </c>
      <c r="H395" s="5" t="b">
        <f>IF(A395="", "", IF(OR(AND(Recruiting_Data!N395&lt;&gt;"", Recruiting_Data!J395&lt;&gt;"", Recruiting_Data!N395&lt;Recruiting_Data!J395), AND(Recruiting_Data!M395&lt;&gt;"", Recruiting_Data!L395&lt;&gt;"", Recruiting_Data!M395&lt;Recruiting_Data!L395), AND(Recruiting_Data!L395&lt;&gt;"", Recruiting_Data!K395&lt;&gt;"", Recruiting_Data!L395&lt;Recruiting_Data!K395)), TRUE, FALSE))</f>
        <v>0</v>
      </c>
    </row>
    <row r="396">
      <c r="A396" s="5" t="str">
        <f>IF(Recruiting_Data!A396="", "", Recruiting_Data!A396)</f>
        <v>C-10395</v>
      </c>
      <c r="B396" s="5" t="str">
        <f>IF(Recruiting_Data!B396="", "", Recruiting_Data!B396)</f>
        <v>REQ-2026-0026</v>
      </c>
      <c r="C396" s="5" t="str">
        <f>IF(AND(ISNUMBER(Recruiting_Data!N396), ISNUMBER(Recruiting_Data!P396)), Recruiting_Data!N396 - Recruiting_Data!P396, "")</f>
        <v/>
      </c>
      <c r="D396" s="5">
        <v>4.0</v>
      </c>
      <c r="E396" s="5" t="str">
        <f>IF(Recruiting_Data!R396="Open", TODAY() - Recruiting_Data!P396, "")</f>
        <v/>
      </c>
      <c r="F396" s="8" t="str">
        <f t="shared" si="1"/>
        <v/>
      </c>
      <c r="G396" s="5" t="b">
        <f>IF(A396="", "", IF(COUNTIF(Recruiting_Data!A:A, A396)&gt;1, TRUE, FALSE))</f>
        <v>0</v>
      </c>
      <c r="H396" s="5" t="b">
        <f>IF(A396="", "", IF(OR(AND(Recruiting_Data!N396&lt;&gt;"", Recruiting_Data!J396&lt;&gt;"", Recruiting_Data!N396&lt;Recruiting_Data!J396), AND(Recruiting_Data!M396&lt;&gt;"", Recruiting_Data!L396&lt;&gt;"", Recruiting_Data!M396&lt;Recruiting_Data!L396), AND(Recruiting_Data!L396&lt;&gt;"", Recruiting_Data!K396&lt;&gt;"", Recruiting_Data!L396&lt;Recruiting_Data!K396)), TRUE, FALSE))</f>
        <v>0</v>
      </c>
    </row>
    <row r="397">
      <c r="A397" s="5" t="str">
        <f>IF(Recruiting_Data!A397="", "", Recruiting_Data!A397)</f>
        <v>C-10396</v>
      </c>
      <c r="B397" s="5" t="str">
        <f>IF(Recruiting_Data!B397="", "", Recruiting_Data!B397)</f>
        <v>REQ-2026-0001</v>
      </c>
      <c r="C397" s="5" t="str">
        <f>IF(AND(ISNUMBER(Recruiting_Data!N397), ISNUMBER(Recruiting_Data!P397)), Recruiting_Data!N397 - Recruiting_Data!P397, "")</f>
        <v/>
      </c>
      <c r="D397" s="5">
        <v>1.0</v>
      </c>
      <c r="E397" s="5" t="str">
        <f>IF(Recruiting_Data!R397="Open", TODAY() - Recruiting_Data!P397, "")</f>
        <v/>
      </c>
      <c r="F397" s="8" t="str">
        <f t="shared" si="1"/>
        <v/>
      </c>
      <c r="G397" s="5" t="b">
        <f>IF(A397="", "", IF(COUNTIF(Recruiting_Data!A:A, A397)&gt;1, TRUE, FALSE))</f>
        <v>0</v>
      </c>
      <c r="H397" s="5" t="b">
        <f>IF(A397="", "", IF(OR(AND(Recruiting_Data!N397&lt;&gt;"", Recruiting_Data!J397&lt;&gt;"", Recruiting_Data!N397&lt;Recruiting_Data!J397), AND(Recruiting_Data!M397&lt;&gt;"", Recruiting_Data!L397&lt;&gt;"", Recruiting_Data!M397&lt;Recruiting_Data!L397), AND(Recruiting_Data!L397&lt;&gt;"", Recruiting_Data!K397&lt;&gt;"", Recruiting_Data!L397&lt;Recruiting_Data!K397)), TRUE, FALSE))</f>
        <v>0</v>
      </c>
    </row>
    <row r="398">
      <c r="A398" s="5" t="str">
        <f>IF(Recruiting_Data!A398="", "", Recruiting_Data!A398)</f>
        <v>C-10397</v>
      </c>
      <c r="B398" s="5" t="str">
        <f>IF(Recruiting_Data!B398="", "", Recruiting_Data!B398)</f>
        <v>REQ-2026-0040</v>
      </c>
      <c r="C398" s="5">
        <f>IF(AND(ISNUMBER(Recruiting_Data!N398), ISNUMBER(Recruiting_Data!P398)), Recruiting_Data!N398 - Recruiting_Data!P398, "")</f>
        <v>46</v>
      </c>
      <c r="D398" s="5">
        <v>5.0</v>
      </c>
      <c r="E398" s="5" t="str">
        <f>IF(Recruiting_Data!R398="Open", TODAY() - Recruiting_Data!P398, "")</f>
        <v/>
      </c>
      <c r="F398" s="8" t="str">
        <f t="shared" si="1"/>
        <v/>
      </c>
      <c r="G398" s="5" t="b">
        <f>IF(A398="", "", IF(COUNTIF(Recruiting_Data!A:A, A398)&gt;1, TRUE, FALSE))</f>
        <v>0</v>
      </c>
      <c r="H398" s="5" t="b">
        <f>IF(A398="", "", IF(OR(AND(Recruiting_Data!N398&lt;&gt;"", Recruiting_Data!J398&lt;&gt;"", Recruiting_Data!N398&lt;Recruiting_Data!J398), AND(Recruiting_Data!M398&lt;&gt;"", Recruiting_Data!L398&lt;&gt;"", Recruiting_Data!M398&lt;Recruiting_Data!L398), AND(Recruiting_Data!L398&lt;&gt;"", Recruiting_Data!K398&lt;&gt;"", Recruiting_Data!L398&lt;Recruiting_Data!K398)), TRUE, FALSE))</f>
        <v>0</v>
      </c>
    </row>
    <row r="399">
      <c r="A399" s="5" t="str">
        <f>IF(Recruiting_Data!A399="", "", Recruiting_Data!A399)</f>
        <v>C-10398</v>
      </c>
      <c r="B399" s="5" t="str">
        <f>IF(Recruiting_Data!B399="", "", Recruiting_Data!B399)</f>
        <v>REQ-2026-0047</v>
      </c>
      <c r="C399" s="5" t="str">
        <f>IF(AND(ISNUMBER(Recruiting_Data!N399), ISNUMBER(Recruiting_Data!P399)), Recruiting_Data!N399 - Recruiting_Data!P399, "")</f>
        <v/>
      </c>
      <c r="D399" s="5">
        <v>1.0</v>
      </c>
      <c r="E399" s="5">
        <f>IF(Recruiting_Data!R399="Open", TODAY() - Recruiting_Data!P399, "")</f>
        <v>224</v>
      </c>
      <c r="F399" s="8" t="str">
        <f t="shared" si="1"/>
        <v>60+</v>
      </c>
      <c r="G399" s="5" t="b">
        <f>IF(A399="", "", IF(COUNTIF(Recruiting_Data!A:A, A399)&gt;1, TRUE, FALSE))</f>
        <v>0</v>
      </c>
      <c r="H399" s="5" t="b">
        <f>IF(A399="", "", IF(OR(AND(Recruiting_Data!N399&lt;&gt;"", Recruiting_Data!J399&lt;&gt;"", Recruiting_Data!N399&lt;Recruiting_Data!J399), AND(Recruiting_Data!M399&lt;&gt;"", Recruiting_Data!L399&lt;&gt;"", Recruiting_Data!M399&lt;Recruiting_Data!L399), AND(Recruiting_Data!L399&lt;&gt;"", Recruiting_Data!K399&lt;&gt;"", Recruiting_Data!L399&lt;Recruiting_Data!K399)), TRUE, FALSE))</f>
        <v>0</v>
      </c>
    </row>
    <row r="400">
      <c r="A400" s="5" t="str">
        <f>IF(Recruiting_Data!A400="", "", Recruiting_Data!A400)</f>
        <v>C-10399</v>
      </c>
      <c r="B400" s="5" t="str">
        <f>IF(Recruiting_Data!B400="", "", Recruiting_Data!B400)</f>
        <v>REQ-2026-0033</v>
      </c>
      <c r="C400" s="5">
        <f>IF(AND(ISNUMBER(Recruiting_Data!N400), ISNUMBER(Recruiting_Data!P400)), Recruiting_Data!N400 - Recruiting_Data!P400, "")</f>
        <v>38</v>
      </c>
      <c r="D400" s="5">
        <v>5.0</v>
      </c>
      <c r="E400" s="5" t="str">
        <f>IF(Recruiting_Data!R400="Open", TODAY() - Recruiting_Data!P400, "")</f>
        <v/>
      </c>
      <c r="F400" s="8" t="str">
        <f t="shared" si="1"/>
        <v/>
      </c>
      <c r="G400" s="5" t="b">
        <f>IF(A400="", "", IF(COUNTIF(Recruiting_Data!A:A, A400)&gt;1, TRUE, FALSE))</f>
        <v>0</v>
      </c>
      <c r="H400" s="5" t="b">
        <f>IF(A400="", "", IF(OR(AND(Recruiting_Data!N400&lt;&gt;"", Recruiting_Data!J400&lt;&gt;"", Recruiting_Data!N400&lt;Recruiting_Data!J400), AND(Recruiting_Data!M400&lt;&gt;"", Recruiting_Data!L400&lt;&gt;"", Recruiting_Data!M400&lt;Recruiting_Data!L400), AND(Recruiting_Data!L400&lt;&gt;"", Recruiting_Data!K400&lt;&gt;"", Recruiting_Data!L400&lt;Recruiting_Data!K400)), TRUE, FALSE))</f>
        <v>0</v>
      </c>
    </row>
    <row r="401">
      <c r="A401" s="5" t="str">
        <f>IF(Recruiting_Data!A401="", "", Recruiting_Data!A401)</f>
        <v>C-10400</v>
      </c>
      <c r="B401" s="5" t="str">
        <f>IF(Recruiting_Data!B401="", "", Recruiting_Data!B401)</f>
        <v>REQ-2026-0003</v>
      </c>
      <c r="C401" s="5" t="str">
        <f>IF(AND(ISNUMBER(Recruiting_Data!N401), ISNUMBER(Recruiting_Data!P401)), Recruiting_Data!N401 - Recruiting_Data!P401, "")</f>
        <v/>
      </c>
      <c r="D401" s="5">
        <v>2.0</v>
      </c>
      <c r="E401" s="5" t="str">
        <f>IF(Recruiting_Data!R401="Open", TODAY() - Recruiting_Data!P401, "")</f>
        <v/>
      </c>
      <c r="F401" s="8" t="str">
        <f t="shared" si="1"/>
        <v/>
      </c>
      <c r="G401" s="5" t="b">
        <f>IF(A401="", "", IF(COUNTIF(Recruiting_Data!A:A, A401)&gt;1, TRUE, FALSE))</f>
        <v>0</v>
      </c>
      <c r="H401" s="5" t="b">
        <f>IF(A401="", "", IF(OR(AND(Recruiting_Data!N401&lt;&gt;"", Recruiting_Data!J401&lt;&gt;"", Recruiting_Data!N401&lt;Recruiting_Data!J401), AND(Recruiting_Data!M401&lt;&gt;"", Recruiting_Data!L401&lt;&gt;"", Recruiting_Data!M401&lt;Recruiting_Data!L401), AND(Recruiting_Data!L401&lt;&gt;"", Recruiting_Data!K401&lt;&gt;"", Recruiting_Data!L401&lt;Recruiting_Data!K401)), TRUE, FALSE))</f>
        <v>0</v>
      </c>
    </row>
    <row r="402">
      <c r="A402" s="5" t="str">
        <f>IF(Recruiting_Data!A402="", "", Recruiting_Data!A402)</f>
        <v/>
      </c>
      <c r="B402" s="5" t="str">
        <f>IF(Recruiting_Data!B402="", "", Recruiting_Data!B402)</f>
        <v/>
      </c>
      <c r="C402" s="5" t="str">
        <f>IF(AND(ISNUMBER(Recruiting_Data!N402), ISNUMBER(Recruiting_Data!P402)), Recruiting_Data!N402 - Recruiting_Data!P402, "")</f>
        <v/>
      </c>
      <c r="E402" s="5" t="str">
        <f>IF(Recruiting_Data!R402="Open", TODAY() - Recruiting_Data!P402, "")</f>
        <v/>
      </c>
      <c r="F402" s="8" t="str">
        <f t="shared" si="1"/>
        <v/>
      </c>
      <c r="G402" s="5" t="str">
        <f>IF(A402="", "", IF(COUNTIF(Recruiting_Data!A:A, A402)&gt;1, TRUE, FALSE))</f>
        <v/>
      </c>
      <c r="H402" s="5" t="str">
        <f>IF(A402="", "", IF(OR(AND(Recruiting_Data!N402&lt;&gt;"", Recruiting_Data!J402&lt;&gt;"", Recruiting_Data!N402&lt;Recruiting_Data!J402), AND(Recruiting_Data!M402&lt;&gt;"", Recruiting_Data!L402&lt;&gt;"", Recruiting_Data!M402&lt;Recruiting_Data!L402), AND(Recruiting_Data!L402&lt;&gt;"", Recruiting_Data!K402&lt;&gt;"", Recruiting_Data!L402&lt;Recruiting_Data!K402)), TRUE, FALSE))</f>
        <v/>
      </c>
    </row>
    <row r="403">
      <c r="A403" s="5" t="str">
        <f>IF(Recruiting_Data!A403="", "", Recruiting_Data!A403)</f>
        <v/>
      </c>
      <c r="B403" s="5" t="str">
        <f>IF(Recruiting_Data!B403="", "", Recruiting_Data!B403)</f>
        <v/>
      </c>
      <c r="C403" s="5" t="str">
        <f>IF(AND(ISNUMBER(Recruiting_Data!N403), ISNUMBER(Recruiting_Data!P403)), Recruiting_Data!N403 - Recruiting_Data!P403, "")</f>
        <v/>
      </c>
      <c r="E403" s="5" t="str">
        <f>IF(Recruiting_Data!R403="Open", TODAY() - Recruiting_Data!P403, "")</f>
        <v/>
      </c>
      <c r="F403" s="8" t="str">
        <f t="shared" si="1"/>
        <v/>
      </c>
      <c r="G403" s="5" t="str">
        <f>IF(A403="", "", IF(COUNTIF(Recruiting_Data!A:A, A403)&gt;1, TRUE, FALSE))</f>
        <v/>
      </c>
      <c r="H403" s="5" t="str">
        <f>IF(A403="", "", IF(OR(AND(Recruiting_Data!N403&lt;&gt;"", Recruiting_Data!J403&lt;&gt;"", Recruiting_Data!N403&lt;Recruiting_Data!J403), AND(Recruiting_Data!M403&lt;&gt;"", Recruiting_Data!L403&lt;&gt;"", Recruiting_Data!M403&lt;Recruiting_Data!L403), AND(Recruiting_Data!L403&lt;&gt;"", Recruiting_Data!K403&lt;&gt;"", Recruiting_Data!L403&lt;Recruiting_Data!K403)), TRUE, FALSE))</f>
        <v/>
      </c>
    </row>
    <row r="404">
      <c r="A404" s="5" t="str">
        <f>IF(Recruiting_Data!A404="", "", Recruiting_Data!A404)</f>
        <v/>
      </c>
      <c r="B404" s="5" t="str">
        <f>IF(Recruiting_Data!B404="", "", Recruiting_Data!B404)</f>
        <v/>
      </c>
      <c r="C404" s="5" t="str">
        <f>IF(AND(ISNUMBER(Recruiting_Data!N404), ISNUMBER(Recruiting_Data!P404)), Recruiting_Data!N404 - Recruiting_Data!P404, "")</f>
        <v/>
      </c>
      <c r="E404" s="5" t="str">
        <f>IF(Recruiting_Data!R404="Open", TODAY() - Recruiting_Data!P404, "")</f>
        <v/>
      </c>
      <c r="F404" s="8" t="str">
        <f t="shared" si="1"/>
        <v/>
      </c>
      <c r="G404" s="5" t="str">
        <f>IF(A404="", "", IF(COUNTIF(Recruiting_Data!A:A, A404)&gt;1, TRUE, FALSE))</f>
        <v/>
      </c>
      <c r="H404" s="5" t="str">
        <f>IF(A404="", "", IF(OR(AND(Recruiting_Data!N404&lt;&gt;"", Recruiting_Data!J404&lt;&gt;"", Recruiting_Data!N404&lt;Recruiting_Data!J404), AND(Recruiting_Data!M404&lt;&gt;"", Recruiting_Data!L404&lt;&gt;"", Recruiting_Data!M404&lt;Recruiting_Data!L404), AND(Recruiting_Data!L404&lt;&gt;"", Recruiting_Data!K404&lt;&gt;"", Recruiting_Data!L404&lt;Recruiting_Data!K404)), TRUE, FALSE))</f>
        <v/>
      </c>
    </row>
    <row r="405">
      <c r="A405" s="5" t="str">
        <f>IF(Recruiting_Data!A405="", "", Recruiting_Data!A405)</f>
        <v/>
      </c>
      <c r="B405" s="5" t="str">
        <f>IF(Recruiting_Data!B405="", "", Recruiting_Data!B405)</f>
        <v/>
      </c>
      <c r="C405" s="5" t="str">
        <f>IF(AND(ISNUMBER(Recruiting_Data!N405), ISNUMBER(Recruiting_Data!P405)), Recruiting_Data!N405 - Recruiting_Data!P405, "")</f>
        <v/>
      </c>
      <c r="E405" s="5" t="str">
        <f>IF(Recruiting_Data!R405="Open", TODAY() - Recruiting_Data!P405, "")</f>
        <v/>
      </c>
      <c r="F405" s="8" t="str">
        <f t="shared" si="1"/>
        <v/>
      </c>
      <c r="G405" s="5" t="str">
        <f>IF(A405="", "", IF(COUNTIF(Recruiting_Data!A:A, A405)&gt;1, TRUE, FALSE))</f>
        <v/>
      </c>
      <c r="H405" s="5" t="str">
        <f>IF(A405="", "", IF(OR(AND(Recruiting_Data!N405&lt;&gt;"", Recruiting_Data!J405&lt;&gt;"", Recruiting_Data!N405&lt;Recruiting_Data!J405), AND(Recruiting_Data!M405&lt;&gt;"", Recruiting_Data!L405&lt;&gt;"", Recruiting_Data!M405&lt;Recruiting_Data!L405), AND(Recruiting_Data!L405&lt;&gt;"", Recruiting_Data!K405&lt;&gt;"", Recruiting_Data!L405&lt;Recruiting_Data!K405)), TRUE, FALSE))</f>
        <v/>
      </c>
    </row>
    <row r="406">
      <c r="A406" s="5" t="str">
        <f>IF(Recruiting_Data!A406="", "", Recruiting_Data!A406)</f>
        <v/>
      </c>
      <c r="B406" s="5" t="str">
        <f>IF(Recruiting_Data!B406="", "", Recruiting_Data!B406)</f>
        <v/>
      </c>
      <c r="C406" s="5" t="str">
        <f>IF(AND(ISNUMBER(Recruiting_Data!N406), ISNUMBER(Recruiting_Data!P406)), Recruiting_Data!N406 - Recruiting_Data!P406, "")</f>
        <v/>
      </c>
      <c r="E406" s="5" t="str">
        <f>IF(Recruiting_Data!R406="Open", TODAY() - Recruiting_Data!P406, "")</f>
        <v/>
      </c>
      <c r="F406" s="8" t="str">
        <f t="shared" si="1"/>
        <v/>
      </c>
      <c r="G406" s="5" t="str">
        <f>IF(A406="", "", IF(COUNTIF(Recruiting_Data!A:A, A406)&gt;1, TRUE, FALSE))</f>
        <v/>
      </c>
      <c r="H406" s="5" t="str">
        <f>IF(A406="", "", IF(OR(AND(Recruiting_Data!N406&lt;&gt;"", Recruiting_Data!J406&lt;&gt;"", Recruiting_Data!N406&lt;Recruiting_Data!J406), AND(Recruiting_Data!M406&lt;&gt;"", Recruiting_Data!L406&lt;&gt;"", Recruiting_Data!M406&lt;Recruiting_Data!L406), AND(Recruiting_Data!L406&lt;&gt;"", Recruiting_Data!K406&lt;&gt;"", Recruiting_Data!L406&lt;Recruiting_Data!K406)), TRUE, FALSE))</f>
        <v/>
      </c>
    </row>
    <row r="407">
      <c r="A407" s="5" t="str">
        <f>IF(Recruiting_Data!A407="", "", Recruiting_Data!A407)</f>
        <v/>
      </c>
      <c r="B407" s="5" t="str">
        <f>IF(Recruiting_Data!B407="", "", Recruiting_Data!B407)</f>
        <v/>
      </c>
      <c r="C407" s="5" t="str">
        <f>IF(AND(ISNUMBER(Recruiting_Data!N407), ISNUMBER(Recruiting_Data!P407)), Recruiting_Data!N407 - Recruiting_Data!P407, "")</f>
        <v/>
      </c>
      <c r="E407" s="5" t="str">
        <f>IF(Recruiting_Data!R407="Open", TODAY() - Recruiting_Data!P407, "")</f>
        <v/>
      </c>
      <c r="F407" s="8" t="str">
        <f t="shared" si="1"/>
        <v/>
      </c>
      <c r="G407" s="5" t="str">
        <f>IF(A407="", "", IF(COUNTIF(Recruiting_Data!A:A, A407)&gt;1, TRUE, FALSE))</f>
        <v/>
      </c>
      <c r="H407" s="5" t="str">
        <f>IF(A407="", "", IF(OR(AND(Recruiting_Data!N407&lt;&gt;"", Recruiting_Data!J407&lt;&gt;"", Recruiting_Data!N407&lt;Recruiting_Data!J407), AND(Recruiting_Data!M407&lt;&gt;"", Recruiting_Data!L407&lt;&gt;"", Recruiting_Data!M407&lt;Recruiting_Data!L407), AND(Recruiting_Data!L407&lt;&gt;"", Recruiting_Data!K407&lt;&gt;"", Recruiting_Data!L407&lt;Recruiting_Data!K407)), TRUE, FALSE))</f>
        <v/>
      </c>
    </row>
    <row r="408">
      <c r="A408" s="5" t="str">
        <f>IF(Recruiting_Data!A408="", "", Recruiting_Data!A408)</f>
        <v/>
      </c>
      <c r="B408" s="5" t="str">
        <f>IF(Recruiting_Data!B408="", "", Recruiting_Data!B408)</f>
        <v/>
      </c>
      <c r="C408" s="5" t="str">
        <f>IF(AND(ISNUMBER(Recruiting_Data!N408), ISNUMBER(Recruiting_Data!P408)), Recruiting_Data!N408 - Recruiting_Data!P408, "")</f>
        <v/>
      </c>
      <c r="E408" s="5" t="str">
        <f>IF(Recruiting_Data!R408="Open", TODAY() - Recruiting_Data!P408, "")</f>
        <v/>
      </c>
      <c r="F408" s="8" t="str">
        <f t="shared" si="1"/>
        <v/>
      </c>
      <c r="G408" s="5" t="str">
        <f>IF(A408="", "", IF(COUNTIF(Recruiting_Data!A:A, A408)&gt;1, TRUE, FALSE))</f>
        <v/>
      </c>
      <c r="H408" s="5" t="str">
        <f>IF(A408="", "", IF(OR(AND(Recruiting_Data!N408&lt;&gt;"", Recruiting_Data!J408&lt;&gt;"", Recruiting_Data!N408&lt;Recruiting_Data!J408), AND(Recruiting_Data!M408&lt;&gt;"", Recruiting_Data!L408&lt;&gt;"", Recruiting_Data!M408&lt;Recruiting_Data!L408), AND(Recruiting_Data!L408&lt;&gt;"", Recruiting_Data!K408&lt;&gt;"", Recruiting_Data!L408&lt;Recruiting_Data!K408)), TRUE, FALSE))</f>
        <v/>
      </c>
    </row>
    <row r="409">
      <c r="A409" s="5" t="str">
        <f>IF(Recruiting_Data!A409="", "", Recruiting_Data!A409)</f>
        <v/>
      </c>
      <c r="B409" s="5" t="str">
        <f>IF(Recruiting_Data!B409="", "", Recruiting_Data!B409)</f>
        <v/>
      </c>
      <c r="C409" s="5" t="str">
        <f>IF(AND(ISNUMBER(Recruiting_Data!N409), ISNUMBER(Recruiting_Data!P409)), Recruiting_Data!N409 - Recruiting_Data!P409, "")</f>
        <v/>
      </c>
      <c r="E409" s="5" t="str">
        <f>IF(Recruiting_Data!R409="Open", TODAY() - Recruiting_Data!P409, "")</f>
        <v/>
      </c>
      <c r="F409" s="8" t="str">
        <f t="shared" si="1"/>
        <v/>
      </c>
      <c r="G409" s="5" t="str">
        <f>IF(A409="", "", IF(COUNTIF(Recruiting_Data!A:A, A409)&gt;1, TRUE, FALSE))</f>
        <v/>
      </c>
      <c r="H409" s="5" t="str">
        <f>IF(A409="", "", IF(OR(AND(Recruiting_Data!N409&lt;&gt;"", Recruiting_Data!J409&lt;&gt;"", Recruiting_Data!N409&lt;Recruiting_Data!J409), AND(Recruiting_Data!M409&lt;&gt;"", Recruiting_Data!L409&lt;&gt;"", Recruiting_Data!M409&lt;Recruiting_Data!L409), AND(Recruiting_Data!L409&lt;&gt;"", Recruiting_Data!K409&lt;&gt;"", Recruiting_Data!L409&lt;Recruiting_Data!K409)), TRUE, FALSE))</f>
        <v/>
      </c>
    </row>
    <row r="410">
      <c r="A410" s="5" t="str">
        <f>IF(Recruiting_Data!A410="", "", Recruiting_Data!A410)</f>
        <v/>
      </c>
      <c r="B410" s="5" t="str">
        <f>IF(Recruiting_Data!B410="", "", Recruiting_Data!B410)</f>
        <v/>
      </c>
      <c r="C410" s="5" t="str">
        <f>IF(AND(ISNUMBER(Recruiting_Data!N410), ISNUMBER(Recruiting_Data!P410)), Recruiting_Data!N410 - Recruiting_Data!P410, "")</f>
        <v/>
      </c>
      <c r="E410" s="5" t="str">
        <f>IF(Recruiting_Data!R410="Open", TODAY() - Recruiting_Data!P410, "")</f>
        <v/>
      </c>
      <c r="F410" s="8" t="str">
        <f t="shared" si="1"/>
        <v/>
      </c>
      <c r="G410" s="5" t="str">
        <f>IF(A410="", "", IF(COUNTIF(Recruiting_Data!A:A, A410)&gt;1, TRUE, FALSE))</f>
        <v/>
      </c>
      <c r="H410" s="5" t="str">
        <f>IF(A410="", "", IF(OR(AND(Recruiting_Data!N410&lt;&gt;"", Recruiting_Data!J410&lt;&gt;"", Recruiting_Data!N410&lt;Recruiting_Data!J410), AND(Recruiting_Data!M410&lt;&gt;"", Recruiting_Data!L410&lt;&gt;"", Recruiting_Data!M410&lt;Recruiting_Data!L410), AND(Recruiting_Data!L410&lt;&gt;"", Recruiting_Data!K410&lt;&gt;"", Recruiting_Data!L410&lt;Recruiting_Data!K410)), TRUE, FALSE))</f>
        <v/>
      </c>
    </row>
    <row r="411">
      <c r="A411" s="5" t="str">
        <f>IF(Recruiting_Data!A411="", "", Recruiting_Data!A411)</f>
        <v/>
      </c>
      <c r="B411" s="5" t="str">
        <f>IF(Recruiting_Data!B411="", "", Recruiting_Data!B411)</f>
        <v/>
      </c>
      <c r="C411" s="5" t="str">
        <f>IF(AND(ISNUMBER(Recruiting_Data!N411), ISNUMBER(Recruiting_Data!P411)), Recruiting_Data!N411 - Recruiting_Data!P411, "")</f>
        <v/>
      </c>
      <c r="E411" s="5" t="str">
        <f>IF(Recruiting_Data!R411="Open", TODAY() - Recruiting_Data!P411, "")</f>
        <v/>
      </c>
      <c r="F411" s="8" t="str">
        <f t="shared" si="1"/>
        <v/>
      </c>
      <c r="G411" s="5" t="str">
        <f>IF(A411="", "", IF(COUNTIF(Recruiting_Data!A:A, A411)&gt;1, TRUE, FALSE))</f>
        <v/>
      </c>
      <c r="H411" s="5" t="str">
        <f>IF(A411="", "", IF(OR(AND(Recruiting_Data!N411&lt;&gt;"", Recruiting_Data!J411&lt;&gt;"", Recruiting_Data!N411&lt;Recruiting_Data!J411), AND(Recruiting_Data!M411&lt;&gt;"", Recruiting_Data!L411&lt;&gt;"", Recruiting_Data!M411&lt;Recruiting_Data!L411), AND(Recruiting_Data!L411&lt;&gt;"", Recruiting_Data!K411&lt;&gt;"", Recruiting_Data!L411&lt;Recruiting_Data!K411)), TRUE, FALSE))</f>
        <v/>
      </c>
    </row>
    <row r="412">
      <c r="A412" s="5" t="str">
        <f>IF(Recruiting_Data!A412="", "", Recruiting_Data!A412)</f>
        <v/>
      </c>
      <c r="B412" s="5" t="str">
        <f>IF(Recruiting_Data!B412="", "", Recruiting_Data!B412)</f>
        <v/>
      </c>
      <c r="C412" s="5" t="str">
        <f>IF(AND(ISNUMBER(Recruiting_Data!N412), ISNUMBER(Recruiting_Data!P412)), Recruiting_Data!N412 - Recruiting_Data!P412, "")</f>
        <v/>
      </c>
      <c r="E412" s="5" t="str">
        <f>IF(Recruiting_Data!R412="Open", TODAY() - Recruiting_Data!P412, "")</f>
        <v/>
      </c>
      <c r="F412" s="8" t="str">
        <f t="shared" si="1"/>
        <v/>
      </c>
      <c r="G412" s="5" t="str">
        <f>IF(A412="", "", IF(COUNTIF(Recruiting_Data!A:A, A412)&gt;1, TRUE, FALSE))</f>
        <v/>
      </c>
      <c r="H412" s="5" t="str">
        <f>IF(A412="", "", IF(OR(AND(Recruiting_Data!N412&lt;&gt;"", Recruiting_Data!J412&lt;&gt;"", Recruiting_Data!N412&lt;Recruiting_Data!J412), AND(Recruiting_Data!M412&lt;&gt;"", Recruiting_Data!L412&lt;&gt;"", Recruiting_Data!M412&lt;Recruiting_Data!L412), AND(Recruiting_Data!L412&lt;&gt;"", Recruiting_Data!K412&lt;&gt;"", Recruiting_Data!L412&lt;Recruiting_Data!K412)), TRUE, FALSE))</f>
        <v/>
      </c>
    </row>
    <row r="413">
      <c r="A413" s="5" t="str">
        <f>IF(Recruiting_Data!A413="", "", Recruiting_Data!A413)</f>
        <v/>
      </c>
      <c r="B413" s="5" t="str">
        <f>IF(Recruiting_Data!B413="", "", Recruiting_Data!B413)</f>
        <v/>
      </c>
      <c r="C413" s="5" t="str">
        <f>IF(AND(ISNUMBER(Recruiting_Data!N413), ISNUMBER(Recruiting_Data!P413)), Recruiting_Data!N413 - Recruiting_Data!P413, "")</f>
        <v/>
      </c>
      <c r="E413" s="5" t="str">
        <f>IF(Recruiting_Data!R413="Open", TODAY() - Recruiting_Data!P413, "")</f>
        <v/>
      </c>
      <c r="F413" s="8" t="str">
        <f t="shared" si="1"/>
        <v/>
      </c>
      <c r="G413" s="5" t="str">
        <f>IF(A413="", "", IF(COUNTIF(Recruiting_Data!A:A, A413)&gt;1, TRUE, FALSE))</f>
        <v/>
      </c>
      <c r="H413" s="5" t="str">
        <f>IF(A413="", "", IF(OR(AND(Recruiting_Data!N413&lt;&gt;"", Recruiting_Data!J413&lt;&gt;"", Recruiting_Data!N413&lt;Recruiting_Data!J413), AND(Recruiting_Data!M413&lt;&gt;"", Recruiting_Data!L413&lt;&gt;"", Recruiting_Data!M413&lt;Recruiting_Data!L413), AND(Recruiting_Data!L413&lt;&gt;"", Recruiting_Data!K413&lt;&gt;"", Recruiting_Data!L413&lt;Recruiting_Data!K413)), TRUE, FALSE))</f>
        <v/>
      </c>
    </row>
    <row r="414">
      <c r="A414" s="5" t="str">
        <f>IF(Recruiting_Data!A414="", "", Recruiting_Data!A414)</f>
        <v/>
      </c>
      <c r="B414" s="5" t="str">
        <f>IF(Recruiting_Data!B414="", "", Recruiting_Data!B414)</f>
        <v/>
      </c>
      <c r="C414" s="5" t="str">
        <f>IF(AND(ISNUMBER(Recruiting_Data!N414), ISNUMBER(Recruiting_Data!P414)), Recruiting_Data!N414 - Recruiting_Data!P414, "")</f>
        <v/>
      </c>
      <c r="E414" s="5" t="str">
        <f>IF(Recruiting_Data!R414="Open", TODAY() - Recruiting_Data!P414, "")</f>
        <v/>
      </c>
      <c r="F414" s="8" t="str">
        <f t="shared" si="1"/>
        <v/>
      </c>
      <c r="G414" s="5" t="str">
        <f>IF(A414="", "", IF(COUNTIF(Recruiting_Data!A:A, A414)&gt;1, TRUE, FALSE))</f>
        <v/>
      </c>
      <c r="H414" s="5" t="str">
        <f>IF(A414="", "", IF(OR(AND(Recruiting_Data!N414&lt;&gt;"", Recruiting_Data!J414&lt;&gt;"", Recruiting_Data!N414&lt;Recruiting_Data!J414), AND(Recruiting_Data!M414&lt;&gt;"", Recruiting_Data!L414&lt;&gt;"", Recruiting_Data!M414&lt;Recruiting_Data!L414), AND(Recruiting_Data!L414&lt;&gt;"", Recruiting_Data!K414&lt;&gt;"", Recruiting_Data!L414&lt;Recruiting_Data!K414)), TRUE, FALSE))</f>
        <v/>
      </c>
    </row>
    <row r="415">
      <c r="A415" s="5" t="str">
        <f>IF(Recruiting_Data!A415="", "", Recruiting_Data!A415)</f>
        <v/>
      </c>
      <c r="B415" s="5" t="str">
        <f>IF(Recruiting_Data!B415="", "", Recruiting_Data!B415)</f>
        <v/>
      </c>
      <c r="C415" s="5" t="str">
        <f>IF(AND(ISNUMBER(Recruiting_Data!N415), ISNUMBER(Recruiting_Data!P415)), Recruiting_Data!N415 - Recruiting_Data!P415, "")</f>
        <v/>
      </c>
      <c r="E415" s="5" t="str">
        <f>IF(Recruiting_Data!R415="Open", TODAY() - Recruiting_Data!P415, "")</f>
        <v/>
      </c>
      <c r="F415" s="8" t="str">
        <f t="shared" si="1"/>
        <v/>
      </c>
      <c r="G415" s="5" t="str">
        <f>IF(A415="", "", IF(COUNTIF(Recruiting_Data!A:A, A415)&gt;1, TRUE, FALSE))</f>
        <v/>
      </c>
      <c r="H415" s="5" t="str">
        <f>IF(A415="", "", IF(OR(AND(Recruiting_Data!N415&lt;&gt;"", Recruiting_Data!J415&lt;&gt;"", Recruiting_Data!N415&lt;Recruiting_Data!J415), AND(Recruiting_Data!M415&lt;&gt;"", Recruiting_Data!L415&lt;&gt;"", Recruiting_Data!M415&lt;Recruiting_Data!L415), AND(Recruiting_Data!L415&lt;&gt;"", Recruiting_Data!K415&lt;&gt;"", Recruiting_Data!L415&lt;Recruiting_Data!K415)), TRUE, FALSE))</f>
        <v/>
      </c>
    </row>
    <row r="416">
      <c r="A416" s="5" t="str">
        <f>IF(Recruiting_Data!A416="", "", Recruiting_Data!A416)</f>
        <v/>
      </c>
      <c r="B416" s="5" t="str">
        <f>IF(Recruiting_Data!B416="", "", Recruiting_Data!B416)</f>
        <v/>
      </c>
      <c r="C416" s="5" t="str">
        <f>IF(AND(ISNUMBER(Recruiting_Data!N416), ISNUMBER(Recruiting_Data!P416)), Recruiting_Data!N416 - Recruiting_Data!P416, "")</f>
        <v/>
      </c>
      <c r="E416" s="5" t="str">
        <f>IF(Recruiting_Data!R416="Open", TODAY() - Recruiting_Data!P416, "")</f>
        <v/>
      </c>
      <c r="F416" s="8" t="str">
        <f t="shared" si="1"/>
        <v/>
      </c>
      <c r="G416" s="5" t="str">
        <f>IF(A416="", "", IF(COUNTIF(Recruiting_Data!A:A, A416)&gt;1, TRUE, FALSE))</f>
        <v/>
      </c>
      <c r="H416" s="5" t="str">
        <f>IF(A416="", "", IF(OR(AND(Recruiting_Data!N416&lt;&gt;"", Recruiting_Data!J416&lt;&gt;"", Recruiting_Data!N416&lt;Recruiting_Data!J416), AND(Recruiting_Data!M416&lt;&gt;"", Recruiting_Data!L416&lt;&gt;"", Recruiting_Data!M416&lt;Recruiting_Data!L416), AND(Recruiting_Data!L416&lt;&gt;"", Recruiting_Data!K416&lt;&gt;"", Recruiting_Data!L416&lt;Recruiting_Data!K416)), TRUE, FALSE))</f>
        <v/>
      </c>
    </row>
    <row r="417">
      <c r="A417" s="5" t="str">
        <f>IF(Recruiting_Data!A417="", "", Recruiting_Data!A417)</f>
        <v/>
      </c>
      <c r="B417" s="5" t="str">
        <f>IF(Recruiting_Data!B417="", "", Recruiting_Data!B417)</f>
        <v/>
      </c>
      <c r="C417" s="5" t="str">
        <f>IF(AND(ISNUMBER(Recruiting_Data!N417), ISNUMBER(Recruiting_Data!P417)), Recruiting_Data!N417 - Recruiting_Data!P417, "")</f>
        <v/>
      </c>
      <c r="E417" s="5" t="str">
        <f>IF(Recruiting_Data!R417="Open", TODAY() - Recruiting_Data!P417, "")</f>
        <v/>
      </c>
      <c r="F417" s="8" t="str">
        <f t="shared" si="1"/>
        <v/>
      </c>
      <c r="G417" s="5" t="str">
        <f>IF(A417="", "", IF(COUNTIF(Recruiting_Data!A:A, A417)&gt;1, TRUE, FALSE))</f>
        <v/>
      </c>
      <c r="H417" s="5" t="str">
        <f>IF(A417="", "", IF(OR(AND(Recruiting_Data!N417&lt;&gt;"", Recruiting_Data!J417&lt;&gt;"", Recruiting_Data!N417&lt;Recruiting_Data!J417), AND(Recruiting_Data!M417&lt;&gt;"", Recruiting_Data!L417&lt;&gt;"", Recruiting_Data!M417&lt;Recruiting_Data!L417), AND(Recruiting_Data!L417&lt;&gt;"", Recruiting_Data!K417&lt;&gt;"", Recruiting_Data!L417&lt;Recruiting_Data!K417)), TRUE, FALSE))</f>
        <v/>
      </c>
    </row>
    <row r="418">
      <c r="A418" s="5" t="str">
        <f>IF(Recruiting_Data!A418="", "", Recruiting_Data!A418)</f>
        <v/>
      </c>
      <c r="B418" s="5" t="str">
        <f>IF(Recruiting_Data!B418="", "", Recruiting_Data!B418)</f>
        <v/>
      </c>
      <c r="C418" s="5" t="str">
        <f>IF(AND(ISNUMBER(Recruiting_Data!N418), ISNUMBER(Recruiting_Data!P418)), Recruiting_Data!N418 - Recruiting_Data!P418, "")</f>
        <v/>
      </c>
      <c r="E418" s="5" t="str">
        <f>IF(Recruiting_Data!R418="Open", TODAY() - Recruiting_Data!P418, "")</f>
        <v/>
      </c>
      <c r="F418" s="8" t="str">
        <f t="shared" si="1"/>
        <v/>
      </c>
      <c r="G418" s="5" t="str">
        <f>IF(A418="", "", IF(COUNTIF(Recruiting_Data!A:A, A418)&gt;1, TRUE, FALSE))</f>
        <v/>
      </c>
      <c r="H418" s="5" t="str">
        <f>IF(A418="", "", IF(OR(AND(Recruiting_Data!N418&lt;&gt;"", Recruiting_Data!J418&lt;&gt;"", Recruiting_Data!N418&lt;Recruiting_Data!J418), AND(Recruiting_Data!M418&lt;&gt;"", Recruiting_Data!L418&lt;&gt;"", Recruiting_Data!M418&lt;Recruiting_Data!L418), AND(Recruiting_Data!L418&lt;&gt;"", Recruiting_Data!K418&lt;&gt;"", Recruiting_Data!L418&lt;Recruiting_Data!K418)), TRUE, FALSE))</f>
        <v/>
      </c>
    </row>
    <row r="419">
      <c r="A419" s="5" t="str">
        <f>IF(Recruiting_Data!A419="", "", Recruiting_Data!A419)</f>
        <v/>
      </c>
      <c r="B419" s="5" t="str">
        <f>IF(Recruiting_Data!B419="", "", Recruiting_Data!B419)</f>
        <v/>
      </c>
      <c r="C419" s="5" t="str">
        <f>IF(AND(ISNUMBER(Recruiting_Data!N419), ISNUMBER(Recruiting_Data!P419)), Recruiting_Data!N419 - Recruiting_Data!P419, "")</f>
        <v/>
      </c>
      <c r="E419" s="5" t="str">
        <f>IF(Recruiting_Data!R419="Open", TODAY() - Recruiting_Data!P419, "")</f>
        <v/>
      </c>
      <c r="F419" s="8" t="str">
        <f t="shared" si="1"/>
        <v/>
      </c>
      <c r="G419" s="5" t="str">
        <f>IF(A419="", "", IF(COUNTIF(Recruiting_Data!A:A, A419)&gt;1, TRUE, FALSE))</f>
        <v/>
      </c>
      <c r="H419" s="5" t="str">
        <f>IF(A419="", "", IF(OR(AND(Recruiting_Data!N419&lt;&gt;"", Recruiting_Data!J419&lt;&gt;"", Recruiting_Data!N419&lt;Recruiting_Data!J419), AND(Recruiting_Data!M419&lt;&gt;"", Recruiting_Data!L419&lt;&gt;"", Recruiting_Data!M419&lt;Recruiting_Data!L419), AND(Recruiting_Data!L419&lt;&gt;"", Recruiting_Data!K419&lt;&gt;"", Recruiting_Data!L419&lt;Recruiting_Data!K419)), TRUE, FALSE))</f>
        <v/>
      </c>
    </row>
    <row r="420">
      <c r="A420" s="5" t="str">
        <f>IF(Recruiting_Data!A420="", "", Recruiting_Data!A420)</f>
        <v/>
      </c>
      <c r="B420" s="5" t="str">
        <f>IF(Recruiting_Data!B420="", "", Recruiting_Data!B420)</f>
        <v/>
      </c>
      <c r="C420" s="5" t="str">
        <f>IF(AND(ISNUMBER(Recruiting_Data!N420), ISNUMBER(Recruiting_Data!P420)), Recruiting_Data!N420 - Recruiting_Data!P420, "")</f>
        <v/>
      </c>
      <c r="E420" s="5" t="str">
        <f>IF(Recruiting_Data!R420="Open", TODAY() - Recruiting_Data!P420, "")</f>
        <v/>
      </c>
      <c r="F420" s="8" t="str">
        <f t="shared" si="1"/>
        <v/>
      </c>
      <c r="G420" s="5" t="str">
        <f>IF(A420="", "", IF(COUNTIF(Recruiting_Data!A:A, A420)&gt;1, TRUE, FALSE))</f>
        <v/>
      </c>
      <c r="H420" s="5" t="str">
        <f>IF(A420="", "", IF(OR(AND(Recruiting_Data!N420&lt;&gt;"", Recruiting_Data!J420&lt;&gt;"", Recruiting_Data!N420&lt;Recruiting_Data!J420), AND(Recruiting_Data!M420&lt;&gt;"", Recruiting_Data!L420&lt;&gt;"", Recruiting_Data!M420&lt;Recruiting_Data!L420), AND(Recruiting_Data!L420&lt;&gt;"", Recruiting_Data!K420&lt;&gt;"", Recruiting_Data!L420&lt;Recruiting_Data!K420)), TRUE, FALSE))</f>
        <v/>
      </c>
    </row>
    <row r="421">
      <c r="A421" s="5" t="str">
        <f>IF(Recruiting_Data!A421="", "", Recruiting_Data!A421)</f>
        <v/>
      </c>
      <c r="B421" s="5" t="str">
        <f>IF(Recruiting_Data!B421="", "", Recruiting_Data!B421)</f>
        <v/>
      </c>
      <c r="C421" s="5" t="str">
        <f>IF(AND(ISNUMBER(Recruiting_Data!N421), ISNUMBER(Recruiting_Data!P421)), Recruiting_Data!N421 - Recruiting_Data!P421, "")</f>
        <v/>
      </c>
      <c r="E421" s="5" t="str">
        <f>IF(Recruiting_Data!R421="Open", TODAY() - Recruiting_Data!P421, "")</f>
        <v/>
      </c>
      <c r="F421" s="8" t="str">
        <f t="shared" si="1"/>
        <v/>
      </c>
      <c r="G421" s="5" t="str">
        <f>IF(A421="", "", IF(COUNTIF(Recruiting_Data!A:A, A421)&gt;1, TRUE, FALSE))</f>
        <v/>
      </c>
      <c r="H421" s="5" t="str">
        <f>IF(A421="", "", IF(OR(AND(Recruiting_Data!N421&lt;&gt;"", Recruiting_Data!J421&lt;&gt;"", Recruiting_Data!N421&lt;Recruiting_Data!J421), AND(Recruiting_Data!M421&lt;&gt;"", Recruiting_Data!L421&lt;&gt;"", Recruiting_Data!M421&lt;Recruiting_Data!L421), AND(Recruiting_Data!L421&lt;&gt;"", Recruiting_Data!K421&lt;&gt;"", Recruiting_Data!L421&lt;Recruiting_Data!K421)), TRUE, FALSE))</f>
        <v/>
      </c>
    </row>
    <row r="422">
      <c r="A422" s="5" t="str">
        <f>IF(Recruiting_Data!A422="", "", Recruiting_Data!A422)</f>
        <v/>
      </c>
      <c r="B422" s="5" t="str">
        <f>IF(Recruiting_Data!B422="", "", Recruiting_Data!B422)</f>
        <v/>
      </c>
      <c r="C422" s="5" t="str">
        <f>IF(AND(ISNUMBER(Recruiting_Data!N422), ISNUMBER(Recruiting_Data!P422)), Recruiting_Data!N422 - Recruiting_Data!P422, "")</f>
        <v/>
      </c>
      <c r="E422" s="5" t="str">
        <f>IF(Recruiting_Data!R422="Open", TODAY() - Recruiting_Data!P422, "")</f>
        <v/>
      </c>
      <c r="F422" s="8" t="str">
        <f t="shared" si="1"/>
        <v/>
      </c>
      <c r="G422" s="5" t="str">
        <f>IF(A422="", "", IF(COUNTIF(Recruiting_Data!A:A, A422)&gt;1, TRUE, FALSE))</f>
        <v/>
      </c>
      <c r="H422" s="5" t="str">
        <f>IF(A422="", "", IF(OR(AND(Recruiting_Data!N422&lt;&gt;"", Recruiting_Data!J422&lt;&gt;"", Recruiting_Data!N422&lt;Recruiting_Data!J422), AND(Recruiting_Data!M422&lt;&gt;"", Recruiting_Data!L422&lt;&gt;"", Recruiting_Data!M422&lt;Recruiting_Data!L422), AND(Recruiting_Data!L422&lt;&gt;"", Recruiting_Data!K422&lt;&gt;"", Recruiting_Data!L422&lt;Recruiting_Data!K422)), TRUE, FALSE))</f>
        <v/>
      </c>
    </row>
    <row r="423">
      <c r="A423" s="5" t="str">
        <f>IF(Recruiting_Data!A423="", "", Recruiting_Data!A423)</f>
        <v/>
      </c>
      <c r="B423" s="5" t="str">
        <f>IF(Recruiting_Data!B423="", "", Recruiting_Data!B423)</f>
        <v/>
      </c>
      <c r="C423" s="5" t="str">
        <f>IF(AND(ISNUMBER(Recruiting_Data!N423), ISNUMBER(Recruiting_Data!P423)), Recruiting_Data!N423 - Recruiting_Data!P423, "")</f>
        <v/>
      </c>
      <c r="E423" s="5" t="str">
        <f>IF(Recruiting_Data!R423="Open", TODAY() - Recruiting_Data!P423, "")</f>
        <v/>
      </c>
      <c r="F423" s="8" t="str">
        <f t="shared" si="1"/>
        <v/>
      </c>
      <c r="G423" s="5" t="str">
        <f>IF(A423="", "", IF(COUNTIF(Recruiting_Data!A:A, A423)&gt;1, TRUE, FALSE))</f>
        <v/>
      </c>
      <c r="H423" s="5" t="str">
        <f>IF(A423="", "", IF(OR(AND(Recruiting_Data!N423&lt;&gt;"", Recruiting_Data!J423&lt;&gt;"", Recruiting_Data!N423&lt;Recruiting_Data!J423), AND(Recruiting_Data!M423&lt;&gt;"", Recruiting_Data!L423&lt;&gt;"", Recruiting_Data!M423&lt;Recruiting_Data!L423), AND(Recruiting_Data!L423&lt;&gt;"", Recruiting_Data!K423&lt;&gt;"", Recruiting_Data!L423&lt;Recruiting_Data!K423)), TRUE, FALSE))</f>
        <v/>
      </c>
    </row>
    <row r="424">
      <c r="A424" s="5" t="str">
        <f>IF(Recruiting_Data!A424="", "", Recruiting_Data!A424)</f>
        <v/>
      </c>
      <c r="B424" s="5" t="str">
        <f>IF(Recruiting_Data!B424="", "", Recruiting_Data!B424)</f>
        <v/>
      </c>
      <c r="C424" s="5" t="str">
        <f>IF(AND(ISNUMBER(Recruiting_Data!N424), ISNUMBER(Recruiting_Data!P424)), Recruiting_Data!N424 - Recruiting_Data!P424, "")</f>
        <v/>
      </c>
      <c r="E424" s="5" t="str">
        <f>IF(Recruiting_Data!R424="Open", TODAY() - Recruiting_Data!P424, "")</f>
        <v/>
      </c>
      <c r="F424" s="8" t="str">
        <f t="shared" si="1"/>
        <v/>
      </c>
      <c r="G424" s="5" t="str">
        <f>IF(A424="", "", IF(COUNTIF(Recruiting_Data!A:A, A424)&gt;1, TRUE, FALSE))</f>
        <v/>
      </c>
      <c r="H424" s="5" t="str">
        <f>IF(A424="", "", IF(OR(AND(Recruiting_Data!N424&lt;&gt;"", Recruiting_Data!J424&lt;&gt;"", Recruiting_Data!N424&lt;Recruiting_Data!J424), AND(Recruiting_Data!M424&lt;&gt;"", Recruiting_Data!L424&lt;&gt;"", Recruiting_Data!M424&lt;Recruiting_Data!L424), AND(Recruiting_Data!L424&lt;&gt;"", Recruiting_Data!K424&lt;&gt;"", Recruiting_Data!L424&lt;Recruiting_Data!K424)), TRUE, FALSE))</f>
        <v/>
      </c>
    </row>
    <row r="425">
      <c r="A425" s="5" t="str">
        <f>IF(Recruiting_Data!A425="", "", Recruiting_Data!A425)</f>
        <v/>
      </c>
      <c r="B425" s="5" t="str">
        <f>IF(Recruiting_Data!B425="", "", Recruiting_Data!B425)</f>
        <v/>
      </c>
      <c r="C425" s="5" t="str">
        <f>IF(AND(ISNUMBER(Recruiting_Data!N425), ISNUMBER(Recruiting_Data!P425)), Recruiting_Data!N425 - Recruiting_Data!P425, "")</f>
        <v/>
      </c>
      <c r="E425" s="5" t="str">
        <f>IF(Recruiting_Data!R425="Open", TODAY() - Recruiting_Data!P425, "")</f>
        <v/>
      </c>
      <c r="F425" s="8" t="str">
        <f t="shared" si="1"/>
        <v/>
      </c>
      <c r="G425" s="5" t="str">
        <f>IF(A425="", "", IF(COUNTIF(Recruiting_Data!A:A, A425)&gt;1, TRUE, FALSE))</f>
        <v/>
      </c>
      <c r="H425" s="5" t="str">
        <f>IF(A425="", "", IF(OR(AND(Recruiting_Data!N425&lt;&gt;"", Recruiting_Data!J425&lt;&gt;"", Recruiting_Data!N425&lt;Recruiting_Data!J425), AND(Recruiting_Data!M425&lt;&gt;"", Recruiting_Data!L425&lt;&gt;"", Recruiting_Data!M425&lt;Recruiting_Data!L425), AND(Recruiting_Data!L425&lt;&gt;"", Recruiting_Data!K425&lt;&gt;"", Recruiting_Data!L425&lt;Recruiting_Data!K425)), TRUE, FALSE))</f>
        <v/>
      </c>
    </row>
    <row r="426">
      <c r="A426" s="5" t="str">
        <f>IF(Recruiting_Data!A426="", "", Recruiting_Data!A426)</f>
        <v/>
      </c>
      <c r="B426" s="5" t="str">
        <f>IF(Recruiting_Data!B426="", "", Recruiting_Data!B426)</f>
        <v/>
      </c>
      <c r="C426" s="5" t="str">
        <f>IF(AND(ISNUMBER(Recruiting_Data!N426), ISNUMBER(Recruiting_Data!P426)), Recruiting_Data!N426 - Recruiting_Data!P426, "")</f>
        <v/>
      </c>
      <c r="E426" s="5" t="str">
        <f>IF(Recruiting_Data!R426="Open", TODAY() - Recruiting_Data!P426, "")</f>
        <v/>
      </c>
      <c r="F426" s="8" t="str">
        <f t="shared" si="1"/>
        <v/>
      </c>
      <c r="G426" s="5" t="str">
        <f>IF(A426="", "", IF(COUNTIF(Recruiting_Data!A:A, A426)&gt;1, TRUE, FALSE))</f>
        <v/>
      </c>
      <c r="H426" s="5" t="str">
        <f>IF(A426="", "", IF(OR(AND(Recruiting_Data!N426&lt;&gt;"", Recruiting_Data!J426&lt;&gt;"", Recruiting_Data!N426&lt;Recruiting_Data!J426), AND(Recruiting_Data!M426&lt;&gt;"", Recruiting_Data!L426&lt;&gt;"", Recruiting_Data!M426&lt;Recruiting_Data!L426), AND(Recruiting_Data!L426&lt;&gt;"", Recruiting_Data!K426&lt;&gt;"", Recruiting_Data!L426&lt;Recruiting_Data!K426)), TRUE, FALSE))</f>
        <v/>
      </c>
    </row>
    <row r="427">
      <c r="A427" s="5" t="str">
        <f>IF(Recruiting_Data!A427="", "", Recruiting_Data!A427)</f>
        <v/>
      </c>
      <c r="B427" s="5" t="str">
        <f>IF(Recruiting_Data!B427="", "", Recruiting_Data!B427)</f>
        <v/>
      </c>
      <c r="C427" s="5" t="str">
        <f>IF(AND(ISNUMBER(Recruiting_Data!N427), ISNUMBER(Recruiting_Data!P427)), Recruiting_Data!N427 - Recruiting_Data!P427, "")</f>
        <v/>
      </c>
      <c r="E427" s="5" t="str">
        <f>IF(Recruiting_Data!R427="Open", TODAY() - Recruiting_Data!P427, "")</f>
        <v/>
      </c>
      <c r="F427" s="8" t="str">
        <f t="shared" si="1"/>
        <v/>
      </c>
      <c r="G427" s="5" t="str">
        <f>IF(A427="", "", IF(COUNTIF(Recruiting_Data!A:A, A427)&gt;1, TRUE, FALSE))</f>
        <v/>
      </c>
      <c r="H427" s="5" t="str">
        <f>IF(A427="", "", IF(OR(AND(Recruiting_Data!N427&lt;&gt;"", Recruiting_Data!J427&lt;&gt;"", Recruiting_Data!N427&lt;Recruiting_Data!J427), AND(Recruiting_Data!M427&lt;&gt;"", Recruiting_Data!L427&lt;&gt;"", Recruiting_Data!M427&lt;Recruiting_Data!L427), AND(Recruiting_Data!L427&lt;&gt;"", Recruiting_Data!K427&lt;&gt;"", Recruiting_Data!L427&lt;Recruiting_Data!K427)), TRUE, FALSE))</f>
        <v/>
      </c>
    </row>
    <row r="428">
      <c r="A428" s="5" t="str">
        <f>IF(Recruiting_Data!A428="", "", Recruiting_Data!A428)</f>
        <v/>
      </c>
      <c r="B428" s="5" t="str">
        <f>IF(Recruiting_Data!B428="", "", Recruiting_Data!B428)</f>
        <v/>
      </c>
      <c r="C428" s="5" t="str">
        <f>IF(AND(ISNUMBER(Recruiting_Data!N428), ISNUMBER(Recruiting_Data!P428)), Recruiting_Data!N428 - Recruiting_Data!P428, "")</f>
        <v/>
      </c>
      <c r="E428" s="5" t="str">
        <f>IF(Recruiting_Data!R428="Open", TODAY() - Recruiting_Data!P428, "")</f>
        <v/>
      </c>
      <c r="F428" s="8" t="str">
        <f t="shared" si="1"/>
        <v/>
      </c>
      <c r="G428" s="5" t="str">
        <f>IF(A428="", "", IF(COUNTIF(Recruiting_Data!A:A, A428)&gt;1, TRUE, FALSE))</f>
        <v/>
      </c>
      <c r="H428" s="5" t="str">
        <f>IF(A428="", "", IF(OR(AND(Recruiting_Data!N428&lt;&gt;"", Recruiting_Data!J428&lt;&gt;"", Recruiting_Data!N428&lt;Recruiting_Data!J428), AND(Recruiting_Data!M428&lt;&gt;"", Recruiting_Data!L428&lt;&gt;"", Recruiting_Data!M428&lt;Recruiting_Data!L428), AND(Recruiting_Data!L428&lt;&gt;"", Recruiting_Data!K428&lt;&gt;"", Recruiting_Data!L428&lt;Recruiting_Data!K428)), TRUE, FALSE))</f>
        <v/>
      </c>
    </row>
    <row r="429">
      <c r="A429" s="5" t="str">
        <f>IF(Recruiting_Data!A429="", "", Recruiting_Data!A429)</f>
        <v/>
      </c>
      <c r="B429" s="5" t="str">
        <f>IF(Recruiting_Data!B429="", "", Recruiting_Data!B429)</f>
        <v/>
      </c>
      <c r="C429" s="5" t="str">
        <f>IF(AND(ISNUMBER(Recruiting_Data!N429), ISNUMBER(Recruiting_Data!P429)), Recruiting_Data!N429 - Recruiting_Data!P429, "")</f>
        <v/>
      </c>
      <c r="E429" s="5" t="str">
        <f>IF(Recruiting_Data!R429="Open", TODAY() - Recruiting_Data!P429, "")</f>
        <v/>
      </c>
      <c r="F429" s="8" t="str">
        <f t="shared" si="1"/>
        <v/>
      </c>
      <c r="G429" s="5" t="str">
        <f>IF(A429="", "", IF(COUNTIF(Recruiting_Data!A:A, A429)&gt;1, TRUE, FALSE))</f>
        <v/>
      </c>
      <c r="H429" s="5" t="str">
        <f>IF(A429="", "", IF(OR(AND(Recruiting_Data!N429&lt;&gt;"", Recruiting_Data!J429&lt;&gt;"", Recruiting_Data!N429&lt;Recruiting_Data!J429), AND(Recruiting_Data!M429&lt;&gt;"", Recruiting_Data!L429&lt;&gt;"", Recruiting_Data!M429&lt;Recruiting_Data!L429), AND(Recruiting_Data!L429&lt;&gt;"", Recruiting_Data!K429&lt;&gt;"", Recruiting_Data!L429&lt;Recruiting_Data!K429)), TRUE, FALSE))</f>
        <v/>
      </c>
    </row>
    <row r="430">
      <c r="A430" s="5" t="str">
        <f>IF(Recruiting_Data!A430="", "", Recruiting_Data!A430)</f>
        <v/>
      </c>
      <c r="B430" s="5" t="str">
        <f>IF(Recruiting_Data!B430="", "", Recruiting_Data!B430)</f>
        <v/>
      </c>
      <c r="C430" s="5" t="str">
        <f>IF(AND(ISNUMBER(Recruiting_Data!N430), ISNUMBER(Recruiting_Data!P430)), Recruiting_Data!N430 - Recruiting_Data!P430, "")</f>
        <v/>
      </c>
      <c r="E430" s="5" t="str">
        <f>IF(Recruiting_Data!R430="Open", TODAY() - Recruiting_Data!P430, "")</f>
        <v/>
      </c>
      <c r="F430" s="8" t="str">
        <f t="shared" si="1"/>
        <v/>
      </c>
      <c r="G430" s="5" t="str">
        <f>IF(A430="", "", IF(COUNTIF(Recruiting_Data!A:A, A430)&gt;1, TRUE, FALSE))</f>
        <v/>
      </c>
      <c r="H430" s="5" t="str">
        <f>IF(A430="", "", IF(OR(AND(Recruiting_Data!N430&lt;&gt;"", Recruiting_Data!J430&lt;&gt;"", Recruiting_Data!N430&lt;Recruiting_Data!J430), AND(Recruiting_Data!M430&lt;&gt;"", Recruiting_Data!L430&lt;&gt;"", Recruiting_Data!M430&lt;Recruiting_Data!L430), AND(Recruiting_Data!L430&lt;&gt;"", Recruiting_Data!K430&lt;&gt;"", Recruiting_Data!L430&lt;Recruiting_Data!K430)), TRUE, FALSE))</f>
        <v/>
      </c>
    </row>
    <row r="431">
      <c r="A431" s="5" t="str">
        <f>IF(Recruiting_Data!A431="", "", Recruiting_Data!A431)</f>
        <v/>
      </c>
      <c r="B431" s="5" t="str">
        <f>IF(Recruiting_Data!B431="", "", Recruiting_Data!B431)</f>
        <v/>
      </c>
      <c r="C431" s="5" t="str">
        <f>IF(AND(ISNUMBER(Recruiting_Data!N431), ISNUMBER(Recruiting_Data!P431)), Recruiting_Data!N431 - Recruiting_Data!P431, "")</f>
        <v/>
      </c>
      <c r="E431" s="5" t="str">
        <f>IF(Recruiting_Data!R431="Open", TODAY() - Recruiting_Data!P431, "")</f>
        <v/>
      </c>
      <c r="F431" s="8" t="str">
        <f t="shared" si="1"/>
        <v/>
      </c>
      <c r="G431" s="5" t="str">
        <f>IF(A431="", "", IF(COUNTIF(Recruiting_Data!A:A, A431)&gt;1, TRUE, FALSE))</f>
        <v/>
      </c>
      <c r="H431" s="5" t="str">
        <f>IF(A431="", "", IF(OR(AND(Recruiting_Data!N431&lt;&gt;"", Recruiting_Data!J431&lt;&gt;"", Recruiting_Data!N431&lt;Recruiting_Data!J431), AND(Recruiting_Data!M431&lt;&gt;"", Recruiting_Data!L431&lt;&gt;"", Recruiting_Data!M431&lt;Recruiting_Data!L431), AND(Recruiting_Data!L431&lt;&gt;"", Recruiting_Data!K431&lt;&gt;"", Recruiting_Data!L431&lt;Recruiting_Data!K431)), TRUE, FALSE))</f>
        <v/>
      </c>
    </row>
    <row r="432">
      <c r="A432" s="5" t="str">
        <f>IF(Recruiting_Data!A432="", "", Recruiting_Data!A432)</f>
        <v/>
      </c>
      <c r="B432" s="5" t="str">
        <f>IF(Recruiting_Data!B432="", "", Recruiting_Data!B432)</f>
        <v/>
      </c>
      <c r="C432" s="5" t="str">
        <f>IF(AND(ISNUMBER(Recruiting_Data!N432), ISNUMBER(Recruiting_Data!P432)), Recruiting_Data!N432 - Recruiting_Data!P432, "")</f>
        <v/>
      </c>
      <c r="E432" s="5" t="str">
        <f>IF(Recruiting_Data!R432="Open", TODAY() - Recruiting_Data!P432, "")</f>
        <v/>
      </c>
      <c r="F432" s="8" t="str">
        <f t="shared" si="1"/>
        <v/>
      </c>
      <c r="G432" s="5" t="str">
        <f>IF(A432="", "", IF(COUNTIF(Recruiting_Data!A:A, A432)&gt;1, TRUE, FALSE))</f>
        <v/>
      </c>
      <c r="H432" s="5" t="str">
        <f>IF(A432="", "", IF(OR(AND(Recruiting_Data!N432&lt;&gt;"", Recruiting_Data!J432&lt;&gt;"", Recruiting_Data!N432&lt;Recruiting_Data!J432), AND(Recruiting_Data!M432&lt;&gt;"", Recruiting_Data!L432&lt;&gt;"", Recruiting_Data!M432&lt;Recruiting_Data!L432), AND(Recruiting_Data!L432&lt;&gt;"", Recruiting_Data!K432&lt;&gt;"", Recruiting_Data!L432&lt;Recruiting_Data!K432)), TRUE, FALSE))</f>
        <v/>
      </c>
    </row>
    <row r="433">
      <c r="A433" s="5" t="str">
        <f>IF(Recruiting_Data!A433="", "", Recruiting_Data!A433)</f>
        <v/>
      </c>
      <c r="B433" s="5" t="str">
        <f>IF(Recruiting_Data!B433="", "", Recruiting_Data!B433)</f>
        <v/>
      </c>
      <c r="C433" s="5" t="str">
        <f>IF(AND(ISNUMBER(Recruiting_Data!N433), ISNUMBER(Recruiting_Data!P433)), Recruiting_Data!N433 - Recruiting_Data!P433, "")</f>
        <v/>
      </c>
      <c r="E433" s="5" t="str">
        <f>IF(Recruiting_Data!R433="Open", TODAY() - Recruiting_Data!P433, "")</f>
        <v/>
      </c>
      <c r="F433" s="8" t="str">
        <f t="shared" si="1"/>
        <v/>
      </c>
      <c r="G433" s="5" t="str">
        <f>IF(A433="", "", IF(COUNTIF(Recruiting_Data!A:A, A433)&gt;1, TRUE, FALSE))</f>
        <v/>
      </c>
      <c r="H433" s="5" t="str">
        <f>IF(A433="", "", IF(OR(AND(Recruiting_Data!N433&lt;&gt;"", Recruiting_Data!J433&lt;&gt;"", Recruiting_Data!N433&lt;Recruiting_Data!J433), AND(Recruiting_Data!M433&lt;&gt;"", Recruiting_Data!L433&lt;&gt;"", Recruiting_Data!M433&lt;Recruiting_Data!L433), AND(Recruiting_Data!L433&lt;&gt;"", Recruiting_Data!K433&lt;&gt;"", Recruiting_Data!L433&lt;Recruiting_Data!K433)), TRUE, FALSE))</f>
        <v/>
      </c>
    </row>
    <row r="434">
      <c r="A434" s="5" t="str">
        <f>IF(Recruiting_Data!A434="", "", Recruiting_Data!A434)</f>
        <v/>
      </c>
      <c r="B434" s="5" t="str">
        <f>IF(Recruiting_Data!B434="", "", Recruiting_Data!B434)</f>
        <v/>
      </c>
      <c r="C434" s="5" t="str">
        <f>IF(AND(ISNUMBER(Recruiting_Data!N434), ISNUMBER(Recruiting_Data!P434)), Recruiting_Data!N434 - Recruiting_Data!P434, "")</f>
        <v/>
      </c>
      <c r="E434" s="5" t="str">
        <f>IF(Recruiting_Data!R434="Open", TODAY() - Recruiting_Data!P434, "")</f>
        <v/>
      </c>
      <c r="F434" s="8" t="str">
        <f t="shared" si="1"/>
        <v/>
      </c>
      <c r="G434" s="5" t="str">
        <f>IF(A434="", "", IF(COUNTIF(Recruiting_Data!A:A, A434)&gt;1, TRUE, FALSE))</f>
        <v/>
      </c>
      <c r="H434" s="5" t="str">
        <f>IF(A434="", "", IF(OR(AND(Recruiting_Data!N434&lt;&gt;"", Recruiting_Data!J434&lt;&gt;"", Recruiting_Data!N434&lt;Recruiting_Data!J434), AND(Recruiting_Data!M434&lt;&gt;"", Recruiting_Data!L434&lt;&gt;"", Recruiting_Data!M434&lt;Recruiting_Data!L434), AND(Recruiting_Data!L434&lt;&gt;"", Recruiting_Data!K434&lt;&gt;"", Recruiting_Data!L434&lt;Recruiting_Data!K434)), TRUE, FALSE))</f>
        <v/>
      </c>
    </row>
    <row r="435">
      <c r="A435" s="5" t="str">
        <f>IF(Recruiting_Data!A435="", "", Recruiting_Data!A435)</f>
        <v/>
      </c>
      <c r="B435" s="5" t="str">
        <f>IF(Recruiting_Data!B435="", "", Recruiting_Data!B435)</f>
        <v/>
      </c>
      <c r="C435" s="5" t="str">
        <f>IF(AND(ISNUMBER(Recruiting_Data!N435), ISNUMBER(Recruiting_Data!P435)), Recruiting_Data!N435 - Recruiting_Data!P435, "")</f>
        <v/>
      </c>
      <c r="E435" s="5" t="str">
        <f>IF(Recruiting_Data!R435="Open", TODAY() - Recruiting_Data!P435, "")</f>
        <v/>
      </c>
      <c r="F435" s="8" t="str">
        <f t="shared" si="1"/>
        <v/>
      </c>
      <c r="G435" s="5" t="str">
        <f>IF(A435="", "", IF(COUNTIF(Recruiting_Data!A:A, A435)&gt;1, TRUE, FALSE))</f>
        <v/>
      </c>
      <c r="H435" s="5" t="str">
        <f>IF(A435="", "", IF(OR(AND(Recruiting_Data!N435&lt;&gt;"", Recruiting_Data!J435&lt;&gt;"", Recruiting_Data!N435&lt;Recruiting_Data!J435), AND(Recruiting_Data!M435&lt;&gt;"", Recruiting_Data!L435&lt;&gt;"", Recruiting_Data!M435&lt;Recruiting_Data!L435), AND(Recruiting_Data!L435&lt;&gt;"", Recruiting_Data!K435&lt;&gt;"", Recruiting_Data!L435&lt;Recruiting_Data!K435)), TRUE, FALSE))</f>
        <v/>
      </c>
    </row>
    <row r="436">
      <c r="A436" s="5" t="str">
        <f>IF(Recruiting_Data!A436="", "", Recruiting_Data!A436)</f>
        <v/>
      </c>
      <c r="B436" s="5" t="str">
        <f>IF(Recruiting_Data!B436="", "", Recruiting_Data!B436)</f>
        <v/>
      </c>
      <c r="C436" s="5" t="str">
        <f>IF(AND(ISNUMBER(Recruiting_Data!N436), ISNUMBER(Recruiting_Data!P436)), Recruiting_Data!N436 - Recruiting_Data!P436, "")</f>
        <v/>
      </c>
      <c r="E436" s="5" t="str">
        <f>IF(Recruiting_Data!R436="Open", TODAY() - Recruiting_Data!P436, "")</f>
        <v/>
      </c>
      <c r="F436" s="8" t="str">
        <f t="shared" si="1"/>
        <v/>
      </c>
      <c r="G436" s="5" t="str">
        <f>IF(A436="", "", IF(COUNTIF(Recruiting_Data!A:A, A436)&gt;1, TRUE, FALSE))</f>
        <v/>
      </c>
      <c r="H436" s="5" t="str">
        <f>IF(A436="", "", IF(OR(AND(Recruiting_Data!N436&lt;&gt;"", Recruiting_Data!J436&lt;&gt;"", Recruiting_Data!N436&lt;Recruiting_Data!J436), AND(Recruiting_Data!M436&lt;&gt;"", Recruiting_Data!L436&lt;&gt;"", Recruiting_Data!M436&lt;Recruiting_Data!L436), AND(Recruiting_Data!L436&lt;&gt;"", Recruiting_Data!K436&lt;&gt;"", Recruiting_Data!L436&lt;Recruiting_Data!K436)), TRUE, FALSE))</f>
        <v/>
      </c>
    </row>
    <row r="437">
      <c r="A437" s="5" t="str">
        <f>IF(Recruiting_Data!A437="", "", Recruiting_Data!A437)</f>
        <v/>
      </c>
      <c r="B437" s="5" t="str">
        <f>IF(Recruiting_Data!B437="", "", Recruiting_Data!B437)</f>
        <v/>
      </c>
      <c r="C437" s="5" t="str">
        <f>IF(AND(ISNUMBER(Recruiting_Data!N437), ISNUMBER(Recruiting_Data!P437)), Recruiting_Data!N437 - Recruiting_Data!P437, "")</f>
        <v/>
      </c>
      <c r="E437" s="5" t="str">
        <f>IF(Recruiting_Data!R437="Open", TODAY() - Recruiting_Data!P437, "")</f>
        <v/>
      </c>
      <c r="F437" s="8" t="str">
        <f t="shared" si="1"/>
        <v/>
      </c>
      <c r="G437" s="5" t="str">
        <f>IF(A437="", "", IF(COUNTIF(Recruiting_Data!A:A, A437)&gt;1, TRUE, FALSE))</f>
        <v/>
      </c>
      <c r="H437" s="5" t="str">
        <f>IF(A437="", "", IF(OR(AND(Recruiting_Data!N437&lt;&gt;"", Recruiting_Data!J437&lt;&gt;"", Recruiting_Data!N437&lt;Recruiting_Data!J437), AND(Recruiting_Data!M437&lt;&gt;"", Recruiting_Data!L437&lt;&gt;"", Recruiting_Data!M437&lt;Recruiting_Data!L437), AND(Recruiting_Data!L437&lt;&gt;"", Recruiting_Data!K437&lt;&gt;"", Recruiting_Data!L437&lt;Recruiting_Data!K437)), TRUE, FALSE))</f>
        <v/>
      </c>
    </row>
    <row r="438">
      <c r="A438" s="5" t="str">
        <f>IF(Recruiting_Data!A438="", "", Recruiting_Data!A438)</f>
        <v/>
      </c>
      <c r="B438" s="5" t="str">
        <f>IF(Recruiting_Data!B438="", "", Recruiting_Data!B438)</f>
        <v/>
      </c>
      <c r="C438" s="5" t="str">
        <f>IF(AND(ISNUMBER(Recruiting_Data!N438), ISNUMBER(Recruiting_Data!P438)), Recruiting_Data!N438 - Recruiting_Data!P438, "")</f>
        <v/>
      </c>
      <c r="E438" s="5" t="str">
        <f>IF(Recruiting_Data!R438="Open", TODAY() - Recruiting_Data!P438, "")</f>
        <v/>
      </c>
      <c r="F438" s="8" t="str">
        <f t="shared" si="1"/>
        <v/>
      </c>
      <c r="G438" s="5" t="str">
        <f>IF(A438="", "", IF(COUNTIF(Recruiting_Data!A:A, A438)&gt;1, TRUE, FALSE))</f>
        <v/>
      </c>
      <c r="H438" s="5" t="str">
        <f>IF(A438="", "", IF(OR(AND(Recruiting_Data!N438&lt;&gt;"", Recruiting_Data!J438&lt;&gt;"", Recruiting_Data!N438&lt;Recruiting_Data!J438), AND(Recruiting_Data!M438&lt;&gt;"", Recruiting_Data!L438&lt;&gt;"", Recruiting_Data!M438&lt;Recruiting_Data!L438), AND(Recruiting_Data!L438&lt;&gt;"", Recruiting_Data!K438&lt;&gt;"", Recruiting_Data!L438&lt;Recruiting_Data!K438)), TRUE, FALSE))</f>
        <v/>
      </c>
    </row>
    <row r="439">
      <c r="A439" s="5" t="str">
        <f>IF(Recruiting_Data!A439="", "", Recruiting_Data!A439)</f>
        <v/>
      </c>
      <c r="B439" s="5" t="str">
        <f>IF(Recruiting_Data!B439="", "", Recruiting_Data!B439)</f>
        <v/>
      </c>
      <c r="C439" s="5" t="str">
        <f>IF(AND(ISNUMBER(Recruiting_Data!N439), ISNUMBER(Recruiting_Data!P439)), Recruiting_Data!N439 - Recruiting_Data!P439, "")</f>
        <v/>
      </c>
      <c r="E439" s="5" t="str">
        <f>IF(Recruiting_Data!R439="Open", TODAY() - Recruiting_Data!P439, "")</f>
        <v/>
      </c>
      <c r="F439" s="8" t="str">
        <f t="shared" si="1"/>
        <v/>
      </c>
      <c r="G439" s="5" t="str">
        <f>IF(A439="", "", IF(COUNTIF(Recruiting_Data!A:A, A439)&gt;1, TRUE, FALSE))</f>
        <v/>
      </c>
      <c r="H439" s="5" t="str">
        <f>IF(A439="", "", IF(OR(AND(Recruiting_Data!N439&lt;&gt;"", Recruiting_Data!J439&lt;&gt;"", Recruiting_Data!N439&lt;Recruiting_Data!J439), AND(Recruiting_Data!M439&lt;&gt;"", Recruiting_Data!L439&lt;&gt;"", Recruiting_Data!M439&lt;Recruiting_Data!L439), AND(Recruiting_Data!L439&lt;&gt;"", Recruiting_Data!K439&lt;&gt;"", Recruiting_Data!L439&lt;Recruiting_Data!K439)), TRUE, FALSE))</f>
        <v/>
      </c>
    </row>
    <row r="440">
      <c r="A440" s="5" t="str">
        <f>IF(Recruiting_Data!A440="", "", Recruiting_Data!A440)</f>
        <v/>
      </c>
      <c r="B440" s="5" t="str">
        <f>IF(Recruiting_Data!B440="", "", Recruiting_Data!B440)</f>
        <v/>
      </c>
      <c r="C440" s="5" t="str">
        <f>IF(AND(ISNUMBER(Recruiting_Data!N440), ISNUMBER(Recruiting_Data!P440)), Recruiting_Data!N440 - Recruiting_Data!P440, "")</f>
        <v/>
      </c>
      <c r="E440" s="5" t="str">
        <f>IF(Recruiting_Data!R440="Open", TODAY() - Recruiting_Data!P440, "")</f>
        <v/>
      </c>
      <c r="F440" s="8" t="str">
        <f t="shared" si="1"/>
        <v/>
      </c>
      <c r="G440" s="5" t="str">
        <f>IF(A440="", "", IF(COUNTIF(Recruiting_Data!A:A, A440)&gt;1, TRUE, FALSE))</f>
        <v/>
      </c>
      <c r="H440" s="5" t="str">
        <f>IF(A440="", "", IF(OR(AND(Recruiting_Data!N440&lt;&gt;"", Recruiting_Data!J440&lt;&gt;"", Recruiting_Data!N440&lt;Recruiting_Data!J440), AND(Recruiting_Data!M440&lt;&gt;"", Recruiting_Data!L440&lt;&gt;"", Recruiting_Data!M440&lt;Recruiting_Data!L440), AND(Recruiting_Data!L440&lt;&gt;"", Recruiting_Data!K440&lt;&gt;"", Recruiting_Data!L440&lt;Recruiting_Data!K440)), TRUE, FALSE))</f>
        <v/>
      </c>
    </row>
    <row r="441">
      <c r="A441" s="5" t="str">
        <f>IF(Recruiting_Data!A441="", "", Recruiting_Data!A441)</f>
        <v/>
      </c>
      <c r="B441" s="5" t="str">
        <f>IF(Recruiting_Data!B441="", "", Recruiting_Data!B441)</f>
        <v/>
      </c>
      <c r="C441" s="5" t="str">
        <f>IF(AND(ISNUMBER(Recruiting_Data!N441), ISNUMBER(Recruiting_Data!P441)), Recruiting_Data!N441 - Recruiting_Data!P441, "")</f>
        <v/>
      </c>
      <c r="E441" s="5" t="str">
        <f>IF(Recruiting_Data!R441="Open", TODAY() - Recruiting_Data!P441, "")</f>
        <v/>
      </c>
      <c r="F441" s="8" t="str">
        <f t="shared" si="1"/>
        <v/>
      </c>
      <c r="G441" s="5" t="str">
        <f>IF(A441="", "", IF(COUNTIF(Recruiting_Data!A:A, A441)&gt;1, TRUE, FALSE))</f>
        <v/>
      </c>
      <c r="H441" s="5" t="str">
        <f>IF(A441="", "", IF(OR(AND(Recruiting_Data!N441&lt;&gt;"", Recruiting_Data!J441&lt;&gt;"", Recruiting_Data!N441&lt;Recruiting_Data!J441), AND(Recruiting_Data!M441&lt;&gt;"", Recruiting_Data!L441&lt;&gt;"", Recruiting_Data!M441&lt;Recruiting_Data!L441), AND(Recruiting_Data!L441&lt;&gt;"", Recruiting_Data!K441&lt;&gt;"", Recruiting_Data!L441&lt;Recruiting_Data!K441)), TRUE, FALSE))</f>
        <v/>
      </c>
    </row>
    <row r="442">
      <c r="A442" s="5" t="str">
        <f>IF(Recruiting_Data!A442="", "", Recruiting_Data!A442)</f>
        <v/>
      </c>
      <c r="B442" s="5" t="str">
        <f>IF(Recruiting_Data!B442="", "", Recruiting_Data!B442)</f>
        <v/>
      </c>
      <c r="C442" s="5" t="str">
        <f>IF(AND(ISNUMBER(Recruiting_Data!N442), ISNUMBER(Recruiting_Data!P442)), Recruiting_Data!N442 - Recruiting_Data!P442, "")</f>
        <v/>
      </c>
      <c r="E442" s="5" t="str">
        <f>IF(Recruiting_Data!R442="Open", TODAY() - Recruiting_Data!P442, "")</f>
        <v/>
      </c>
      <c r="F442" s="8" t="str">
        <f t="shared" si="1"/>
        <v/>
      </c>
      <c r="G442" s="5" t="str">
        <f>IF(A442="", "", IF(COUNTIF(Recruiting_Data!A:A, A442)&gt;1, TRUE, FALSE))</f>
        <v/>
      </c>
      <c r="H442" s="5" t="str">
        <f>IF(A442="", "", IF(OR(AND(Recruiting_Data!N442&lt;&gt;"", Recruiting_Data!J442&lt;&gt;"", Recruiting_Data!N442&lt;Recruiting_Data!J442), AND(Recruiting_Data!M442&lt;&gt;"", Recruiting_Data!L442&lt;&gt;"", Recruiting_Data!M442&lt;Recruiting_Data!L442), AND(Recruiting_Data!L442&lt;&gt;"", Recruiting_Data!K442&lt;&gt;"", Recruiting_Data!L442&lt;Recruiting_Data!K442)), TRUE, FALSE))</f>
        <v/>
      </c>
    </row>
    <row r="443">
      <c r="A443" s="5" t="str">
        <f>IF(Recruiting_Data!A443="", "", Recruiting_Data!A443)</f>
        <v/>
      </c>
      <c r="B443" s="5" t="str">
        <f>IF(Recruiting_Data!B443="", "", Recruiting_Data!B443)</f>
        <v/>
      </c>
      <c r="C443" s="5" t="str">
        <f>IF(AND(ISNUMBER(Recruiting_Data!N443), ISNUMBER(Recruiting_Data!P443)), Recruiting_Data!N443 - Recruiting_Data!P443, "")</f>
        <v/>
      </c>
      <c r="E443" s="5" t="str">
        <f>IF(Recruiting_Data!R443="Open", TODAY() - Recruiting_Data!P443, "")</f>
        <v/>
      </c>
      <c r="F443" s="8" t="str">
        <f t="shared" si="1"/>
        <v/>
      </c>
      <c r="G443" s="5" t="str">
        <f>IF(A443="", "", IF(COUNTIF(Recruiting_Data!A:A, A443)&gt;1, TRUE, FALSE))</f>
        <v/>
      </c>
      <c r="H443" s="5" t="str">
        <f>IF(A443="", "", IF(OR(AND(Recruiting_Data!N443&lt;&gt;"", Recruiting_Data!J443&lt;&gt;"", Recruiting_Data!N443&lt;Recruiting_Data!J443), AND(Recruiting_Data!M443&lt;&gt;"", Recruiting_Data!L443&lt;&gt;"", Recruiting_Data!M443&lt;Recruiting_Data!L443), AND(Recruiting_Data!L443&lt;&gt;"", Recruiting_Data!K443&lt;&gt;"", Recruiting_Data!L443&lt;Recruiting_Data!K443)), TRUE, FALSE))</f>
        <v/>
      </c>
    </row>
    <row r="444">
      <c r="A444" s="5" t="str">
        <f>IF(Recruiting_Data!A444="", "", Recruiting_Data!A444)</f>
        <v/>
      </c>
      <c r="B444" s="5" t="str">
        <f>IF(Recruiting_Data!B444="", "", Recruiting_Data!B444)</f>
        <v/>
      </c>
      <c r="C444" s="5" t="str">
        <f>IF(AND(ISNUMBER(Recruiting_Data!N444), ISNUMBER(Recruiting_Data!P444)), Recruiting_Data!N444 - Recruiting_Data!P444, "")</f>
        <v/>
      </c>
      <c r="E444" s="5" t="str">
        <f>IF(Recruiting_Data!R444="Open", TODAY() - Recruiting_Data!P444, "")</f>
        <v/>
      </c>
      <c r="F444" s="8" t="str">
        <f t="shared" si="1"/>
        <v/>
      </c>
      <c r="G444" s="5" t="str">
        <f>IF(A444="", "", IF(COUNTIF(Recruiting_Data!A:A, A444)&gt;1, TRUE, FALSE))</f>
        <v/>
      </c>
      <c r="H444" s="5" t="str">
        <f>IF(A444="", "", IF(OR(AND(Recruiting_Data!N444&lt;&gt;"", Recruiting_Data!J444&lt;&gt;"", Recruiting_Data!N444&lt;Recruiting_Data!J444), AND(Recruiting_Data!M444&lt;&gt;"", Recruiting_Data!L444&lt;&gt;"", Recruiting_Data!M444&lt;Recruiting_Data!L444), AND(Recruiting_Data!L444&lt;&gt;"", Recruiting_Data!K444&lt;&gt;"", Recruiting_Data!L444&lt;Recruiting_Data!K444)), TRUE, FALSE))</f>
        <v/>
      </c>
    </row>
    <row r="445">
      <c r="A445" s="5" t="str">
        <f>IF(Recruiting_Data!A445="", "", Recruiting_Data!A445)</f>
        <v/>
      </c>
      <c r="B445" s="5" t="str">
        <f>IF(Recruiting_Data!B445="", "", Recruiting_Data!B445)</f>
        <v/>
      </c>
      <c r="C445" s="5" t="str">
        <f>IF(AND(ISNUMBER(Recruiting_Data!N445), ISNUMBER(Recruiting_Data!P445)), Recruiting_Data!N445 - Recruiting_Data!P445, "")</f>
        <v/>
      </c>
      <c r="E445" s="5" t="str">
        <f>IF(Recruiting_Data!R445="Open", TODAY() - Recruiting_Data!P445, "")</f>
        <v/>
      </c>
      <c r="F445" s="8" t="str">
        <f t="shared" si="1"/>
        <v/>
      </c>
      <c r="G445" s="5" t="str">
        <f>IF(A445="", "", IF(COUNTIF(Recruiting_Data!A:A, A445)&gt;1, TRUE, FALSE))</f>
        <v/>
      </c>
      <c r="H445" s="5" t="str">
        <f>IF(A445="", "", IF(OR(AND(Recruiting_Data!N445&lt;&gt;"", Recruiting_Data!J445&lt;&gt;"", Recruiting_Data!N445&lt;Recruiting_Data!J445), AND(Recruiting_Data!M445&lt;&gt;"", Recruiting_Data!L445&lt;&gt;"", Recruiting_Data!M445&lt;Recruiting_Data!L445), AND(Recruiting_Data!L445&lt;&gt;"", Recruiting_Data!K445&lt;&gt;"", Recruiting_Data!L445&lt;Recruiting_Data!K445)), TRUE, FALSE))</f>
        <v/>
      </c>
    </row>
    <row r="446">
      <c r="A446" s="5" t="str">
        <f>IF(Recruiting_Data!A446="", "", Recruiting_Data!A446)</f>
        <v/>
      </c>
      <c r="B446" s="5" t="str">
        <f>IF(Recruiting_Data!B446="", "", Recruiting_Data!B446)</f>
        <v/>
      </c>
      <c r="C446" s="5" t="str">
        <f>IF(AND(ISNUMBER(Recruiting_Data!N446), ISNUMBER(Recruiting_Data!P446)), Recruiting_Data!N446 - Recruiting_Data!P446, "")</f>
        <v/>
      </c>
      <c r="E446" s="5" t="str">
        <f>IF(Recruiting_Data!R446="Open", TODAY() - Recruiting_Data!P446, "")</f>
        <v/>
      </c>
      <c r="F446" s="8" t="str">
        <f t="shared" si="1"/>
        <v/>
      </c>
      <c r="G446" s="5" t="str">
        <f>IF(A446="", "", IF(COUNTIF(Recruiting_Data!A:A, A446)&gt;1, TRUE, FALSE))</f>
        <v/>
      </c>
      <c r="H446" s="5" t="str">
        <f>IF(A446="", "", IF(OR(AND(Recruiting_Data!N446&lt;&gt;"", Recruiting_Data!J446&lt;&gt;"", Recruiting_Data!N446&lt;Recruiting_Data!J446), AND(Recruiting_Data!M446&lt;&gt;"", Recruiting_Data!L446&lt;&gt;"", Recruiting_Data!M446&lt;Recruiting_Data!L446), AND(Recruiting_Data!L446&lt;&gt;"", Recruiting_Data!K446&lt;&gt;"", Recruiting_Data!L446&lt;Recruiting_Data!K446)), TRUE, FALSE))</f>
        <v/>
      </c>
    </row>
    <row r="447">
      <c r="A447" s="5" t="str">
        <f>IF(Recruiting_Data!A447="", "", Recruiting_Data!A447)</f>
        <v/>
      </c>
      <c r="B447" s="5" t="str">
        <f>IF(Recruiting_Data!B447="", "", Recruiting_Data!B447)</f>
        <v/>
      </c>
      <c r="C447" s="5" t="str">
        <f>IF(AND(ISNUMBER(Recruiting_Data!N447), ISNUMBER(Recruiting_Data!P447)), Recruiting_Data!N447 - Recruiting_Data!P447, "")</f>
        <v/>
      </c>
      <c r="E447" s="5" t="str">
        <f>IF(Recruiting_Data!R447="Open", TODAY() - Recruiting_Data!P447, "")</f>
        <v/>
      </c>
      <c r="F447" s="8" t="str">
        <f t="shared" si="1"/>
        <v/>
      </c>
      <c r="G447" s="5" t="str">
        <f>IF(A447="", "", IF(COUNTIF(Recruiting_Data!A:A, A447)&gt;1, TRUE, FALSE))</f>
        <v/>
      </c>
      <c r="H447" s="5" t="str">
        <f>IF(A447="", "", IF(OR(AND(Recruiting_Data!N447&lt;&gt;"", Recruiting_Data!J447&lt;&gt;"", Recruiting_Data!N447&lt;Recruiting_Data!J447), AND(Recruiting_Data!M447&lt;&gt;"", Recruiting_Data!L447&lt;&gt;"", Recruiting_Data!M447&lt;Recruiting_Data!L447), AND(Recruiting_Data!L447&lt;&gt;"", Recruiting_Data!K447&lt;&gt;"", Recruiting_Data!L447&lt;Recruiting_Data!K447)), TRUE, FALSE))</f>
        <v/>
      </c>
    </row>
    <row r="448">
      <c r="A448" s="5" t="str">
        <f>IF(Recruiting_Data!A448="", "", Recruiting_Data!A448)</f>
        <v/>
      </c>
      <c r="B448" s="5" t="str">
        <f>IF(Recruiting_Data!B448="", "", Recruiting_Data!B448)</f>
        <v/>
      </c>
      <c r="C448" s="5" t="str">
        <f>IF(AND(ISNUMBER(Recruiting_Data!N448), ISNUMBER(Recruiting_Data!P448)), Recruiting_Data!N448 - Recruiting_Data!P448, "")</f>
        <v/>
      </c>
      <c r="E448" s="5" t="str">
        <f>IF(Recruiting_Data!R448="Open", TODAY() - Recruiting_Data!P448, "")</f>
        <v/>
      </c>
      <c r="F448" s="8" t="str">
        <f t="shared" si="1"/>
        <v/>
      </c>
      <c r="G448" s="5" t="str">
        <f>IF(A448="", "", IF(COUNTIF(Recruiting_Data!A:A, A448)&gt;1, TRUE, FALSE))</f>
        <v/>
      </c>
      <c r="H448" s="5" t="str">
        <f>IF(A448="", "", IF(OR(AND(Recruiting_Data!N448&lt;&gt;"", Recruiting_Data!J448&lt;&gt;"", Recruiting_Data!N448&lt;Recruiting_Data!J448), AND(Recruiting_Data!M448&lt;&gt;"", Recruiting_Data!L448&lt;&gt;"", Recruiting_Data!M448&lt;Recruiting_Data!L448), AND(Recruiting_Data!L448&lt;&gt;"", Recruiting_Data!K448&lt;&gt;"", Recruiting_Data!L448&lt;Recruiting_Data!K448)), TRUE, FALSE))</f>
        <v/>
      </c>
    </row>
    <row r="449">
      <c r="A449" s="5" t="str">
        <f>IF(Recruiting_Data!A449="", "", Recruiting_Data!A449)</f>
        <v/>
      </c>
      <c r="B449" s="5" t="str">
        <f>IF(Recruiting_Data!B449="", "", Recruiting_Data!B449)</f>
        <v/>
      </c>
      <c r="C449" s="5" t="str">
        <f>IF(AND(ISNUMBER(Recruiting_Data!N449), ISNUMBER(Recruiting_Data!P449)), Recruiting_Data!N449 - Recruiting_Data!P449, "")</f>
        <v/>
      </c>
      <c r="E449" s="5" t="str">
        <f>IF(Recruiting_Data!R449="Open", TODAY() - Recruiting_Data!P449, "")</f>
        <v/>
      </c>
      <c r="F449" s="8" t="str">
        <f t="shared" si="1"/>
        <v/>
      </c>
      <c r="G449" s="5" t="str">
        <f>IF(A449="", "", IF(COUNTIF(Recruiting_Data!A:A, A449)&gt;1, TRUE, FALSE))</f>
        <v/>
      </c>
      <c r="H449" s="5" t="str">
        <f>IF(A449="", "", IF(OR(AND(Recruiting_Data!N449&lt;&gt;"", Recruiting_Data!J449&lt;&gt;"", Recruiting_Data!N449&lt;Recruiting_Data!J449), AND(Recruiting_Data!M449&lt;&gt;"", Recruiting_Data!L449&lt;&gt;"", Recruiting_Data!M449&lt;Recruiting_Data!L449), AND(Recruiting_Data!L449&lt;&gt;"", Recruiting_Data!K449&lt;&gt;"", Recruiting_Data!L449&lt;Recruiting_Data!K449)), TRUE, FALSE))</f>
        <v/>
      </c>
    </row>
    <row r="450">
      <c r="A450" s="5" t="str">
        <f>IF(Recruiting_Data!A450="", "", Recruiting_Data!A450)</f>
        <v/>
      </c>
      <c r="B450" s="5" t="str">
        <f>IF(Recruiting_Data!B450="", "", Recruiting_Data!B450)</f>
        <v/>
      </c>
      <c r="C450" s="5" t="str">
        <f>IF(AND(ISNUMBER(Recruiting_Data!N450), ISNUMBER(Recruiting_Data!P450)), Recruiting_Data!N450 - Recruiting_Data!P450, "")</f>
        <v/>
      </c>
      <c r="E450" s="5" t="str">
        <f>IF(Recruiting_Data!R450="Open", TODAY() - Recruiting_Data!P450, "")</f>
        <v/>
      </c>
      <c r="F450" s="8" t="str">
        <f t="shared" si="1"/>
        <v/>
      </c>
      <c r="G450" s="5" t="str">
        <f>IF(A450="", "", IF(COUNTIF(Recruiting_Data!A:A, A450)&gt;1, TRUE, FALSE))</f>
        <v/>
      </c>
      <c r="H450" s="5" t="str">
        <f>IF(A450="", "", IF(OR(AND(Recruiting_Data!N450&lt;&gt;"", Recruiting_Data!J450&lt;&gt;"", Recruiting_Data!N450&lt;Recruiting_Data!J450), AND(Recruiting_Data!M450&lt;&gt;"", Recruiting_Data!L450&lt;&gt;"", Recruiting_Data!M450&lt;Recruiting_Data!L450), AND(Recruiting_Data!L450&lt;&gt;"", Recruiting_Data!K450&lt;&gt;"", Recruiting_Data!L450&lt;Recruiting_Data!K450)), TRUE, FALSE))</f>
        <v/>
      </c>
    </row>
    <row r="451">
      <c r="A451" s="5" t="str">
        <f>IF(Recruiting_Data!A451="", "", Recruiting_Data!A451)</f>
        <v/>
      </c>
      <c r="B451" s="5" t="str">
        <f>IF(Recruiting_Data!B451="", "", Recruiting_Data!B451)</f>
        <v/>
      </c>
      <c r="C451" s="5" t="str">
        <f>IF(AND(ISNUMBER(Recruiting_Data!N451), ISNUMBER(Recruiting_Data!P451)), Recruiting_Data!N451 - Recruiting_Data!P451, "")</f>
        <v/>
      </c>
      <c r="E451" s="5" t="str">
        <f>IF(Recruiting_Data!R451="Open", TODAY() - Recruiting_Data!P451, "")</f>
        <v/>
      </c>
      <c r="F451" s="8" t="str">
        <f t="shared" si="1"/>
        <v/>
      </c>
      <c r="G451" s="5" t="str">
        <f>IF(A451="", "", IF(COUNTIF(Recruiting_Data!A:A, A451)&gt;1, TRUE, FALSE))</f>
        <v/>
      </c>
      <c r="H451" s="5" t="str">
        <f>IF(A451="", "", IF(OR(AND(Recruiting_Data!N451&lt;&gt;"", Recruiting_Data!J451&lt;&gt;"", Recruiting_Data!N451&lt;Recruiting_Data!J451), AND(Recruiting_Data!M451&lt;&gt;"", Recruiting_Data!L451&lt;&gt;"", Recruiting_Data!M451&lt;Recruiting_Data!L451), AND(Recruiting_Data!L451&lt;&gt;"", Recruiting_Data!K451&lt;&gt;"", Recruiting_Data!L451&lt;Recruiting_Data!K451)), TRUE, FALSE))</f>
        <v/>
      </c>
    </row>
    <row r="452">
      <c r="A452" s="5" t="str">
        <f>IF(Recruiting_Data!A452="", "", Recruiting_Data!A452)</f>
        <v/>
      </c>
      <c r="B452" s="5" t="str">
        <f>IF(Recruiting_Data!B452="", "", Recruiting_Data!B452)</f>
        <v/>
      </c>
      <c r="C452" s="5" t="str">
        <f>IF(AND(ISNUMBER(Recruiting_Data!N452), ISNUMBER(Recruiting_Data!P452)), Recruiting_Data!N452 - Recruiting_Data!P452, "")</f>
        <v/>
      </c>
      <c r="E452" s="5" t="str">
        <f>IF(Recruiting_Data!R452="Open", TODAY() - Recruiting_Data!P452, "")</f>
        <v/>
      </c>
      <c r="F452" s="8" t="str">
        <f t="shared" si="1"/>
        <v/>
      </c>
      <c r="G452" s="5" t="str">
        <f>IF(A452="", "", IF(COUNTIF(Recruiting_Data!A:A, A452)&gt;1, TRUE, FALSE))</f>
        <v/>
      </c>
      <c r="H452" s="5" t="str">
        <f>IF(A452="", "", IF(OR(AND(Recruiting_Data!N452&lt;&gt;"", Recruiting_Data!J452&lt;&gt;"", Recruiting_Data!N452&lt;Recruiting_Data!J452), AND(Recruiting_Data!M452&lt;&gt;"", Recruiting_Data!L452&lt;&gt;"", Recruiting_Data!M452&lt;Recruiting_Data!L452), AND(Recruiting_Data!L452&lt;&gt;"", Recruiting_Data!K452&lt;&gt;"", Recruiting_Data!L452&lt;Recruiting_Data!K452)), TRUE, FALSE))</f>
        <v/>
      </c>
    </row>
    <row r="453">
      <c r="A453" s="5" t="str">
        <f>IF(Recruiting_Data!A453="", "", Recruiting_Data!A453)</f>
        <v/>
      </c>
      <c r="B453" s="5" t="str">
        <f>IF(Recruiting_Data!B453="", "", Recruiting_Data!B453)</f>
        <v/>
      </c>
      <c r="C453" s="5" t="str">
        <f>IF(AND(ISNUMBER(Recruiting_Data!N453), ISNUMBER(Recruiting_Data!P453)), Recruiting_Data!N453 - Recruiting_Data!P453, "")</f>
        <v/>
      </c>
      <c r="E453" s="5" t="str">
        <f>IF(Recruiting_Data!R453="Open", TODAY() - Recruiting_Data!P453, "")</f>
        <v/>
      </c>
      <c r="F453" s="8" t="str">
        <f t="shared" si="1"/>
        <v/>
      </c>
      <c r="G453" s="5" t="str">
        <f>IF(A453="", "", IF(COUNTIF(Recruiting_Data!A:A, A453)&gt;1, TRUE, FALSE))</f>
        <v/>
      </c>
      <c r="H453" s="5" t="str">
        <f>IF(A453="", "", IF(OR(AND(Recruiting_Data!N453&lt;&gt;"", Recruiting_Data!J453&lt;&gt;"", Recruiting_Data!N453&lt;Recruiting_Data!J453), AND(Recruiting_Data!M453&lt;&gt;"", Recruiting_Data!L453&lt;&gt;"", Recruiting_Data!M453&lt;Recruiting_Data!L453), AND(Recruiting_Data!L453&lt;&gt;"", Recruiting_Data!K453&lt;&gt;"", Recruiting_Data!L453&lt;Recruiting_Data!K453)), TRUE, FALSE))</f>
        <v/>
      </c>
    </row>
    <row r="454">
      <c r="A454" s="5" t="str">
        <f>IF(Recruiting_Data!A454="", "", Recruiting_Data!A454)</f>
        <v/>
      </c>
      <c r="B454" s="5" t="str">
        <f>IF(Recruiting_Data!B454="", "", Recruiting_Data!B454)</f>
        <v/>
      </c>
      <c r="C454" s="5" t="str">
        <f>IF(AND(ISNUMBER(Recruiting_Data!N454), ISNUMBER(Recruiting_Data!P454)), Recruiting_Data!N454 - Recruiting_Data!P454, "")</f>
        <v/>
      </c>
      <c r="E454" s="5" t="str">
        <f>IF(Recruiting_Data!R454="Open", TODAY() - Recruiting_Data!P454, "")</f>
        <v/>
      </c>
      <c r="F454" s="8" t="str">
        <f t="shared" si="1"/>
        <v/>
      </c>
      <c r="G454" s="5" t="str">
        <f>IF(A454="", "", IF(COUNTIF(Recruiting_Data!A:A, A454)&gt;1, TRUE, FALSE))</f>
        <v/>
      </c>
      <c r="H454" s="5" t="str">
        <f>IF(A454="", "", IF(OR(AND(Recruiting_Data!N454&lt;&gt;"", Recruiting_Data!J454&lt;&gt;"", Recruiting_Data!N454&lt;Recruiting_Data!J454), AND(Recruiting_Data!M454&lt;&gt;"", Recruiting_Data!L454&lt;&gt;"", Recruiting_Data!M454&lt;Recruiting_Data!L454), AND(Recruiting_Data!L454&lt;&gt;"", Recruiting_Data!K454&lt;&gt;"", Recruiting_Data!L454&lt;Recruiting_Data!K454)), TRUE, FALSE))</f>
        <v/>
      </c>
    </row>
    <row r="455">
      <c r="A455" s="5" t="str">
        <f>IF(Recruiting_Data!A455="", "", Recruiting_Data!A455)</f>
        <v/>
      </c>
      <c r="B455" s="5" t="str">
        <f>IF(Recruiting_Data!B455="", "", Recruiting_Data!B455)</f>
        <v/>
      </c>
      <c r="C455" s="5" t="str">
        <f>IF(AND(ISNUMBER(Recruiting_Data!N455), ISNUMBER(Recruiting_Data!P455)), Recruiting_Data!N455 - Recruiting_Data!P455, "")</f>
        <v/>
      </c>
      <c r="E455" s="5" t="str">
        <f>IF(Recruiting_Data!R455="Open", TODAY() - Recruiting_Data!P455, "")</f>
        <v/>
      </c>
      <c r="F455" s="8" t="str">
        <f t="shared" si="1"/>
        <v/>
      </c>
      <c r="G455" s="5" t="str">
        <f>IF(A455="", "", IF(COUNTIF(Recruiting_Data!A:A, A455)&gt;1, TRUE, FALSE))</f>
        <v/>
      </c>
      <c r="H455" s="5" t="str">
        <f>IF(A455="", "", IF(OR(AND(Recruiting_Data!N455&lt;&gt;"", Recruiting_Data!J455&lt;&gt;"", Recruiting_Data!N455&lt;Recruiting_Data!J455), AND(Recruiting_Data!M455&lt;&gt;"", Recruiting_Data!L455&lt;&gt;"", Recruiting_Data!M455&lt;Recruiting_Data!L455), AND(Recruiting_Data!L455&lt;&gt;"", Recruiting_Data!K455&lt;&gt;"", Recruiting_Data!L455&lt;Recruiting_Data!K455)), TRUE, FALSE))</f>
        <v/>
      </c>
    </row>
    <row r="456">
      <c r="A456" s="5" t="str">
        <f>IF(Recruiting_Data!A456="", "", Recruiting_Data!A456)</f>
        <v/>
      </c>
      <c r="B456" s="5" t="str">
        <f>IF(Recruiting_Data!B456="", "", Recruiting_Data!B456)</f>
        <v/>
      </c>
      <c r="C456" s="5" t="str">
        <f>IF(AND(ISNUMBER(Recruiting_Data!N456), ISNUMBER(Recruiting_Data!P456)), Recruiting_Data!N456 - Recruiting_Data!P456, "")</f>
        <v/>
      </c>
      <c r="E456" s="5" t="str">
        <f>IF(Recruiting_Data!R456="Open", TODAY() - Recruiting_Data!P456, "")</f>
        <v/>
      </c>
      <c r="F456" s="8" t="str">
        <f t="shared" si="1"/>
        <v/>
      </c>
      <c r="G456" s="5" t="str">
        <f>IF(A456="", "", IF(COUNTIF(Recruiting_Data!A:A, A456)&gt;1, TRUE, FALSE))</f>
        <v/>
      </c>
      <c r="H456" s="5" t="str">
        <f>IF(A456="", "", IF(OR(AND(Recruiting_Data!N456&lt;&gt;"", Recruiting_Data!J456&lt;&gt;"", Recruiting_Data!N456&lt;Recruiting_Data!J456), AND(Recruiting_Data!M456&lt;&gt;"", Recruiting_Data!L456&lt;&gt;"", Recruiting_Data!M456&lt;Recruiting_Data!L456), AND(Recruiting_Data!L456&lt;&gt;"", Recruiting_Data!K456&lt;&gt;"", Recruiting_Data!L456&lt;Recruiting_Data!K456)), TRUE, FALSE))</f>
        <v/>
      </c>
    </row>
    <row r="457">
      <c r="A457" s="5" t="str">
        <f>IF(Recruiting_Data!A457="", "", Recruiting_Data!A457)</f>
        <v/>
      </c>
      <c r="B457" s="5" t="str">
        <f>IF(Recruiting_Data!B457="", "", Recruiting_Data!B457)</f>
        <v/>
      </c>
      <c r="C457" s="5" t="str">
        <f>IF(AND(ISNUMBER(Recruiting_Data!N457), ISNUMBER(Recruiting_Data!P457)), Recruiting_Data!N457 - Recruiting_Data!P457, "")</f>
        <v/>
      </c>
      <c r="E457" s="5" t="str">
        <f>IF(Recruiting_Data!R457="Open", TODAY() - Recruiting_Data!P457, "")</f>
        <v/>
      </c>
      <c r="F457" s="8" t="str">
        <f t="shared" si="1"/>
        <v/>
      </c>
      <c r="G457" s="5" t="str">
        <f>IF(A457="", "", IF(COUNTIF(Recruiting_Data!A:A, A457)&gt;1, TRUE, FALSE))</f>
        <v/>
      </c>
      <c r="H457" s="5" t="str">
        <f>IF(A457="", "", IF(OR(AND(Recruiting_Data!N457&lt;&gt;"", Recruiting_Data!J457&lt;&gt;"", Recruiting_Data!N457&lt;Recruiting_Data!J457), AND(Recruiting_Data!M457&lt;&gt;"", Recruiting_Data!L457&lt;&gt;"", Recruiting_Data!M457&lt;Recruiting_Data!L457), AND(Recruiting_Data!L457&lt;&gt;"", Recruiting_Data!K457&lt;&gt;"", Recruiting_Data!L457&lt;Recruiting_Data!K457)), TRUE, FALSE))</f>
        <v/>
      </c>
    </row>
    <row r="458">
      <c r="A458" s="5" t="str">
        <f>IF(Recruiting_Data!A458="", "", Recruiting_Data!A458)</f>
        <v/>
      </c>
      <c r="B458" s="5" t="str">
        <f>IF(Recruiting_Data!B458="", "", Recruiting_Data!B458)</f>
        <v/>
      </c>
      <c r="C458" s="5" t="str">
        <f>IF(AND(ISNUMBER(Recruiting_Data!N458), ISNUMBER(Recruiting_Data!P458)), Recruiting_Data!N458 - Recruiting_Data!P458, "")</f>
        <v/>
      </c>
      <c r="E458" s="5" t="str">
        <f>IF(Recruiting_Data!R458="Open", TODAY() - Recruiting_Data!P458, "")</f>
        <v/>
      </c>
      <c r="F458" s="8" t="str">
        <f t="shared" si="1"/>
        <v/>
      </c>
      <c r="G458" s="5" t="str">
        <f>IF(A458="", "", IF(COUNTIF(Recruiting_Data!A:A, A458)&gt;1, TRUE, FALSE))</f>
        <v/>
      </c>
      <c r="H458" s="5" t="str">
        <f>IF(A458="", "", IF(OR(AND(Recruiting_Data!N458&lt;&gt;"", Recruiting_Data!J458&lt;&gt;"", Recruiting_Data!N458&lt;Recruiting_Data!J458), AND(Recruiting_Data!M458&lt;&gt;"", Recruiting_Data!L458&lt;&gt;"", Recruiting_Data!M458&lt;Recruiting_Data!L458), AND(Recruiting_Data!L458&lt;&gt;"", Recruiting_Data!K458&lt;&gt;"", Recruiting_Data!L458&lt;Recruiting_Data!K458)), TRUE, FALSE))</f>
        <v/>
      </c>
    </row>
    <row r="459">
      <c r="A459" s="5" t="str">
        <f>IF(Recruiting_Data!A459="", "", Recruiting_Data!A459)</f>
        <v/>
      </c>
      <c r="B459" s="5" t="str">
        <f>IF(Recruiting_Data!B459="", "", Recruiting_Data!B459)</f>
        <v/>
      </c>
      <c r="C459" s="5" t="str">
        <f>IF(AND(ISNUMBER(Recruiting_Data!N459), ISNUMBER(Recruiting_Data!P459)), Recruiting_Data!N459 - Recruiting_Data!P459, "")</f>
        <v/>
      </c>
      <c r="E459" s="5" t="str">
        <f>IF(Recruiting_Data!R459="Open", TODAY() - Recruiting_Data!P459, "")</f>
        <v/>
      </c>
      <c r="F459" s="8" t="str">
        <f t="shared" si="1"/>
        <v/>
      </c>
      <c r="G459" s="5" t="str">
        <f>IF(A459="", "", IF(COUNTIF(Recruiting_Data!A:A, A459)&gt;1, TRUE, FALSE))</f>
        <v/>
      </c>
      <c r="H459" s="5" t="str">
        <f>IF(A459="", "", IF(OR(AND(Recruiting_Data!N459&lt;&gt;"", Recruiting_Data!J459&lt;&gt;"", Recruiting_Data!N459&lt;Recruiting_Data!J459), AND(Recruiting_Data!M459&lt;&gt;"", Recruiting_Data!L459&lt;&gt;"", Recruiting_Data!M459&lt;Recruiting_Data!L459), AND(Recruiting_Data!L459&lt;&gt;"", Recruiting_Data!K459&lt;&gt;"", Recruiting_Data!L459&lt;Recruiting_Data!K459)), TRUE, FALSE))</f>
        <v/>
      </c>
    </row>
    <row r="460">
      <c r="A460" s="5" t="str">
        <f>IF(Recruiting_Data!A460="", "", Recruiting_Data!A460)</f>
        <v/>
      </c>
      <c r="B460" s="5" t="str">
        <f>IF(Recruiting_Data!B460="", "", Recruiting_Data!B460)</f>
        <v/>
      </c>
      <c r="C460" s="5" t="str">
        <f>IF(AND(ISNUMBER(Recruiting_Data!N460), ISNUMBER(Recruiting_Data!P460)), Recruiting_Data!N460 - Recruiting_Data!P460, "")</f>
        <v/>
      </c>
      <c r="E460" s="5" t="str">
        <f>IF(Recruiting_Data!R460="Open", TODAY() - Recruiting_Data!P460, "")</f>
        <v/>
      </c>
      <c r="F460" s="8" t="str">
        <f t="shared" si="1"/>
        <v/>
      </c>
      <c r="G460" s="5" t="str">
        <f>IF(A460="", "", IF(COUNTIF(Recruiting_Data!A:A, A460)&gt;1, TRUE, FALSE))</f>
        <v/>
      </c>
      <c r="H460" s="5" t="str">
        <f>IF(A460="", "", IF(OR(AND(Recruiting_Data!N460&lt;&gt;"", Recruiting_Data!J460&lt;&gt;"", Recruiting_Data!N460&lt;Recruiting_Data!J460), AND(Recruiting_Data!M460&lt;&gt;"", Recruiting_Data!L460&lt;&gt;"", Recruiting_Data!M460&lt;Recruiting_Data!L460), AND(Recruiting_Data!L460&lt;&gt;"", Recruiting_Data!K460&lt;&gt;"", Recruiting_Data!L460&lt;Recruiting_Data!K460)), TRUE, FALSE))</f>
        <v/>
      </c>
    </row>
    <row r="461">
      <c r="A461" s="5" t="str">
        <f>IF(Recruiting_Data!A461="", "", Recruiting_Data!A461)</f>
        <v/>
      </c>
      <c r="B461" s="5" t="str">
        <f>IF(Recruiting_Data!B461="", "", Recruiting_Data!B461)</f>
        <v/>
      </c>
      <c r="C461" s="5" t="str">
        <f>IF(AND(ISNUMBER(Recruiting_Data!N461), ISNUMBER(Recruiting_Data!P461)), Recruiting_Data!N461 - Recruiting_Data!P461, "")</f>
        <v/>
      </c>
      <c r="E461" s="5" t="str">
        <f>IF(Recruiting_Data!R461="Open", TODAY() - Recruiting_Data!P461, "")</f>
        <v/>
      </c>
      <c r="F461" s="8" t="str">
        <f t="shared" si="1"/>
        <v/>
      </c>
      <c r="G461" s="5" t="str">
        <f>IF(A461="", "", IF(COUNTIF(Recruiting_Data!A:A, A461)&gt;1, TRUE, FALSE))</f>
        <v/>
      </c>
      <c r="H461" s="5" t="str">
        <f>IF(A461="", "", IF(OR(AND(Recruiting_Data!N461&lt;&gt;"", Recruiting_Data!J461&lt;&gt;"", Recruiting_Data!N461&lt;Recruiting_Data!J461), AND(Recruiting_Data!M461&lt;&gt;"", Recruiting_Data!L461&lt;&gt;"", Recruiting_Data!M461&lt;Recruiting_Data!L461), AND(Recruiting_Data!L461&lt;&gt;"", Recruiting_Data!K461&lt;&gt;"", Recruiting_Data!L461&lt;Recruiting_Data!K461)), TRUE, FALSE))</f>
        <v/>
      </c>
    </row>
    <row r="462">
      <c r="A462" s="5" t="str">
        <f>IF(Recruiting_Data!A462="", "", Recruiting_Data!A462)</f>
        <v/>
      </c>
      <c r="B462" s="5" t="str">
        <f>IF(Recruiting_Data!B462="", "", Recruiting_Data!B462)</f>
        <v/>
      </c>
      <c r="C462" s="5" t="str">
        <f>IF(AND(ISNUMBER(Recruiting_Data!N462), ISNUMBER(Recruiting_Data!P462)), Recruiting_Data!N462 - Recruiting_Data!P462, "")</f>
        <v/>
      </c>
      <c r="E462" s="5" t="str">
        <f>IF(Recruiting_Data!R462="Open", TODAY() - Recruiting_Data!P462, "")</f>
        <v/>
      </c>
      <c r="F462" s="8" t="str">
        <f t="shared" si="1"/>
        <v/>
      </c>
      <c r="G462" s="5" t="str">
        <f>IF(A462="", "", IF(COUNTIF(Recruiting_Data!A:A, A462)&gt;1, TRUE, FALSE))</f>
        <v/>
      </c>
      <c r="H462" s="5" t="str">
        <f>IF(A462="", "", IF(OR(AND(Recruiting_Data!N462&lt;&gt;"", Recruiting_Data!J462&lt;&gt;"", Recruiting_Data!N462&lt;Recruiting_Data!J462), AND(Recruiting_Data!M462&lt;&gt;"", Recruiting_Data!L462&lt;&gt;"", Recruiting_Data!M462&lt;Recruiting_Data!L462), AND(Recruiting_Data!L462&lt;&gt;"", Recruiting_Data!K462&lt;&gt;"", Recruiting_Data!L462&lt;Recruiting_Data!K462)), TRUE, FALSE))</f>
        <v/>
      </c>
    </row>
    <row r="463">
      <c r="A463" s="5" t="str">
        <f>IF(Recruiting_Data!A463="", "", Recruiting_Data!A463)</f>
        <v/>
      </c>
      <c r="B463" s="5" t="str">
        <f>IF(Recruiting_Data!B463="", "", Recruiting_Data!B463)</f>
        <v/>
      </c>
      <c r="C463" s="5" t="str">
        <f>IF(AND(ISNUMBER(Recruiting_Data!N463), ISNUMBER(Recruiting_Data!P463)), Recruiting_Data!N463 - Recruiting_Data!P463, "")</f>
        <v/>
      </c>
      <c r="E463" s="5" t="str">
        <f>IF(Recruiting_Data!R463="Open", TODAY() - Recruiting_Data!P463, "")</f>
        <v/>
      </c>
      <c r="F463" s="8" t="str">
        <f t="shared" si="1"/>
        <v/>
      </c>
      <c r="G463" s="5" t="str">
        <f>IF(A463="", "", IF(COUNTIF(Recruiting_Data!A:A, A463)&gt;1, TRUE, FALSE))</f>
        <v/>
      </c>
      <c r="H463" s="5" t="str">
        <f>IF(A463="", "", IF(OR(AND(Recruiting_Data!N463&lt;&gt;"", Recruiting_Data!J463&lt;&gt;"", Recruiting_Data!N463&lt;Recruiting_Data!J463), AND(Recruiting_Data!M463&lt;&gt;"", Recruiting_Data!L463&lt;&gt;"", Recruiting_Data!M463&lt;Recruiting_Data!L463), AND(Recruiting_Data!L463&lt;&gt;"", Recruiting_Data!K463&lt;&gt;"", Recruiting_Data!L463&lt;Recruiting_Data!K463)), TRUE, FALSE))</f>
        <v/>
      </c>
    </row>
    <row r="464">
      <c r="A464" s="5" t="str">
        <f>IF(Recruiting_Data!A464="", "", Recruiting_Data!A464)</f>
        <v/>
      </c>
      <c r="B464" s="5" t="str">
        <f>IF(Recruiting_Data!B464="", "", Recruiting_Data!B464)</f>
        <v/>
      </c>
      <c r="C464" s="5" t="str">
        <f>IF(AND(ISNUMBER(Recruiting_Data!N464), ISNUMBER(Recruiting_Data!P464)), Recruiting_Data!N464 - Recruiting_Data!P464, "")</f>
        <v/>
      </c>
      <c r="E464" s="5" t="str">
        <f>IF(Recruiting_Data!R464="Open", TODAY() - Recruiting_Data!P464, "")</f>
        <v/>
      </c>
      <c r="F464" s="8" t="str">
        <f t="shared" si="1"/>
        <v/>
      </c>
      <c r="G464" s="5" t="str">
        <f>IF(A464="", "", IF(COUNTIF(Recruiting_Data!A:A, A464)&gt;1, TRUE, FALSE))</f>
        <v/>
      </c>
      <c r="H464" s="5" t="str">
        <f>IF(A464="", "", IF(OR(AND(Recruiting_Data!N464&lt;&gt;"", Recruiting_Data!J464&lt;&gt;"", Recruiting_Data!N464&lt;Recruiting_Data!J464), AND(Recruiting_Data!M464&lt;&gt;"", Recruiting_Data!L464&lt;&gt;"", Recruiting_Data!M464&lt;Recruiting_Data!L464), AND(Recruiting_Data!L464&lt;&gt;"", Recruiting_Data!K464&lt;&gt;"", Recruiting_Data!L464&lt;Recruiting_Data!K464)), TRUE, FALSE))</f>
        <v/>
      </c>
    </row>
    <row r="465">
      <c r="A465" s="5" t="str">
        <f>IF(Recruiting_Data!A465="", "", Recruiting_Data!A465)</f>
        <v/>
      </c>
      <c r="B465" s="5" t="str">
        <f>IF(Recruiting_Data!B465="", "", Recruiting_Data!B465)</f>
        <v/>
      </c>
      <c r="C465" s="5" t="str">
        <f>IF(AND(ISNUMBER(Recruiting_Data!N465), ISNUMBER(Recruiting_Data!P465)), Recruiting_Data!N465 - Recruiting_Data!P465, "")</f>
        <v/>
      </c>
      <c r="E465" s="5" t="str">
        <f>IF(Recruiting_Data!R465="Open", TODAY() - Recruiting_Data!P465, "")</f>
        <v/>
      </c>
      <c r="F465" s="8" t="str">
        <f t="shared" si="1"/>
        <v/>
      </c>
      <c r="G465" s="5" t="str">
        <f>IF(A465="", "", IF(COUNTIF(Recruiting_Data!A:A, A465)&gt;1, TRUE, FALSE))</f>
        <v/>
      </c>
      <c r="H465" s="5" t="str">
        <f>IF(A465="", "", IF(OR(AND(Recruiting_Data!N465&lt;&gt;"", Recruiting_Data!J465&lt;&gt;"", Recruiting_Data!N465&lt;Recruiting_Data!J465), AND(Recruiting_Data!M465&lt;&gt;"", Recruiting_Data!L465&lt;&gt;"", Recruiting_Data!M465&lt;Recruiting_Data!L465), AND(Recruiting_Data!L465&lt;&gt;"", Recruiting_Data!K465&lt;&gt;"", Recruiting_Data!L465&lt;Recruiting_Data!K465)), TRUE, FALSE))</f>
        <v/>
      </c>
    </row>
    <row r="466">
      <c r="A466" s="5" t="str">
        <f>IF(Recruiting_Data!A466="", "", Recruiting_Data!A466)</f>
        <v/>
      </c>
      <c r="B466" s="5" t="str">
        <f>IF(Recruiting_Data!B466="", "", Recruiting_Data!B466)</f>
        <v/>
      </c>
      <c r="C466" s="5" t="str">
        <f>IF(AND(ISNUMBER(Recruiting_Data!N466), ISNUMBER(Recruiting_Data!P466)), Recruiting_Data!N466 - Recruiting_Data!P466, "")</f>
        <v/>
      </c>
      <c r="E466" s="5" t="str">
        <f>IF(Recruiting_Data!R466="Open", TODAY() - Recruiting_Data!P466, "")</f>
        <v/>
      </c>
      <c r="F466" s="8" t="str">
        <f t="shared" si="1"/>
        <v/>
      </c>
      <c r="G466" s="5" t="str">
        <f>IF(A466="", "", IF(COUNTIF(Recruiting_Data!A:A, A466)&gt;1, TRUE, FALSE))</f>
        <v/>
      </c>
      <c r="H466" s="5" t="str">
        <f>IF(A466="", "", IF(OR(AND(Recruiting_Data!N466&lt;&gt;"", Recruiting_Data!J466&lt;&gt;"", Recruiting_Data!N466&lt;Recruiting_Data!J466), AND(Recruiting_Data!M466&lt;&gt;"", Recruiting_Data!L466&lt;&gt;"", Recruiting_Data!M466&lt;Recruiting_Data!L466), AND(Recruiting_Data!L466&lt;&gt;"", Recruiting_Data!K466&lt;&gt;"", Recruiting_Data!L466&lt;Recruiting_Data!K466)), TRUE, FALSE))</f>
        <v/>
      </c>
    </row>
    <row r="467">
      <c r="A467" s="5" t="str">
        <f>IF(Recruiting_Data!A467="", "", Recruiting_Data!A467)</f>
        <v/>
      </c>
      <c r="B467" s="5" t="str">
        <f>IF(Recruiting_Data!B467="", "", Recruiting_Data!B467)</f>
        <v/>
      </c>
      <c r="C467" s="5" t="str">
        <f>IF(AND(ISNUMBER(Recruiting_Data!N467), ISNUMBER(Recruiting_Data!P467)), Recruiting_Data!N467 - Recruiting_Data!P467, "")</f>
        <v/>
      </c>
      <c r="E467" s="5" t="str">
        <f>IF(Recruiting_Data!R467="Open", TODAY() - Recruiting_Data!P467, "")</f>
        <v/>
      </c>
      <c r="F467" s="8" t="str">
        <f t="shared" si="1"/>
        <v/>
      </c>
      <c r="G467" s="5" t="str">
        <f>IF(A467="", "", IF(COUNTIF(Recruiting_Data!A:A, A467)&gt;1, TRUE, FALSE))</f>
        <v/>
      </c>
      <c r="H467" s="5" t="str">
        <f>IF(A467="", "", IF(OR(AND(Recruiting_Data!N467&lt;&gt;"", Recruiting_Data!J467&lt;&gt;"", Recruiting_Data!N467&lt;Recruiting_Data!J467), AND(Recruiting_Data!M467&lt;&gt;"", Recruiting_Data!L467&lt;&gt;"", Recruiting_Data!M467&lt;Recruiting_Data!L467), AND(Recruiting_Data!L467&lt;&gt;"", Recruiting_Data!K467&lt;&gt;"", Recruiting_Data!L467&lt;Recruiting_Data!K467)), TRUE, FALSE))</f>
        <v/>
      </c>
    </row>
    <row r="468">
      <c r="A468" s="5" t="str">
        <f>IF(Recruiting_Data!A468="", "", Recruiting_Data!A468)</f>
        <v/>
      </c>
      <c r="B468" s="5" t="str">
        <f>IF(Recruiting_Data!B468="", "", Recruiting_Data!B468)</f>
        <v/>
      </c>
      <c r="C468" s="5" t="str">
        <f>IF(AND(ISNUMBER(Recruiting_Data!N468), ISNUMBER(Recruiting_Data!P468)), Recruiting_Data!N468 - Recruiting_Data!P468, "")</f>
        <v/>
      </c>
      <c r="E468" s="5" t="str">
        <f>IF(Recruiting_Data!R468="Open", TODAY() - Recruiting_Data!P468, "")</f>
        <v/>
      </c>
      <c r="F468" s="8" t="str">
        <f t="shared" si="1"/>
        <v/>
      </c>
      <c r="G468" s="5" t="str">
        <f>IF(A468="", "", IF(COUNTIF(Recruiting_Data!A:A, A468)&gt;1, TRUE, FALSE))</f>
        <v/>
      </c>
      <c r="H468" s="5" t="str">
        <f>IF(A468="", "", IF(OR(AND(Recruiting_Data!N468&lt;&gt;"", Recruiting_Data!J468&lt;&gt;"", Recruiting_Data!N468&lt;Recruiting_Data!J468), AND(Recruiting_Data!M468&lt;&gt;"", Recruiting_Data!L468&lt;&gt;"", Recruiting_Data!M468&lt;Recruiting_Data!L468), AND(Recruiting_Data!L468&lt;&gt;"", Recruiting_Data!K468&lt;&gt;"", Recruiting_Data!L468&lt;Recruiting_Data!K468)), TRUE, FALSE))</f>
        <v/>
      </c>
    </row>
    <row r="469">
      <c r="A469" s="5" t="str">
        <f>IF(Recruiting_Data!A469="", "", Recruiting_Data!A469)</f>
        <v/>
      </c>
      <c r="B469" s="5" t="str">
        <f>IF(Recruiting_Data!B469="", "", Recruiting_Data!B469)</f>
        <v/>
      </c>
      <c r="C469" s="5" t="str">
        <f>IF(AND(ISNUMBER(Recruiting_Data!N469), ISNUMBER(Recruiting_Data!P469)), Recruiting_Data!N469 - Recruiting_Data!P469, "")</f>
        <v/>
      </c>
      <c r="E469" s="5" t="str">
        <f>IF(Recruiting_Data!R469="Open", TODAY() - Recruiting_Data!P469, "")</f>
        <v/>
      </c>
      <c r="F469" s="8" t="str">
        <f t="shared" si="1"/>
        <v/>
      </c>
      <c r="G469" s="5" t="str">
        <f>IF(A469="", "", IF(COUNTIF(Recruiting_Data!A:A, A469)&gt;1, TRUE, FALSE))</f>
        <v/>
      </c>
      <c r="H469" s="5" t="str">
        <f>IF(A469="", "", IF(OR(AND(Recruiting_Data!N469&lt;&gt;"", Recruiting_Data!J469&lt;&gt;"", Recruiting_Data!N469&lt;Recruiting_Data!J469), AND(Recruiting_Data!M469&lt;&gt;"", Recruiting_Data!L469&lt;&gt;"", Recruiting_Data!M469&lt;Recruiting_Data!L469), AND(Recruiting_Data!L469&lt;&gt;"", Recruiting_Data!K469&lt;&gt;"", Recruiting_Data!L469&lt;Recruiting_Data!K469)), TRUE, FALSE))</f>
        <v/>
      </c>
    </row>
    <row r="470">
      <c r="A470" s="5" t="str">
        <f>IF(Recruiting_Data!A470="", "", Recruiting_Data!A470)</f>
        <v/>
      </c>
      <c r="B470" s="5" t="str">
        <f>IF(Recruiting_Data!B470="", "", Recruiting_Data!B470)</f>
        <v/>
      </c>
      <c r="C470" s="5" t="str">
        <f>IF(AND(ISNUMBER(Recruiting_Data!N470), ISNUMBER(Recruiting_Data!P470)), Recruiting_Data!N470 - Recruiting_Data!P470, "")</f>
        <v/>
      </c>
      <c r="E470" s="5" t="str">
        <f>IF(Recruiting_Data!R470="Open", TODAY() - Recruiting_Data!P470, "")</f>
        <v/>
      </c>
      <c r="F470" s="8" t="str">
        <f t="shared" si="1"/>
        <v/>
      </c>
      <c r="G470" s="5" t="str">
        <f>IF(A470="", "", IF(COUNTIF(Recruiting_Data!A:A, A470)&gt;1, TRUE, FALSE))</f>
        <v/>
      </c>
      <c r="H470" s="5" t="str">
        <f>IF(A470="", "", IF(OR(AND(Recruiting_Data!N470&lt;&gt;"", Recruiting_Data!J470&lt;&gt;"", Recruiting_Data!N470&lt;Recruiting_Data!J470), AND(Recruiting_Data!M470&lt;&gt;"", Recruiting_Data!L470&lt;&gt;"", Recruiting_Data!M470&lt;Recruiting_Data!L470), AND(Recruiting_Data!L470&lt;&gt;"", Recruiting_Data!K470&lt;&gt;"", Recruiting_Data!L470&lt;Recruiting_Data!K470)), TRUE, FALSE))</f>
        <v/>
      </c>
    </row>
    <row r="471">
      <c r="A471" s="5" t="str">
        <f>IF(Recruiting_Data!A471="", "", Recruiting_Data!A471)</f>
        <v/>
      </c>
      <c r="B471" s="5" t="str">
        <f>IF(Recruiting_Data!B471="", "", Recruiting_Data!B471)</f>
        <v/>
      </c>
      <c r="C471" s="5" t="str">
        <f>IF(AND(ISNUMBER(Recruiting_Data!N471), ISNUMBER(Recruiting_Data!P471)), Recruiting_Data!N471 - Recruiting_Data!P471, "")</f>
        <v/>
      </c>
      <c r="E471" s="5" t="str">
        <f>IF(Recruiting_Data!R471="Open", TODAY() - Recruiting_Data!P471, "")</f>
        <v/>
      </c>
      <c r="F471" s="8" t="str">
        <f t="shared" si="1"/>
        <v/>
      </c>
      <c r="G471" s="5" t="str">
        <f>IF(A471="", "", IF(COUNTIF(Recruiting_Data!A:A, A471)&gt;1, TRUE, FALSE))</f>
        <v/>
      </c>
      <c r="H471" s="5" t="str">
        <f>IF(A471="", "", IF(OR(AND(Recruiting_Data!N471&lt;&gt;"", Recruiting_Data!J471&lt;&gt;"", Recruiting_Data!N471&lt;Recruiting_Data!J471), AND(Recruiting_Data!M471&lt;&gt;"", Recruiting_Data!L471&lt;&gt;"", Recruiting_Data!M471&lt;Recruiting_Data!L471), AND(Recruiting_Data!L471&lt;&gt;"", Recruiting_Data!K471&lt;&gt;"", Recruiting_Data!L471&lt;Recruiting_Data!K471)), TRUE, FALSE))</f>
        <v/>
      </c>
    </row>
    <row r="472">
      <c r="A472" s="5" t="str">
        <f>IF(Recruiting_Data!A472="", "", Recruiting_Data!A472)</f>
        <v/>
      </c>
      <c r="B472" s="5" t="str">
        <f>IF(Recruiting_Data!B472="", "", Recruiting_Data!B472)</f>
        <v/>
      </c>
      <c r="C472" s="5" t="str">
        <f>IF(AND(ISNUMBER(Recruiting_Data!N472), ISNUMBER(Recruiting_Data!P472)), Recruiting_Data!N472 - Recruiting_Data!P472, "")</f>
        <v/>
      </c>
      <c r="E472" s="5" t="str">
        <f>IF(Recruiting_Data!R472="Open", TODAY() - Recruiting_Data!P472, "")</f>
        <v/>
      </c>
      <c r="F472" s="8" t="str">
        <f t="shared" si="1"/>
        <v/>
      </c>
      <c r="G472" s="5" t="str">
        <f>IF(A472="", "", IF(COUNTIF(Recruiting_Data!A:A, A472)&gt;1, TRUE, FALSE))</f>
        <v/>
      </c>
      <c r="H472" s="5" t="str">
        <f>IF(A472="", "", IF(OR(AND(Recruiting_Data!N472&lt;&gt;"", Recruiting_Data!J472&lt;&gt;"", Recruiting_Data!N472&lt;Recruiting_Data!J472), AND(Recruiting_Data!M472&lt;&gt;"", Recruiting_Data!L472&lt;&gt;"", Recruiting_Data!M472&lt;Recruiting_Data!L472), AND(Recruiting_Data!L472&lt;&gt;"", Recruiting_Data!K472&lt;&gt;"", Recruiting_Data!L472&lt;Recruiting_Data!K472)), TRUE, FALSE))</f>
        <v/>
      </c>
    </row>
    <row r="473">
      <c r="A473" s="5" t="str">
        <f>IF(Recruiting_Data!A473="", "", Recruiting_Data!A473)</f>
        <v/>
      </c>
      <c r="B473" s="5" t="str">
        <f>IF(Recruiting_Data!B473="", "", Recruiting_Data!B473)</f>
        <v/>
      </c>
      <c r="C473" s="5" t="str">
        <f>IF(AND(ISNUMBER(Recruiting_Data!N473), ISNUMBER(Recruiting_Data!P473)), Recruiting_Data!N473 - Recruiting_Data!P473, "")</f>
        <v/>
      </c>
      <c r="E473" s="5" t="str">
        <f>IF(Recruiting_Data!R473="Open", TODAY() - Recruiting_Data!P473, "")</f>
        <v/>
      </c>
      <c r="F473" s="8" t="str">
        <f t="shared" si="1"/>
        <v/>
      </c>
      <c r="G473" s="5" t="str">
        <f>IF(A473="", "", IF(COUNTIF(Recruiting_Data!A:A, A473)&gt;1, TRUE, FALSE))</f>
        <v/>
      </c>
      <c r="H473" s="5" t="str">
        <f>IF(A473="", "", IF(OR(AND(Recruiting_Data!N473&lt;&gt;"", Recruiting_Data!J473&lt;&gt;"", Recruiting_Data!N473&lt;Recruiting_Data!J473), AND(Recruiting_Data!M473&lt;&gt;"", Recruiting_Data!L473&lt;&gt;"", Recruiting_Data!M473&lt;Recruiting_Data!L473), AND(Recruiting_Data!L473&lt;&gt;"", Recruiting_Data!K473&lt;&gt;"", Recruiting_Data!L473&lt;Recruiting_Data!K473)), TRUE, FALSE))</f>
        <v/>
      </c>
    </row>
    <row r="474">
      <c r="A474" s="5" t="str">
        <f>IF(Recruiting_Data!A474="", "", Recruiting_Data!A474)</f>
        <v/>
      </c>
      <c r="B474" s="5" t="str">
        <f>IF(Recruiting_Data!B474="", "", Recruiting_Data!B474)</f>
        <v/>
      </c>
      <c r="C474" s="5" t="str">
        <f>IF(AND(ISNUMBER(Recruiting_Data!N474), ISNUMBER(Recruiting_Data!P474)), Recruiting_Data!N474 - Recruiting_Data!P474, "")</f>
        <v/>
      </c>
      <c r="E474" s="5" t="str">
        <f>IF(Recruiting_Data!R474="Open", TODAY() - Recruiting_Data!P474, "")</f>
        <v/>
      </c>
      <c r="F474" s="8" t="str">
        <f t="shared" si="1"/>
        <v/>
      </c>
      <c r="G474" s="5" t="str">
        <f>IF(A474="", "", IF(COUNTIF(Recruiting_Data!A:A, A474)&gt;1, TRUE, FALSE))</f>
        <v/>
      </c>
      <c r="H474" s="5" t="str">
        <f>IF(A474="", "", IF(OR(AND(Recruiting_Data!N474&lt;&gt;"", Recruiting_Data!J474&lt;&gt;"", Recruiting_Data!N474&lt;Recruiting_Data!J474), AND(Recruiting_Data!M474&lt;&gt;"", Recruiting_Data!L474&lt;&gt;"", Recruiting_Data!M474&lt;Recruiting_Data!L474), AND(Recruiting_Data!L474&lt;&gt;"", Recruiting_Data!K474&lt;&gt;"", Recruiting_Data!L474&lt;Recruiting_Data!K474)), TRUE, FALSE))</f>
        <v/>
      </c>
    </row>
    <row r="475">
      <c r="A475" s="5" t="str">
        <f>IF(Recruiting_Data!A475="", "", Recruiting_Data!A475)</f>
        <v/>
      </c>
      <c r="B475" s="5" t="str">
        <f>IF(Recruiting_Data!B475="", "", Recruiting_Data!B475)</f>
        <v/>
      </c>
      <c r="C475" s="5" t="str">
        <f>IF(AND(ISNUMBER(Recruiting_Data!N475), ISNUMBER(Recruiting_Data!P475)), Recruiting_Data!N475 - Recruiting_Data!P475, "")</f>
        <v/>
      </c>
      <c r="E475" s="5" t="str">
        <f>IF(Recruiting_Data!R475="Open", TODAY() - Recruiting_Data!P475, "")</f>
        <v/>
      </c>
      <c r="F475" s="8" t="str">
        <f t="shared" si="1"/>
        <v/>
      </c>
      <c r="G475" s="5" t="str">
        <f>IF(A475="", "", IF(COUNTIF(Recruiting_Data!A:A, A475)&gt;1, TRUE, FALSE))</f>
        <v/>
      </c>
      <c r="H475" s="5" t="str">
        <f>IF(A475="", "", IF(OR(AND(Recruiting_Data!N475&lt;&gt;"", Recruiting_Data!J475&lt;&gt;"", Recruiting_Data!N475&lt;Recruiting_Data!J475), AND(Recruiting_Data!M475&lt;&gt;"", Recruiting_Data!L475&lt;&gt;"", Recruiting_Data!M475&lt;Recruiting_Data!L475), AND(Recruiting_Data!L475&lt;&gt;"", Recruiting_Data!K475&lt;&gt;"", Recruiting_Data!L475&lt;Recruiting_Data!K475)), TRUE, FALSE))</f>
        <v/>
      </c>
    </row>
    <row r="476">
      <c r="A476" s="5" t="str">
        <f>IF(Recruiting_Data!A476="", "", Recruiting_Data!A476)</f>
        <v/>
      </c>
      <c r="B476" s="5" t="str">
        <f>IF(Recruiting_Data!B476="", "", Recruiting_Data!B476)</f>
        <v/>
      </c>
      <c r="C476" s="5" t="str">
        <f>IF(AND(ISNUMBER(Recruiting_Data!N476), ISNUMBER(Recruiting_Data!P476)), Recruiting_Data!N476 - Recruiting_Data!P476, "")</f>
        <v/>
      </c>
      <c r="E476" s="5" t="str">
        <f>IF(Recruiting_Data!R476="Open", TODAY() - Recruiting_Data!P476, "")</f>
        <v/>
      </c>
      <c r="F476" s="8" t="str">
        <f t="shared" si="1"/>
        <v/>
      </c>
      <c r="G476" s="5" t="str">
        <f>IF(A476="", "", IF(COUNTIF(Recruiting_Data!A:A, A476)&gt;1, TRUE, FALSE))</f>
        <v/>
      </c>
      <c r="H476" s="5" t="str">
        <f>IF(A476="", "", IF(OR(AND(Recruiting_Data!N476&lt;&gt;"", Recruiting_Data!J476&lt;&gt;"", Recruiting_Data!N476&lt;Recruiting_Data!J476), AND(Recruiting_Data!M476&lt;&gt;"", Recruiting_Data!L476&lt;&gt;"", Recruiting_Data!M476&lt;Recruiting_Data!L476), AND(Recruiting_Data!L476&lt;&gt;"", Recruiting_Data!K476&lt;&gt;"", Recruiting_Data!L476&lt;Recruiting_Data!K476)), TRUE, FALSE))</f>
        <v/>
      </c>
    </row>
    <row r="477">
      <c r="A477" s="5" t="str">
        <f>IF(Recruiting_Data!A477="", "", Recruiting_Data!A477)</f>
        <v/>
      </c>
      <c r="B477" s="5" t="str">
        <f>IF(Recruiting_Data!B477="", "", Recruiting_Data!B477)</f>
        <v/>
      </c>
      <c r="C477" s="5" t="str">
        <f>IF(AND(ISNUMBER(Recruiting_Data!N477), ISNUMBER(Recruiting_Data!P477)), Recruiting_Data!N477 - Recruiting_Data!P477, "")</f>
        <v/>
      </c>
      <c r="E477" s="5" t="str">
        <f>IF(Recruiting_Data!R477="Open", TODAY() - Recruiting_Data!P477, "")</f>
        <v/>
      </c>
      <c r="F477" s="8" t="str">
        <f t="shared" si="1"/>
        <v/>
      </c>
      <c r="G477" s="5" t="str">
        <f>IF(A477="", "", IF(COUNTIF(Recruiting_Data!A:A, A477)&gt;1, TRUE, FALSE))</f>
        <v/>
      </c>
      <c r="H477" s="5" t="str">
        <f>IF(A477="", "", IF(OR(AND(Recruiting_Data!N477&lt;&gt;"", Recruiting_Data!J477&lt;&gt;"", Recruiting_Data!N477&lt;Recruiting_Data!J477), AND(Recruiting_Data!M477&lt;&gt;"", Recruiting_Data!L477&lt;&gt;"", Recruiting_Data!M477&lt;Recruiting_Data!L477), AND(Recruiting_Data!L477&lt;&gt;"", Recruiting_Data!K477&lt;&gt;"", Recruiting_Data!L477&lt;Recruiting_Data!K477)), TRUE, FALSE))</f>
        <v/>
      </c>
    </row>
    <row r="478">
      <c r="A478" s="5" t="str">
        <f>IF(Recruiting_Data!A478="", "", Recruiting_Data!A478)</f>
        <v/>
      </c>
      <c r="B478" s="5" t="str">
        <f>IF(Recruiting_Data!B478="", "", Recruiting_Data!B478)</f>
        <v/>
      </c>
      <c r="C478" s="5" t="str">
        <f>IF(AND(ISNUMBER(Recruiting_Data!N478), ISNUMBER(Recruiting_Data!P478)), Recruiting_Data!N478 - Recruiting_Data!P478, "")</f>
        <v/>
      </c>
      <c r="E478" s="5" t="str">
        <f>IF(Recruiting_Data!R478="Open", TODAY() - Recruiting_Data!P478, "")</f>
        <v/>
      </c>
      <c r="F478" s="8" t="str">
        <f t="shared" si="1"/>
        <v/>
      </c>
      <c r="G478" s="5" t="str">
        <f>IF(A478="", "", IF(COUNTIF(Recruiting_Data!A:A, A478)&gt;1, TRUE, FALSE))</f>
        <v/>
      </c>
      <c r="H478" s="5" t="str">
        <f>IF(A478="", "", IF(OR(AND(Recruiting_Data!N478&lt;&gt;"", Recruiting_Data!J478&lt;&gt;"", Recruiting_Data!N478&lt;Recruiting_Data!J478), AND(Recruiting_Data!M478&lt;&gt;"", Recruiting_Data!L478&lt;&gt;"", Recruiting_Data!M478&lt;Recruiting_Data!L478), AND(Recruiting_Data!L478&lt;&gt;"", Recruiting_Data!K478&lt;&gt;"", Recruiting_Data!L478&lt;Recruiting_Data!K478)), TRUE, FALSE))</f>
        <v/>
      </c>
    </row>
    <row r="479">
      <c r="A479" s="5" t="str">
        <f>IF(Recruiting_Data!A479="", "", Recruiting_Data!A479)</f>
        <v/>
      </c>
      <c r="B479" s="5" t="str">
        <f>IF(Recruiting_Data!B479="", "", Recruiting_Data!B479)</f>
        <v/>
      </c>
      <c r="C479" s="5" t="str">
        <f>IF(AND(ISNUMBER(Recruiting_Data!N479), ISNUMBER(Recruiting_Data!P479)), Recruiting_Data!N479 - Recruiting_Data!P479, "")</f>
        <v/>
      </c>
      <c r="E479" s="5" t="str">
        <f>IF(Recruiting_Data!R479="Open", TODAY() - Recruiting_Data!P479, "")</f>
        <v/>
      </c>
      <c r="F479" s="8" t="str">
        <f t="shared" si="1"/>
        <v/>
      </c>
      <c r="G479" s="5" t="str">
        <f>IF(A479="", "", IF(COUNTIF(Recruiting_Data!A:A, A479)&gt;1, TRUE, FALSE))</f>
        <v/>
      </c>
      <c r="H479" s="5" t="str">
        <f>IF(A479="", "", IF(OR(AND(Recruiting_Data!N479&lt;&gt;"", Recruiting_Data!J479&lt;&gt;"", Recruiting_Data!N479&lt;Recruiting_Data!J479), AND(Recruiting_Data!M479&lt;&gt;"", Recruiting_Data!L479&lt;&gt;"", Recruiting_Data!M479&lt;Recruiting_Data!L479), AND(Recruiting_Data!L479&lt;&gt;"", Recruiting_Data!K479&lt;&gt;"", Recruiting_Data!L479&lt;Recruiting_Data!K479)), TRUE, FALSE))</f>
        <v/>
      </c>
    </row>
    <row r="480">
      <c r="A480" s="5" t="str">
        <f>IF(Recruiting_Data!A480="", "", Recruiting_Data!A480)</f>
        <v/>
      </c>
      <c r="B480" s="5" t="str">
        <f>IF(Recruiting_Data!B480="", "", Recruiting_Data!B480)</f>
        <v/>
      </c>
      <c r="C480" s="5" t="str">
        <f>IF(AND(ISNUMBER(Recruiting_Data!N480), ISNUMBER(Recruiting_Data!P480)), Recruiting_Data!N480 - Recruiting_Data!P480, "")</f>
        <v/>
      </c>
      <c r="E480" s="5" t="str">
        <f>IF(Recruiting_Data!R480="Open", TODAY() - Recruiting_Data!P480, "")</f>
        <v/>
      </c>
      <c r="F480" s="8" t="str">
        <f t="shared" si="1"/>
        <v/>
      </c>
      <c r="G480" s="5" t="str">
        <f>IF(A480="", "", IF(COUNTIF(Recruiting_Data!A:A, A480)&gt;1, TRUE, FALSE))</f>
        <v/>
      </c>
      <c r="H480" s="5" t="str">
        <f>IF(A480="", "", IF(OR(AND(Recruiting_Data!N480&lt;&gt;"", Recruiting_Data!J480&lt;&gt;"", Recruiting_Data!N480&lt;Recruiting_Data!J480), AND(Recruiting_Data!M480&lt;&gt;"", Recruiting_Data!L480&lt;&gt;"", Recruiting_Data!M480&lt;Recruiting_Data!L480), AND(Recruiting_Data!L480&lt;&gt;"", Recruiting_Data!K480&lt;&gt;"", Recruiting_Data!L480&lt;Recruiting_Data!K480)), TRUE, FALSE))</f>
        <v/>
      </c>
    </row>
    <row r="481">
      <c r="A481" s="5" t="str">
        <f>IF(Recruiting_Data!A481="", "", Recruiting_Data!A481)</f>
        <v/>
      </c>
      <c r="B481" s="5" t="str">
        <f>IF(Recruiting_Data!B481="", "", Recruiting_Data!B481)</f>
        <v/>
      </c>
      <c r="C481" s="5" t="str">
        <f>IF(AND(ISNUMBER(Recruiting_Data!N481), ISNUMBER(Recruiting_Data!P481)), Recruiting_Data!N481 - Recruiting_Data!P481, "")</f>
        <v/>
      </c>
      <c r="E481" s="5" t="str">
        <f>IF(Recruiting_Data!R481="Open", TODAY() - Recruiting_Data!P481, "")</f>
        <v/>
      </c>
      <c r="F481" s="8" t="str">
        <f t="shared" si="1"/>
        <v/>
      </c>
      <c r="G481" s="5" t="str">
        <f>IF(A481="", "", IF(COUNTIF(Recruiting_Data!A:A, A481)&gt;1, TRUE, FALSE))</f>
        <v/>
      </c>
      <c r="H481" s="5" t="str">
        <f>IF(A481="", "", IF(OR(AND(Recruiting_Data!N481&lt;&gt;"", Recruiting_Data!J481&lt;&gt;"", Recruiting_Data!N481&lt;Recruiting_Data!J481), AND(Recruiting_Data!M481&lt;&gt;"", Recruiting_Data!L481&lt;&gt;"", Recruiting_Data!M481&lt;Recruiting_Data!L481), AND(Recruiting_Data!L481&lt;&gt;"", Recruiting_Data!K481&lt;&gt;"", Recruiting_Data!L481&lt;Recruiting_Data!K481)), TRUE, FALSE))</f>
        <v/>
      </c>
    </row>
    <row r="482">
      <c r="A482" s="5" t="str">
        <f>IF(Recruiting_Data!A482="", "", Recruiting_Data!A482)</f>
        <v/>
      </c>
      <c r="B482" s="5" t="str">
        <f>IF(Recruiting_Data!B482="", "", Recruiting_Data!B482)</f>
        <v/>
      </c>
      <c r="C482" s="5" t="str">
        <f>IF(AND(ISNUMBER(Recruiting_Data!N482), ISNUMBER(Recruiting_Data!P482)), Recruiting_Data!N482 - Recruiting_Data!P482, "")</f>
        <v/>
      </c>
      <c r="E482" s="5" t="str">
        <f>IF(Recruiting_Data!R482="Open", TODAY() - Recruiting_Data!P482, "")</f>
        <v/>
      </c>
      <c r="F482" s="8" t="str">
        <f t="shared" si="1"/>
        <v/>
      </c>
      <c r="G482" s="5" t="str">
        <f>IF(A482="", "", IF(COUNTIF(Recruiting_Data!A:A, A482)&gt;1, TRUE, FALSE))</f>
        <v/>
      </c>
      <c r="H482" s="5" t="str">
        <f>IF(A482="", "", IF(OR(AND(Recruiting_Data!N482&lt;&gt;"", Recruiting_Data!J482&lt;&gt;"", Recruiting_Data!N482&lt;Recruiting_Data!J482), AND(Recruiting_Data!M482&lt;&gt;"", Recruiting_Data!L482&lt;&gt;"", Recruiting_Data!M482&lt;Recruiting_Data!L482), AND(Recruiting_Data!L482&lt;&gt;"", Recruiting_Data!K482&lt;&gt;"", Recruiting_Data!L482&lt;Recruiting_Data!K482)), TRUE, FALSE))</f>
        <v/>
      </c>
    </row>
    <row r="483">
      <c r="A483" s="5" t="str">
        <f>IF(Recruiting_Data!A483="", "", Recruiting_Data!A483)</f>
        <v/>
      </c>
      <c r="B483" s="5" t="str">
        <f>IF(Recruiting_Data!B483="", "", Recruiting_Data!B483)</f>
        <v/>
      </c>
      <c r="C483" s="5" t="str">
        <f>IF(AND(ISNUMBER(Recruiting_Data!N483), ISNUMBER(Recruiting_Data!P483)), Recruiting_Data!N483 - Recruiting_Data!P483, "")</f>
        <v/>
      </c>
      <c r="E483" s="5" t="str">
        <f>IF(Recruiting_Data!R483="Open", TODAY() - Recruiting_Data!P483, "")</f>
        <v/>
      </c>
      <c r="F483" s="8" t="str">
        <f t="shared" si="1"/>
        <v/>
      </c>
      <c r="G483" s="5" t="str">
        <f>IF(A483="", "", IF(COUNTIF(Recruiting_Data!A:A, A483)&gt;1, TRUE, FALSE))</f>
        <v/>
      </c>
      <c r="H483" s="5" t="str">
        <f>IF(A483="", "", IF(OR(AND(Recruiting_Data!N483&lt;&gt;"", Recruiting_Data!J483&lt;&gt;"", Recruiting_Data!N483&lt;Recruiting_Data!J483), AND(Recruiting_Data!M483&lt;&gt;"", Recruiting_Data!L483&lt;&gt;"", Recruiting_Data!M483&lt;Recruiting_Data!L483), AND(Recruiting_Data!L483&lt;&gt;"", Recruiting_Data!K483&lt;&gt;"", Recruiting_Data!L483&lt;Recruiting_Data!K483)), TRUE, FALSE))</f>
        <v/>
      </c>
    </row>
    <row r="484">
      <c r="A484" s="5" t="str">
        <f>IF(Recruiting_Data!A484="", "", Recruiting_Data!A484)</f>
        <v/>
      </c>
      <c r="B484" s="5" t="str">
        <f>IF(Recruiting_Data!B484="", "", Recruiting_Data!B484)</f>
        <v/>
      </c>
      <c r="C484" s="5" t="str">
        <f>IF(AND(ISNUMBER(Recruiting_Data!N484), ISNUMBER(Recruiting_Data!P484)), Recruiting_Data!N484 - Recruiting_Data!P484, "")</f>
        <v/>
      </c>
      <c r="E484" s="5" t="str">
        <f>IF(Recruiting_Data!R484="Open", TODAY() - Recruiting_Data!P484, "")</f>
        <v/>
      </c>
      <c r="F484" s="8" t="str">
        <f t="shared" si="1"/>
        <v/>
      </c>
      <c r="G484" s="5" t="str">
        <f>IF(A484="", "", IF(COUNTIF(Recruiting_Data!A:A, A484)&gt;1, TRUE, FALSE))</f>
        <v/>
      </c>
      <c r="H484" s="5" t="str">
        <f>IF(A484="", "", IF(OR(AND(Recruiting_Data!N484&lt;&gt;"", Recruiting_Data!J484&lt;&gt;"", Recruiting_Data!N484&lt;Recruiting_Data!J484), AND(Recruiting_Data!M484&lt;&gt;"", Recruiting_Data!L484&lt;&gt;"", Recruiting_Data!M484&lt;Recruiting_Data!L484), AND(Recruiting_Data!L484&lt;&gt;"", Recruiting_Data!K484&lt;&gt;"", Recruiting_Data!L484&lt;Recruiting_Data!K484)), TRUE, FALSE))</f>
        <v/>
      </c>
    </row>
    <row r="485">
      <c r="A485" s="5" t="str">
        <f>IF(Recruiting_Data!A485="", "", Recruiting_Data!A485)</f>
        <v/>
      </c>
      <c r="B485" s="5" t="str">
        <f>IF(Recruiting_Data!B485="", "", Recruiting_Data!B485)</f>
        <v/>
      </c>
      <c r="C485" s="5" t="str">
        <f>IF(AND(ISNUMBER(Recruiting_Data!N485), ISNUMBER(Recruiting_Data!P485)), Recruiting_Data!N485 - Recruiting_Data!P485, "")</f>
        <v/>
      </c>
      <c r="E485" s="5" t="str">
        <f>IF(Recruiting_Data!R485="Open", TODAY() - Recruiting_Data!P485, "")</f>
        <v/>
      </c>
      <c r="F485" s="8" t="str">
        <f t="shared" si="1"/>
        <v/>
      </c>
      <c r="G485" s="5" t="str">
        <f>IF(A485="", "", IF(COUNTIF(Recruiting_Data!A:A, A485)&gt;1, TRUE, FALSE))</f>
        <v/>
      </c>
      <c r="H485" s="5" t="str">
        <f>IF(A485="", "", IF(OR(AND(Recruiting_Data!N485&lt;&gt;"", Recruiting_Data!J485&lt;&gt;"", Recruiting_Data!N485&lt;Recruiting_Data!J485), AND(Recruiting_Data!M485&lt;&gt;"", Recruiting_Data!L485&lt;&gt;"", Recruiting_Data!M485&lt;Recruiting_Data!L485), AND(Recruiting_Data!L485&lt;&gt;"", Recruiting_Data!K485&lt;&gt;"", Recruiting_Data!L485&lt;Recruiting_Data!K485)), TRUE, FALSE))</f>
        <v/>
      </c>
    </row>
    <row r="486">
      <c r="A486" s="5" t="str">
        <f>IF(Recruiting_Data!A486="", "", Recruiting_Data!A486)</f>
        <v/>
      </c>
      <c r="B486" s="5" t="str">
        <f>IF(Recruiting_Data!B486="", "", Recruiting_Data!B486)</f>
        <v/>
      </c>
      <c r="C486" s="5" t="str">
        <f>IF(AND(ISNUMBER(Recruiting_Data!N486), ISNUMBER(Recruiting_Data!P486)), Recruiting_Data!N486 - Recruiting_Data!P486, "")</f>
        <v/>
      </c>
      <c r="E486" s="5" t="str">
        <f>IF(Recruiting_Data!R486="Open", TODAY() - Recruiting_Data!P486, "")</f>
        <v/>
      </c>
      <c r="F486" s="8" t="str">
        <f t="shared" si="1"/>
        <v/>
      </c>
      <c r="G486" s="5" t="str">
        <f>IF(A486="", "", IF(COUNTIF(Recruiting_Data!A:A, A486)&gt;1, TRUE, FALSE))</f>
        <v/>
      </c>
      <c r="H486" s="5" t="str">
        <f>IF(A486="", "", IF(OR(AND(Recruiting_Data!N486&lt;&gt;"", Recruiting_Data!J486&lt;&gt;"", Recruiting_Data!N486&lt;Recruiting_Data!J486), AND(Recruiting_Data!M486&lt;&gt;"", Recruiting_Data!L486&lt;&gt;"", Recruiting_Data!M486&lt;Recruiting_Data!L486), AND(Recruiting_Data!L486&lt;&gt;"", Recruiting_Data!K486&lt;&gt;"", Recruiting_Data!L486&lt;Recruiting_Data!K486)), TRUE, FALSE))</f>
        <v/>
      </c>
    </row>
    <row r="487">
      <c r="A487" s="5" t="str">
        <f>IF(Recruiting_Data!A487="", "", Recruiting_Data!A487)</f>
        <v/>
      </c>
      <c r="B487" s="5" t="str">
        <f>IF(Recruiting_Data!B487="", "", Recruiting_Data!B487)</f>
        <v/>
      </c>
      <c r="C487" s="5" t="str">
        <f>IF(AND(ISNUMBER(Recruiting_Data!N487), ISNUMBER(Recruiting_Data!P487)), Recruiting_Data!N487 - Recruiting_Data!P487, "")</f>
        <v/>
      </c>
      <c r="E487" s="5" t="str">
        <f>IF(Recruiting_Data!R487="Open", TODAY() - Recruiting_Data!P487, "")</f>
        <v/>
      </c>
      <c r="F487" s="8" t="str">
        <f t="shared" si="1"/>
        <v/>
      </c>
      <c r="G487" s="5" t="str">
        <f>IF(A487="", "", IF(COUNTIF(Recruiting_Data!A:A, A487)&gt;1, TRUE, FALSE))</f>
        <v/>
      </c>
      <c r="H487" s="5" t="str">
        <f>IF(A487="", "", IF(OR(AND(Recruiting_Data!N487&lt;&gt;"", Recruiting_Data!J487&lt;&gt;"", Recruiting_Data!N487&lt;Recruiting_Data!J487), AND(Recruiting_Data!M487&lt;&gt;"", Recruiting_Data!L487&lt;&gt;"", Recruiting_Data!M487&lt;Recruiting_Data!L487), AND(Recruiting_Data!L487&lt;&gt;"", Recruiting_Data!K487&lt;&gt;"", Recruiting_Data!L487&lt;Recruiting_Data!K487)), TRUE, FALSE))</f>
        <v/>
      </c>
    </row>
    <row r="488">
      <c r="A488" s="5" t="str">
        <f>IF(Recruiting_Data!A488="", "", Recruiting_Data!A488)</f>
        <v/>
      </c>
      <c r="B488" s="5" t="str">
        <f>IF(Recruiting_Data!B488="", "", Recruiting_Data!B488)</f>
        <v/>
      </c>
      <c r="C488" s="5" t="str">
        <f>IF(AND(ISNUMBER(Recruiting_Data!N488), ISNUMBER(Recruiting_Data!P488)), Recruiting_Data!N488 - Recruiting_Data!P488, "")</f>
        <v/>
      </c>
      <c r="E488" s="5" t="str">
        <f>IF(Recruiting_Data!R488="Open", TODAY() - Recruiting_Data!P488, "")</f>
        <v/>
      </c>
      <c r="F488" s="8" t="str">
        <f t="shared" si="1"/>
        <v/>
      </c>
      <c r="G488" s="5" t="str">
        <f>IF(A488="", "", IF(COUNTIF(Recruiting_Data!A:A, A488)&gt;1, TRUE, FALSE))</f>
        <v/>
      </c>
      <c r="H488" s="5" t="str">
        <f>IF(A488="", "", IF(OR(AND(Recruiting_Data!N488&lt;&gt;"", Recruiting_Data!J488&lt;&gt;"", Recruiting_Data!N488&lt;Recruiting_Data!J488), AND(Recruiting_Data!M488&lt;&gt;"", Recruiting_Data!L488&lt;&gt;"", Recruiting_Data!M488&lt;Recruiting_Data!L488), AND(Recruiting_Data!L488&lt;&gt;"", Recruiting_Data!K488&lt;&gt;"", Recruiting_Data!L488&lt;Recruiting_Data!K488)), TRUE, FALSE))</f>
        <v/>
      </c>
    </row>
    <row r="489">
      <c r="A489" s="5" t="str">
        <f>IF(Recruiting_Data!A489="", "", Recruiting_Data!A489)</f>
        <v/>
      </c>
      <c r="B489" s="5" t="str">
        <f>IF(Recruiting_Data!B489="", "", Recruiting_Data!B489)</f>
        <v/>
      </c>
      <c r="C489" s="5" t="str">
        <f>IF(AND(ISNUMBER(Recruiting_Data!N489), ISNUMBER(Recruiting_Data!P489)), Recruiting_Data!N489 - Recruiting_Data!P489, "")</f>
        <v/>
      </c>
      <c r="E489" s="5" t="str">
        <f>IF(Recruiting_Data!R489="Open", TODAY() - Recruiting_Data!P489, "")</f>
        <v/>
      </c>
      <c r="F489" s="8" t="str">
        <f t="shared" si="1"/>
        <v/>
      </c>
      <c r="G489" s="5" t="str">
        <f>IF(A489="", "", IF(COUNTIF(Recruiting_Data!A:A, A489)&gt;1, TRUE, FALSE))</f>
        <v/>
      </c>
      <c r="H489" s="5" t="str">
        <f>IF(A489="", "", IF(OR(AND(Recruiting_Data!N489&lt;&gt;"", Recruiting_Data!J489&lt;&gt;"", Recruiting_Data!N489&lt;Recruiting_Data!J489), AND(Recruiting_Data!M489&lt;&gt;"", Recruiting_Data!L489&lt;&gt;"", Recruiting_Data!M489&lt;Recruiting_Data!L489), AND(Recruiting_Data!L489&lt;&gt;"", Recruiting_Data!K489&lt;&gt;"", Recruiting_Data!L489&lt;Recruiting_Data!K489)), TRUE, FALSE))</f>
        <v/>
      </c>
    </row>
    <row r="490">
      <c r="A490" s="5" t="str">
        <f>IF(Recruiting_Data!A490="", "", Recruiting_Data!A490)</f>
        <v/>
      </c>
      <c r="B490" s="5" t="str">
        <f>IF(Recruiting_Data!B490="", "", Recruiting_Data!B490)</f>
        <v/>
      </c>
      <c r="C490" s="5" t="str">
        <f>IF(AND(ISNUMBER(Recruiting_Data!N490), ISNUMBER(Recruiting_Data!P490)), Recruiting_Data!N490 - Recruiting_Data!P490, "")</f>
        <v/>
      </c>
      <c r="E490" s="5" t="str">
        <f>IF(Recruiting_Data!R490="Open", TODAY() - Recruiting_Data!P490, "")</f>
        <v/>
      </c>
      <c r="F490" s="8" t="str">
        <f t="shared" si="1"/>
        <v/>
      </c>
      <c r="G490" s="5" t="str">
        <f>IF(A490="", "", IF(COUNTIF(Recruiting_Data!A:A, A490)&gt;1, TRUE, FALSE))</f>
        <v/>
      </c>
      <c r="H490" s="5" t="str">
        <f>IF(A490="", "", IF(OR(AND(Recruiting_Data!N490&lt;&gt;"", Recruiting_Data!J490&lt;&gt;"", Recruiting_Data!N490&lt;Recruiting_Data!J490), AND(Recruiting_Data!M490&lt;&gt;"", Recruiting_Data!L490&lt;&gt;"", Recruiting_Data!M490&lt;Recruiting_Data!L490), AND(Recruiting_Data!L490&lt;&gt;"", Recruiting_Data!K490&lt;&gt;"", Recruiting_Data!L490&lt;Recruiting_Data!K490)), TRUE, FALSE))</f>
        <v/>
      </c>
    </row>
    <row r="491">
      <c r="A491" s="5" t="str">
        <f>IF(Recruiting_Data!A491="", "", Recruiting_Data!A491)</f>
        <v/>
      </c>
      <c r="B491" s="5" t="str">
        <f>IF(Recruiting_Data!B491="", "", Recruiting_Data!B491)</f>
        <v/>
      </c>
      <c r="C491" s="5" t="str">
        <f>IF(AND(ISNUMBER(Recruiting_Data!N491), ISNUMBER(Recruiting_Data!P491)), Recruiting_Data!N491 - Recruiting_Data!P491, "")</f>
        <v/>
      </c>
      <c r="E491" s="5" t="str">
        <f>IF(Recruiting_Data!R491="Open", TODAY() - Recruiting_Data!P491, "")</f>
        <v/>
      </c>
      <c r="F491" s="8" t="str">
        <f t="shared" si="1"/>
        <v/>
      </c>
      <c r="G491" s="5" t="str">
        <f>IF(A491="", "", IF(COUNTIF(Recruiting_Data!A:A, A491)&gt;1, TRUE, FALSE))</f>
        <v/>
      </c>
      <c r="H491" s="5" t="str">
        <f>IF(A491="", "", IF(OR(AND(Recruiting_Data!N491&lt;&gt;"", Recruiting_Data!J491&lt;&gt;"", Recruiting_Data!N491&lt;Recruiting_Data!J491), AND(Recruiting_Data!M491&lt;&gt;"", Recruiting_Data!L491&lt;&gt;"", Recruiting_Data!M491&lt;Recruiting_Data!L491), AND(Recruiting_Data!L491&lt;&gt;"", Recruiting_Data!K491&lt;&gt;"", Recruiting_Data!L491&lt;Recruiting_Data!K491)), TRUE, FALSE))</f>
        <v/>
      </c>
    </row>
    <row r="492">
      <c r="A492" s="5" t="str">
        <f>IF(Recruiting_Data!A492="", "", Recruiting_Data!A492)</f>
        <v/>
      </c>
      <c r="B492" s="5" t="str">
        <f>IF(Recruiting_Data!B492="", "", Recruiting_Data!B492)</f>
        <v/>
      </c>
      <c r="C492" s="5" t="str">
        <f>IF(AND(ISNUMBER(Recruiting_Data!N492), ISNUMBER(Recruiting_Data!P492)), Recruiting_Data!N492 - Recruiting_Data!P492, "")</f>
        <v/>
      </c>
      <c r="E492" s="5" t="str">
        <f>IF(Recruiting_Data!R492="Open", TODAY() - Recruiting_Data!P492, "")</f>
        <v/>
      </c>
      <c r="F492" s="8" t="str">
        <f t="shared" si="1"/>
        <v/>
      </c>
      <c r="G492" s="5" t="str">
        <f>IF(A492="", "", IF(COUNTIF(Recruiting_Data!A:A, A492)&gt;1, TRUE, FALSE))</f>
        <v/>
      </c>
      <c r="H492" s="5" t="str">
        <f>IF(A492="", "", IF(OR(AND(Recruiting_Data!N492&lt;&gt;"", Recruiting_Data!J492&lt;&gt;"", Recruiting_Data!N492&lt;Recruiting_Data!J492), AND(Recruiting_Data!M492&lt;&gt;"", Recruiting_Data!L492&lt;&gt;"", Recruiting_Data!M492&lt;Recruiting_Data!L492), AND(Recruiting_Data!L492&lt;&gt;"", Recruiting_Data!K492&lt;&gt;"", Recruiting_Data!L492&lt;Recruiting_Data!K492)), TRUE, FALSE))</f>
        <v/>
      </c>
    </row>
    <row r="493">
      <c r="A493" s="5" t="str">
        <f>IF(Recruiting_Data!A493="", "", Recruiting_Data!A493)</f>
        <v/>
      </c>
      <c r="B493" s="5" t="str">
        <f>IF(Recruiting_Data!B493="", "", Recruiting_Data!B493)</f>
        <v/>
      </c>
      <c r="C493" s="5" t="str">
        <f>IF(AND(ISNUMBER(Recruiting_Data!N493), ISNUMBER(Recruiting_Data!P493)), Recruiting_Data!N493 - Recruiting_Data!P493, "")</f>
        <v/>
      </c>
      <c r="E493" s="5" t="str">
        <f>IF(Recruiting_Data!R493="Open", TODAY() - Recruiting_Data!P493, "")</f>
        <v/>
      </c>
      <c r="F493" s="8" t="str">
        <f t="shared" si="1"/>
        <v/>
      </c>
      <c r="G493" s="5" t="str">
        <f>IF(A493="", "", IF(COUNTIF(Recruiting_Data!A:A, A493)&gt;1, TRUE, FALSE))</f>
        <v/>
      </c>
      <c r="H493" s="5" t="str">
        <f>IF(A493="", "", IF(OR(AND(Recruiting_Data!N493&lt;&gt;"", Recruiting_Data!J493&lt;&gt;"", Recruiting_Data!N493&lt;Recruiting_Data!J493), AND(Recruiting_Data!M493&lt;&gt;"", Recruiting_Data!L493&lt;&gt;"", Recruiting_Data!M493&lt;Recruiting_Data!L493), AND(Recruiting_Data!L493&lt;&gt;"", Recruiting_Data!K493&lt;&gt;"", Recruiting_Data!L493&lt;Recruiting_Data!K493)), TRUE, FALSE))</f>
        <v/>
      </c>
    </row>
    <row r="494">
      <c r="A494" s="5" t="str">
        <f>IF(Recruiting_Data!A494="", "", Recruiting_Data!A494)</f>
        <v/>
      </c>
      <c r="B494" s="5" t="str">
        <f>IF(Recruiting_Data!B494="", "", Recruiting_Data!B494)</f>
        <v/>
      </c>
      <c r="C494" s="5" t="str">
        <f>IF(AND(ISNUMBER(Recruiting_Data!N494), ISNUMBER(Recruiting_Data!P494)), Recruiting_Data!N494 - Recruiting_Data!P494, "")</f>
        <v/>
      </c>
      <c r="E494" s="5" t="str">
        <f>IF(Recruiting_Data!R494="Open", TODAY() - Recruiting_Data!P494, "")</f>
        <v/>
      </c>
      <c r="F494" s="8" t="str">
        <f t="shared" si="1"/>
        <v/>
      </c>
      <c r="G494" s="5" t="str">
        <f>IF(A494="", "", IF(COUNTIF(Recruiting_Data!A:A, A494)&gt;1, TRUE, FALSE))</f>
        <v/>
      </c>
      <c r="H494" s="5" t="str">
        <f>IF(A494="", "", IF(OR(AND(Recruiting_Data!N494&lt;&gt;"", Recruiting_Data!J494&lt;&gt;"", Recruiting_Data!N494&lt;Recruiting_Data!J494), AND(Recruiting_Data!M494&lt;&gt;"", Recruiting_Data!L494&lt;&gt;"", Recruiting_Data!M494&lt;Recruiting_Data!L494), AND(Recruiting_Data!L494&lt;&gt;"", Recruiting_Data!K494&lt;&gt;"", Recruiting_Data!L494&lt;Recruiting_Data!K494)), TRUE, FALSE))</f>
        <v/>
      </c>
    </row>
    <row r="495">
      <c r="A495" s="5" t="str">
        <f>IF(Recruiting_Data!A495="", "", Recruiting_Data!A495)</f>
        <v/>
      </c>
      <c r="B495" s="5" t="str">
        <f>IF(Recruiting_Data!B495="", "", Recruiting_Data!B495)</f>
        <v/>
      </c>
      <c r="C495" s="5" t="str">
        <f>IF(AND(ISNUMBER(Recruiting_Data!N495), ISNUMBER(Recruiting_Data!P495)), Recruiting_Data!N495 - Recruiting_Data!P495, "")</f>
        <v/>
      </c>
      <c r="E495" s="5" t="str">
        <f>IF(Recruiting_Data!R495="Open", TODAY() - Recruiting_Data!P495, "")</f>
        <v/>
      </c>
      <c r="F495" s="8" t="str">
        <f t="shared" si="1"/>
        <v/>
      </c>
      <c r="G495" s="5" t="str">
        <f>IF(A495="", "", IF(COUNTIF(Recruiting_Data!A:A, A495)&gt;1, TRUE, FALSE))</f>
        <v/>
      </c>
      <c r="H495" s="5" t="str">
        <f>IF(A495="", "", IF(OR(AND(Recruiting_Data!N495&lt;&gt;"", Recruiting_Data!J495&lt;&gt;"", Recruiting_Data!N495&lt;Recruiting_Data!J495), AND(Recruiting_Data!M495&lt;&gt;"", Recruiting_Data!L495&lt;&gt;"", Recruiting_Data!M495&lt;Recruiting_Data!L495), AND(Recruiting_Data!L495&lt;&gt;"", Recruiting_Data!K495&lt;&gt;"", Recruiting_Data!L495&lt;Recruiting_Data!K495)), TRUE, FALSE))</f>
        <v/>
      </c>
    </row>
    <row r="496">
      <c r="A496" s="5" t="str">
        <f>IF(Recruiting_Data!A496="", "", Recruiting_Data!A496)</f>
        <v/>
      </c>
      <c r="B496" s="5" t="str">
        <f>IF(Recruiting_Data!B496="", "", Recruiting_Data!B496)</f>
        <v/>
      </c>
      <c r="C496" s="5" t="str">
        <f>IF(AND(ISNUMBER(Recruiting_Data!N496), ISNUMBER(Recruiting_Data!P496)), Recruiting_Data!N496 - Recruiting_Data!P496, "")</f>
        <v/>
      </c>
      <c r="E496" s="5" t="str">
        <f>IF(Recruiting_Data!R496="Open", TODAY() - Recruiting_Data!P496, "")</f>
        <v/>
      </c>
      <c r="F496" s="8" t="str">
        <f t="shared" si="1"/>
        <v/>
      </c>
      <c r="G496" s="5" t="str">
        <f>IF(A496="", "", IF(COUNTIF(Recruiting_Data!A:A, A496)&gt;1, TRUE, FALSE))</f>
        <v/>
      </c>
      <c r="H496" s="5" t="str">
        <f>IF(A496="", "", IF(OR(AND(Recruiting_Data!N496&lt;&gt;"", Recruiting_Data!J496&lt;&gt;"", Recruiting_Data!N496&lt;Recruiting_Data!J496), AND(Recruiting_Data!M496&lt;&gt;"", Recruiting_Data!L496&lt;&gt;"", Recruiting_Data!M496&lt;Recruiting_Data!L496), AND(Recruiting_Data!L496&lt;&gt;"", Recruiting_Data!K496&lt;&gt;"", Recruiting_Data!L496&lt;Recruiting_Data!K496)), TRUE, FALSE))</f>
        <v/>
      </c>
    </row>
    <row r="497">
      <c r="A497" s="5" t="str">
        <f>IF(Recruiting_Data!A497="", "", Recruiting_Data!A497)</f>
        <v/>
      </c>
      <c r="B497" s="5" t="str">
        <f>IF(Recruiting_Data!B497="", "", Recruiting_Data!B497)</f>
        <v/>
      </c>
      <c r="C497" s="5" t="str">
        <f>IF(AND(ISNUMBER(Recruiting_Data!N497), ISNUMBER(Recruiting_Data!P497)), Recruiting_Data!N497 - Recruiting_Data!P497, "")</f>
        <v/>
      </c>
      <c r="E497" s="5" t="str">
        <f>IF(Recruiting_Data!R497="Open", TODAY() - Recruiting_Data!P497, "")</f>
        <v/>
      </c>
      <c r="F497" s="8" t="str">
        <f t="shared" si="1"/>
        <v/>
      </c>
      <c r="G497" s="5" t="str">
        <f>IF(A497="", "", IF(COUNTIF(Recruiting_Data!A:A, A497)&gt;1, TRUE, FALSE))</f>
        <v/>
      </c>
      <c r="H497" s="5" t="str">
        <f>IF(A497="", "", IF(OR(AND(Recruiting_Data!N497&lt;&gt;"", Recruiting_Data!J497&lt;&gt;"", Recruiting_Data!N497&lt;Recruiting_Data!J497), AND(Recruiting_Data!M497&lt;&gt;"", Recruiting_Data!L497&lt;&gt;"", Recruiting_Data!M497&lt;Recruiting_Data!L497), AND(Recruiting_Data!L497&lt;&gt;"", Recruiting_Data!K497&lt;&gt;"", Recruiting_Data!L497&lt;Recruiting_Data!K497)), TRUE, FALSE))</f>
        <v/>
      </c>
    </row>
    <row r="498">
      <c r="A498" s="5" t="str">
        <f>IF(Recruiting_Data!A498="", "", Recruiting_Data!A498)</f>
        <v/>
      </c>
      <c r="B498" s="5" t="str">
        <f>IF(Recruiting_Data!B498="", "", Recruiting_Data!B498)</f>
        <v/>
      </c>
      <c r="C498" s="5" t="str">
        <f>IF(AND(ISNUMBER(Recruiting_Data!N498), ISNUMBER(Recruiting_Data!P498)), Recruiting_Data!N498 - Recruiting_Data!P498, "")</f>
        <v/>
      </c>
      <c r="E498" s="5" t="str">
        <f>IF(Recruiting_Data!R498="Open", TODAY() - Recruiting_Data!P498, "")</f>
        <v/>
      </c>
      <c r="F498" s="8" t="str">
        <f t="shared" si="1"/>
        <v/>
      </c>
      <c r="G498" s="5" t="str">
        <f>IF(A498="", "", IF(COUNTIF(Recruiting_Data!A:A, A498)&gt;1, TRUE, FALSE))</f>
        <v/>
      </c>
      <c r="H498" s="5" t="str">
        <f>IF(A498="", "", IF(OR(AND(Recruiting_Data!N498&lt;&gt;"", Recruiting_Data!J498&lt;&gt;"", Recruiting_Data!N498&lt;Recruiting_Data!J498), AND(Recruiting_Data!M498&lt;&gt;"", Recruiting_Data!L498&lt;&gt;"", Recruiting_Data!M498&lt;Recruiting_Data!L498), AND(Recruiting_Data!L498&lt;&gt;"", Recruiting_Data!K498&lt;&gt;"", Recruiting_Data!L498&lt;Recruiting_Data!K498)), TRUE, FALSE))</f>
        <v/>
      </c>
    </row>
    <row r="499">
      <c r="A499" s="5" t="str">
        <f>IF(Recruiting_Data!A499="", "", Recruiting_Data!A499)</f>
        <v/>
      </c>
      <c r="B499" s="5" t="str">
        <f>IF(Recruiting_Data!B499="", "", Recruiting_Data!B499)</f>
        <v/>
      </c>
      <c r="C499" s="5" t="str">
        <f>IF(AND(ISNUMBER(Recruiting_Data!N499), ISNUMBER(Recruiting_Data!P499)), Recruiting_Data!N499 - Recruiting_Data!P499, "")</f>
        <v/>
      </c>
      <c r="E499" s="5" t="str">
        <f>IF(Recruiting_Data!R499="Open", TODAY() - Recruiting_Data!P499, "")</f>
        <v/>
      </c>
      <c r="F499" s="8" t="str">
        <f t="shared" si="1"/>
        <v/>
      </c>
      <c r="G499" s="5" t="str">
        <f>IF(A499="", "", IF(COUNTIF(Recruiting_Data!A:A, A499)&gt;1, TRUE, FALSE))</f>
        <v/>
      </c>
      <c r="H499" s="5" t="str">
        <f>IF(A499="", "", IF(OR(AND(Recruiting_Data!N499&lt;&gt;"", Recruiting_Data!J499&lt;&gt;"", Recruiting_Data!N499&lt;Recruiting_Data!J499), AND(Recruiting_Data!M499&lt;&gt;"", Recruiting_Data!L499&lt;&gt;"", Recruiting_Data!M499&lt;Recruiting_Data!L499), AND(Recruiting_Data!L499&lt;&gt;"", Recruiting_Data!K499&lt;&gt;"", Recruiting_Data!L499&lt;Recruiting_Data!K499)), TRUE, FALSE))</f>
        <v/>
      </c>
    </row>
    <row r="500">
      <c r="A500" s="5" t="str">
        <f>IF(Recruiting_Data!A500="", "", Recruiting_Data!A500)</f>
        <v/>
      </c>
      <c r="B500" s="5" t="str">
        <f>IF(Recruiting_Data!B500="", "", Recruiting_Data!B500)</f>
        <v/>
      </c>
      <c r="C500" s="5" t="str">
        <f>IF(AND(ISNUMBER(Recruiting_Data!N500), ISNUMBER(Recruiting_Data!P500)), Recruiting_Data!N500 - Recruiting_Data!P500, "")</f>
        <v/>
      </c>
      <c r="E500" s="5" t="str">
        <f>IF(Recruiting_Data!R500="Open", TODAY() - Recruiting_Data!P500, "")</f>
        <v/>
      </c>
      <c r="F500" s="8" t="str">
        <f t="shared" si="1"/>
        <v/>
      </c>
      <c r="G500" s="5" t="str">
        <f>IF(A500="", "", IF(COUNTIF(Recruiting_Data!A:A, A500)&gt;1, TRUE, FALSE))</f>
        <v/>
      </c>
      <c r="H500" s="5" t="str">
        <f>IF(A500="", "", IF(OR(AND(Recruiting_Data!N500&lt;&gt;"", Recruiting_Data!J500&lt;&gt;"", Recruiting_Data!N500&lt;Recruiting_Data!J500), AND(Recruiting_Data!M500&lt;&gt;"", Recruiting_Data!L500&lt;&gt;"", Recruiting_Data!M500&lt;Recruiting_Data!L500), AND(Recruiting_Data!L500&lt;&gt;"", Recruiting_Data!K500&lt;&gt;"", Recruiting_Data!L500&lt;Recruiting_Data!K500)), TRUE, FALSE))</f>
        <v/>
      </c>
    </row>
    <row r="501">
      <c r="A501" s="5" t="str">
        <f>IF(Recruiting_Data!A501="", "", Recruiting_Data!A501)</f>
        <v/>
      </c>
      <c r="B501" s="5" t="str">
        <f>IF(Recruiting_Data!B501="", "", Recruiting_Data!B501)</f>
        <v/>
      </c>
      <c r="C501" s="5" t="str">
        <f>IF(AND(ISNUMBER(Recruiting_Data!N501), ISNUMBER(Recruiting_Data!P501)), Recruiting_Data!N501 - Recruiting_Data!P501, "")</f>
        <v/>
      </c>
      <c r="E501" s="5" t="str">
        <f>IF(Recruiting_Data!R501="Open", TODAY() - Recruiting_Data!P501, "")</f>
        <v/>
      </c>
      <c r="F501" s="8" t="str">
        <f t="shared" si="1"/>
        <v/>
      </c>
      <c r="G501" s="5" t="str">
        <f>IF(A501="", "", IF(COUNTIF(Recruiting_Data!A:A, A501)&gt;1, TRUE, FALSE))</f>
        <v/>
      </c>
      <c r="H501" s="5" t="str">
        <f>IF(A501="", "", IF(OR(AND(Recruiting_Data!N501&lt;&gt;"", Recruiting_Data!J501&lt;&gt;"", Recruiting_Data!N501&lt;Recruiting_Data!J501), AND(Recruiting_Data!M501&lt;&gt;"", Recruiting_Data!L501&lt;&gt;"", Recruiting_Data!M501&lt;Recruiting_Data!L501), AND(Recruiting_Data!L501&lt;&gt;"", Recruiting_Data!K501&lt;&gt;"", Recruiting_Data!L501&lt;Recruiting_Data!K501)), TRUE, FALSE))</f>
        <v/>
      </c>
    </row>
    <row r="502">
      <c r="A502" s="5" t="str">
        <f>IF(Recruiting_Data!A502="", "", Recruiting_Data!A502)</f>
        <v/>
      </c>
      <c r="B502" s="5" t="str">
        <f>IF(Recruiting_Data!B502="", "", Recruiting_Data!B502)</f>
        <v/>
      </c>
      <c r="C502" s="5" t="str">
        <f>IF(AND(ISNUMBER(Recruiting_Data!N502), ISNUMBER(Recruiting_Data!P502)), Recruiting_Data!N502 - Recruiting_Data!P502, "")</f>
        <v/>
      </c>
      <c r="E502" s="5" t="str">
        <f>IF(Recruiting_Data!R502="Open", TODAY() - Recruiting_Data!P502, "")</f>
        <v/>
      </c>
      <c r="F502" s="8" t="str">
        <f t="shared" si="1"/>
        <v/>
      </c>
      <c r="G502" s="5" t="str">
        <f>IF(A502="", "", IF(COUNTIF(Recruiting_Data!A:A, A502)&gt;1, TRUE, FALSE))</f>
        <v/>
      </c>
      <c r="H502" s="5" t="str">
        <f>IF(A502="", "", IF(OR(AND(Recruiting_Data!N502&lt;&gt;"", Recruiting_Data!J502&lt;&gt;"", Recruiting_Data!N502&lt;Recruiting_Data!J502), AND(Recruiting_Data!M502&lt;&gt;"", Recruiting_Data!L502&lt;&gt;"", Recruiting_Data!M502&lt;Recruiting_Data!L502), AND(Recruiting_Data!L502&lt;&gt;"", Recruiting_Data!K502&lt;&gt;"", Recruiting_Data!L502&lt;Recruiting_Data!K502)), TRUE, FALSE))</f>
        <v/>
      </c>
    </row>
    <row r="503">
      <c r="A503" s="5" t="str">
        <f>IF(Recruiting_Data!A503="", "", Recruiting_Data!A503)</f>
        <v/>
      </c>
      <c r="B503" s="5" t="str">
        <f>IF(Recruiting_Data!B503="", "", Recruiting_Data!B503)</f>
        <v/>
      </c>
      <c r="C503" s="5" t="str">
        <f>IF(AND(ISNUMBER(Recruiting_Data!N503), ISNUMBER(Recruiting_Data!P503)), Recruiting_Data!N503 - Recruiting_Data!P503, "")</f>
        <v/>
      </c>
      <c r="E503" s="5" t="str">
        <f>IF(Recruiting_Data!R503="Open", TODAY() - Recruiting_Data!P503, "")</f>
        <v/>
      </c>
      <c r="F503" s="8" t="str">
        <f t="shared" si="1"/>
        <v/>
      </c>
      <c r="G503" s="5" t="str">
        <f>IF(A503="", "", IF(COUNTIF(Recruiting_Data!A:A, A503)&gt;1, TRUE, FALSE))</f>
        <v/>
      </c>
      <c r="H503" s="5" t="str">
        <f>IF(A503="", "", IF(OR(AND(Recruiting_Data!N503&lt;&gt;"", Recruiting_Data!J503&lt;&gt;"", Recruiting_Data!N503&lt;Recruiting_Data!J503), AND(Recruiting_Data!M503&lt;&gt;"", Recruiting_Data!L503&lt;&gt;"", Recruiting_Data!M503&lt;Recruiting_Data!L503), AND(Recruiting_Data!L503&lt;&gt;"", Recruiting_Data!K503&lt;&gt;"", Recruiting_Data!L503&lt;Recruiting_Data!K503)), TRUE, FALSE))</f>
        <v/>
      </c>
    </row>
    <row r="504">
      <c r="A504" s="5" t="str">
        <f>IF(Recruiting_Data!A504="", "", Recruiting_Data!A504)</f>
        <v/>
      </c>
      <c r="B504" s="5" t="str">
        <f>IF(Recruiting_Data!B504="", "", Recruiting_Data!B504)</f>
        <v/>
      </c>
      <c r="C504" s="5" t="str">
        <f>IF(AND(ISNUMBER(Recruiting_Data!N504), ISNUMBER(Recruiting_Data!P504)), Recruiting_Data!N504 - Recruiting_Data!P504, "")</f>
        <v/>
      </c>
      <c r="E504" s="5" t="str">
        <f>IF(Recruiting_Data!R504="Open", TODAY() - Recruiting_Data!P504, "")</f>
        <v/>
      </c>
      <c r="F504" s="8" t="str">
        <f t="shared" si="1"/>
        <v/>
      </c>
      <c r="G504" s="5" t="str">
        <f>IF(A504="", "", IF(COUNTIF(Recruiting_Data!A:A, A504)&gt;1, TRUE, FALSE))</f>
        <v/>
      </c>
      <c r="H504" s="5" t="str">
        <f>IF(A504="", "", IF(OR(AND(Recruiting_Data!N504&lt;&gt;"", Recruiting_Data!J504&lt;&gt;"", Recruiting_Data!N504&lt;Recruiting_Data!J504), AND(Recruiting_Data!M504&lt;&gt;"", Recruiting_Data!L504&lt;&gt;"", Recruiting_Data!M504&lt;Recruiting_Data!L504), AND(Recruiting_Data!L504&lt;&gt;"", Recruiting_Data!K504&lt;&gt;"", Recruiting_Data!L504&lt;Recruiting_Data!K504)), TRUE, FALSE))</f>
        <v/>
      </c>
    </row>
    <row r="505">
      <c r="A505" s="5" t="str">
        <f>IF(Recruiting_Data!A505="", "", Recruiting_Data!A505)</f>
        <v/>
      </c>
      <c r="B505" s="5" t="str">
        <f>IF(Recruiting_Data!B505="", "", Recruiting_Data!B505)</f>
        <v/>
      </c>
      <c r="C505" s="5" t="str">
        <f>IF(AND(ISNUMBER(Recruiting_Data!N505), ISNUMBER(Recruiting_Data!P505)), Recruiting_Data!N505 - Recruiting_Data!P505, "")</f>
        <v/>
      </c>
      <c r="E505" s="5" t="str">
        <f>IF(Recruiting_Data!R505="Open", TODAY() - Recruiting_Data!P505, "")</f>
        <v/>
      </c>
      <c r="F505" s="8" t="str">
        <f t="shared" si="1"/>
        <v/>
      </c>
      <c r="G505" s="5" t="str">
        <f>IF(A505="", "", IF(COUNTIF(Recruiting_Data!A:A, A505)&gt;1, TRUE, FALSE))</f>
        <v/>
      </c>
      <c r="H505" s="5" t="str">
        <f>IF(A505="", "", IF(OR(AND(Recruiting_Data!N505&lt;&gt;"", Recruiting_Data!J505&lt;&gt;"", Recruiting_Data!N505&lt;Recruiting_Data!J505), AND(Recruiting_Data!M505&lt;&gt;"", Recruiting_Data!L505&lt;&gt;"", Recruiting_Data!M505&lt;Recruiting_Data!L505), AND(Recruiting_Data!L505&lt;&gt;"", Recruiting_Data!K505&lt;&gt;"", Recruiting_Data!L505&lt;Recruiting_Data!K505)), TRUE, FALSE))</f>
        <v/>
      </c>
    </row>
    <row r="506">
      <c r="A506" s="5" t="str">
        <f>IF(Recruiting_Data!A506="", "", Recruiting_Data!A506)</f>
        <v/>
      </c>
      <c r="B506" s="5" t="str">
        <f>IF(Recruiting_Data!B506="", "", Recruiting_Data!B506)</f>
        <v/>
      </c>
      <c r="C506" s="5" t="str">
        <f>IF(AND(ISNUMBER(Recruiting_Data!N506), ISNUMBER(Recruiting_Data!P506)), Recruiting_Data!N506 - Recruiting_Data!P506, "")</f>
        <v/>
      </c>
      <c r="E506" s="5" t="str">
        <f>IF(Recruiting_Data!R506="Open", TODAY() - Recruiting_Data!P506, "")</f>
        <v/>
      </c>
      <c r="F506" s="8" t="str">
        <f t="shared" si="1"/>
        <v/>
      </c>
      <c r="G506" s="5" t="str">
        <f>IF(A506="", "", IF(COUNTIF(Recruiting_Data!A:A, A506)&gt;1, TRUE, FALSE))</f>
        <v/>
      </c>
      <c r="H506" s="5" t="str">
        <f>IF(A506="", "", IF(OR(AND(Recruiting_Data!N506&lt;&gt;"", Recruiting_Data!J506&lt;&gt;"", Recruiting_Data!N506&lt;Recruiting_Data!J506), AND(Recruiting_Data!M506&lt;&gt;"", Recruiting_Data!L506&lt;&gt;"", Recruiting_Data!M506&lt;Recruiting_Data!L506), AND(Recruiting_Data!L506&lt;&gt;"", Recruiting_Data!K506&lt;&gt;"", Recruiting_Data!L506&lt;Recruiting_Data!K506)), TRUE, FALSE))</f>
        <v/>
      </c>
    </row>
    <row r="507">
      <c r="A507" s="5" t="str">
        <f>IF(Recruiting_Data!A507="", "", Recruiting_Data!A507)</f>
        <v/>
      </c>
      <c r="B507" s="5" t="str">
        <f>IF(Recruiting_Data!B507="", "", Recruiting_Data!B507)</f>
        <v/>
      </c>
      <c r="C507" s="5" t="str">
        <f>IF(AND(ISNUMBER(Recruiting_Data!N507), ISNUMBER(Recruiting_Data!P507)), Recruiting_Data!N507 - Recruiting_Data!P507, "")</f>
        <v/>
      </c>
      <c r="E507" s="5" t="str">
        <f>IF(Recruiting_Data!R507="Open", TODAY() - Recruiting_Data!P507, "")</f>
        <v/>
      </c>
      <c r="F507" s="8" t="str">
        <f t="shared" si="1"/>
        <v/>
      </c>
      <c r="G507" s="5" t="str">
        <f>IF(A507="", "", IF(COUNTIF(Recruiting_Data!A:A, A507)&gt;1, TRUE, FALSE))</f>
        <v/>
      </c>
      <c r="H507" s="5" t="str">
        <f>IF(A507="", "", IF(OR(AND(Recruiting_Data!N507&lt;&gt;"", Recruiting_Data!J507&lt;&gt;"", Recruiting_Data!N507&lt;Recruiting_Data!J507), AND(Recruiting_Data!M507&lt;&gt;"", Recruiting_Data!L507&lt;&gt;"", Recruiting_Data!M507&lt;Recruiting_Data!L507), AND(Recruiting_Data!L507&lt;&gt;"", Recruiting_Data!K507&lt;&gt;"", Recruiting_Data!L507&lt;Recruiting_Data!K507)), TRUE, FALSE))</f>
        <v/>
      </c>
    </row>
    <row r="508">
      <c r="A508" s="5" t="str">
        <f>IF(Recruiting_Data!A508="", "", Recruiting_Data!A508)</f>
        <v/>
      </c>
      <c r="B508" s="5" t="str">
        <f>IF(Recruiting_Data!B508="", "", Recruiting_Data!B508)</f>
        <v/>
      </c>
      <c r="C508" s="5" t="str">
        <f>IF(AND(ISNUMBER(Recruiting_Data!N508), ISNUMBER(Recruiting_Data!P508)), Recruiting_Data!N508 - Recruiting_Data!P508, "")</f>
        <v/>
      </c>
      <c r="E508" s="5" t="str">
        <f>IF(Recruiting_Data!R508="Open", TODAY() - Recruiting_Data!P508, "")</f>
        <v/>
      </c>
      <c r="F508" s="8" t="str">
        <f t="shared" si="1"/>
        <v/>
      </c>
      <c r="G508" s="5" t="str">
        <f>IF(A508="", "", IF(COUNTIF(Recruiting_Data!A:A, A508)&gt;1, TRUE, FALSE))</f>
        <v/>
      </c>
      <c r="H508" s="5" t="str">
        <f>IF(A508="", "", IF(OR(AND(Recruiting_Data!N508&lt;&gt;"", Recruiting_Data!J508&lt;&gt;"", Recruiting_Data!N508&lt;Recruiting_Data!J508), AND(Recruiting_Data!M508&lt;&gt;"", Recruiting_Data!L508&lt;&gt;"", Recruiting_Data!M508&lt;Recruiting_Data!L508), AND(Recruiting_Data!L508&lt;&gt;"", Recruiting_Data!K508&lt;&gt;"", Recruiting_Data!L508&lt;Recruiting_Data!K508)), TRUE, FALSE))</f>
        <v/>
      </c>
    </row>
    <row r="509">
      <c r="A509" s="5" t="str">
        <f>IF(Recruiting_Data!A509="", "", Recruiting_Data!A509)</f>
        <v/>
      </c>
      <c r="B509" s="5" t="str">
        <f>IF(Recruiting_Data!B509="", "", Recruiting_Data!B509)</f>
        <v/>
      </c>
      <c r="C509" s="5" t="str">
        <f>IF(AND(ISNUMBER(Recruiting_Data!N509), ISNUMBER(Recruiting_Data!P509)), Recruiting_Data!N509 - Recruiting_Data!P509, "")</f>
        <v/>
      </c>
      <c r="E509" s="5" t="str">
        <f>IF(Recruiting_Data!R509="Open", TODAY() - Recruiting_Data!P509, "")</f>
        <v/>
      </c>
      <c r="F509" s="8" t="str">
        <f t="shared" si="1"/>
        <v/>
      </c>
      <c r="G509" s="5" t="str">
        <f>IF(A509="", "", IF(COUNTIF(Recruiting_Data!A:A, A509)&gt;1, TRUE, FALSE))</f>
        <v/>
      </c>
      <c r="H509" s="5" t="str">
        <f>IF(A509="", "", IF(OR(AND(Recruiting_Data!N509&lt;&gt;"", Recruiting_Data!J509&lt;&gt;"", Recruiting_Data!N509&lt;Recruiting_Data!J509), AND(Recruiting_Data!M509&lt;&gt;"", Recruiting_Data!L509&lt;&gt;"", Recruiting_Data!M509&lt;Recruiting_Data!L509), AND(Recruiting_Data!L509&lt;&gt;"", Recruiting_Data!K509&lt;&gt;"", Recruiting_Data!L509&lt;Recruiting_Data!K509)), TRUE, FALSE))</f>
        <v/>
      </c>
    </row>
    <row r="510">
      <c r="A510" s="5" t="str">
        <f>IF(Recruiting_Data!A510="", "", Recruiting_Data!A510)</f>
        <v/>
      </c>
      <c r="B510" s="5" t="str">
        <f>IF(Recruiting_Data!B510="", "", Recruiting_Data!B510)</f>
        <v/>
      </c>
      <c r="C510" s="5" t="str">
        <f>IF(AND(ISNUMBER(Recruiting_Data!N510), ISNUMBER(Recruiting_Data!P510)), Recruiting_Data!N510 - Recruiting_Data!P510, "")</f>
        <v/>
      </c>
      <c r="E510" s="5" t="str">
        <f>IF(Recruiting_Data!R510="Open", TODAY() - Recruiting_Data!P510, "")</f>
        <v/>
      </c>
      <c r="F510" s="8" t="str">
        <f t="shared" si="1"/>
        <v/>
      </c>
      <c r="G510" s="5" t="str">
        <f>IF(A510="", "", IF(COUNTIF(Recruiting_Data!A:A, A510)&gt;1, TRUE, FALSE))</f>
        <v/>
      </c>
      <c r="H510" s="5" t="str">
        <f>IF(A510="", "", IF(OR(AND(Recruiting_Data!N510&lt;&gt;"", Recruiting_Data!J510&lt;&gt;"", Recruiting_Data!N510&lt;Recruiting_Data!J510), AND(Recruiting_Data!M510&lt;&gt;"", Recruiting_Data!L510&lt;&gt;"", Recruiting_Data!M510&lt;Recruiting_Data!L510), AND(Recruiting_Data!L510&lt;&gt;"", Recruiting_Data!K510&lt;&gt;"", Recruiting_Data!L510&lt;Recruiting_Data!K510)), TRUE, FALSE))</f>
        <v/>
      </c>
    </row>
    <row r="511">
      <c r="A511" s="5" t="str">
        <f>IF(Recruiting_Data!A511="", "", Recruiting_Data!A511)</f>
        <v/>
      </c>
      <c r="B511" s="5" t="str">
        <f>IF(Recruiting_Data!B511="", "", Recruiting_Data!B511)</f>
        <v/>
      </c>
      <c r="C511" s="5" t="str">
        <f>IF(AND(ISNUMBER(Recruiting_Data!N511), ISNUMBER(Recruiting_Data!P511)), Recruiting_Data!N511 - Recruiting_Data!P511, "")</f>
        <v/>
      </c>
      <c r="E511" s="5" t="str">
        <f>IF(Recruiting_Data!R511="Open", TODAY() - Recruiting_Data!P511, "")</f>
        <v/>
      </c>
      <c r="F511" s="8" t="str">
        <f t="shared" si="1"/>
        <v/>
      </c>
      <c r="G511" s="5" t="str">
        <f>IF(A511="", "", IF(COUNTIF(Recruiting_Data!A:A, A511)&gt;1, TRUE, FALSE))</f>
        <v/>
      </c>
      <c r="H511" s="5" t="str">
        <f>IF(A511="", "", IF(OR(AND(Recruiting_Data!N511&lt;&gt;"", Recruiting_Data!J511&lt;&gt;"", Recruiting_Data!N511&lt;Recruiting_Data!J511), AND(Recruiting_Data!M511&lt;&gt;"", Recruiting_Data!L511&lt;&gt;"", Recruiting_Data!M511&lt;Recruiting_Data!L511), AND(Recruiting_Data!L511&lt;&gt;"", Recruiting_Data!K511&lt;&gt;"", Recruiting_Data!L511&lt;Recruiting_Data!K511)), TRUE, FALSE))</f>
        <v/>
      </c>
    </row>
    <row r="512">
      <c r="A512" s="5" t="str">
        <f>IF(Recruiting_Data!A512="", "", Recruiting_Data!A512)</f>
        <v/>
      </c>
      <c r="B512" s="5" t="str">
        <f>IF(Recruiting_Data!B512="", "", Recruiting_Data!B512)</f>
        <v/>
      </c>
      <c r="C512" s="5" t="str">
        <f>IF(AND(ISNUMBER(Recruiting_Data!N512), ISNUMBER(Recruiting_Data!P512)), Recruiting_Data!N512 - Recruiting_Data!P512, "")</f>
        <v/>
      </c>
      <c r="E512" s="5" t="str">
        <f>IF(Recruiting_Data!R512="Open", TODAY() - Recruiting_Data!P512, "")</f>
        <v/>
      </c>
      <c r="F512" s="8" t="str">
        <f t="shared" si="1"/>
        <v/>
      </c>
      <c r="G512" s="5" t="str">
        <f>IF(A512="", "", IF(COUNTIF(Recruiting_Data!A:A, A512)&gt;1, TRUE, FALSE))</f>
        <v/>
      </c>
      <c r="H512" s="5" t="str">
        <f>IF(A512="", "", IF(OR(AND(Recruiting_Data!N512&lt;&gt;"", Recruiting_Data!J512&lt;&gt;"", Recruiting_Data!N512&lt;Recruiting_Data!J512), AND(Recruiting_Data!M512&lt;&gt;"", Recruiting_Data!L512&lt;&gt;"", Recruiting_Data!M512&lt;Recruiting_Data!L512), AND(Recruiting_Data!L512&lt;&gt;"", Recruiting_Data!K512&lt;&gt;"", Recruiting_Data!L512&lt;Recruiting_Data!K512)), TRUE, FALSE))</f>
        <v/>
      </c>
    </row>
    <row r="513">
      <c r="A513" s="5" t="str">
        <f>IF(Recruiting_Data!A513="", "", Recruiting_Data!A513)</f>
        <v/>
      </c>
      <c r="B513" s="5" t="str">
        <f>IF(Recruiting_Data!B513="", "", Recruiting_Data!B513)</f>
        <v/>
      </c>
      <c r="C513" s="5" t="str">
        <f>IF(AND(ISNUMBER(Recruiting_Data!N513), ISNUMBER(Recruiting_Data!P513)), Recruiting_Data!N513 - Recruiting_Data!P513, "")</f>
        <v/>
      </c>
      <c r="E513" s="5" t="str">
        <f>IF(Recruiting_Data!R513="Open", TODAY() - Recruiting_Data!P513, "")</f>
        <v/>
      </c>
      <c r="F513" s="8" t="str">
        <f t="shared" si="1"/>
        <v/>
      </c>
      <c r="G513" s="5" t="str">
        <f>IF(A513="", "", IF(COUNTIF(Recruiting_Data!A:A, A513)&gt;1, TRUE, FALSE))</f>
        <v/>
      </c>
      <c r="H513" s="5" t="str">
        <f>IF(A513="", "", IF(OR(AND(Recruiting_Data!N513&lt;&gt;"", Recruiting_Data!J513&lt;&gt;"", Recruiting_Data!N513&lt;Recruiting_Data!J513), AND(Recruiting_Data!M513&lt;&gt;"", Recruiting_Data!L513&lt;&gt;"", Recruiting_Data!M513&lt;Recruiting_Data!L513), AND(Recruiting_Data!L513&lt;&gt;"", Recruiting_Data!K513&lt;&gt;"", Recruiting_Data!L513&lt;Recruiting_Data!K513)), TRUE, FALSE))</f>
        <v/>
      </c>
    </row>
    <row r="514">
      <c r="A514" s="5" t="str">
        <f>IF(Recruiting_Data!A514="", "", Recruiting_Data!A514)</f>
        <v/>
      </c>
      <c r="B514" s="5" t="str">
        <f>IF(Recruiting_Data!B514="", "", Recruiting_Data!B514)</f>
        <v/>
      </c>
      <c r="C514" s="5" t="str">
        <f>IF(AND(ISNUMBER(Recruiting_Data!N514), ISNUMBER(Recruiting_Data!P514)), Recruiting_Data!N514 - Recruiting_Data!P514, "")</f>
        <v/>
      </c>
      <c r="E514" s="5" t="str">
        <f>IF(Recruiting_Data!R514="Open", TODAY() - Recruiting_Data!P514, "")</f>
        <v/>
      </c>
      <c r="F514" s="8" t="str">
        <f t="shared" si="1"/>
        <v/>
      </c>
      <c r="G514" s="5" t="str">
        <f>IF(A514="", "", IF(COUNTIF(Recruiting_Data!A:A, A514)&gt;1, TRUE, FALSE))</f>
        <v/>
      </c>
      <c r="H514" s="5" t="str">
        <f>IF(A514="", "", IF(OR(AND(Recruiting_Data!N514&lt;&gt;"", Recruiting_Data!J514&lt;&gt;"", Recruiting_Data!N514&lt;Recruiting_Data!J514), AND(Recruiting_Data!M514&lt;&gt;"", Recruiting_Data!L514&lt;&gt;"", Recruiting_Data!M514&lt;Recruiting_Data!L514), AND(Recruiting_Data!L514&lt;&gt;"", Recruiting_Data!K514&lt;&gt;"", Recruiting_Data!L514&lt;Recruiting_Data!K514)), TRUE, FALSE))</f>
        <v/>
      </c>
    </row>
    <row r="515">
      <c r="A515" s="5" t="str">
        <f>IF(Recruiting_Data!A515="", "", Recruiting_Data!A515)</f>
        <v/>
      </c>
      <c r="B515" s="5" t="str">
        <f>IF(Recruiting_Data!B515="", "", Recruiting_Data!B515)</f>
        <v/>
      </c>
      <c r="C515" s="5" t="str">
        <f>IF(AND(ISNUMBER(Recruiting_Data!N515), ISNUMBER(Recruiting_Data!P515)), Recruiting_Data!N515 - Recruiting_Data!P515, "")</f>
        <v/>
      </c>
      <c r="E515" s="5" t="str">
        <f>IF(Recruiting_Data!R515="Open", TODAY() - Recruiting_Data!P515, "")</f>
        <v/>
      </c>
      <c r="F515" s="8" t="str">
        <f t="shared" si="1"/>
        <v/>
      </c>
      <c r="G515" s="5" t="str">
        <f>IF(A515="", "", IF(COUNTIF(Recruiting_Data!A:A, A515)&gt;1, TRUE, FALSE))</f>
        <v/>
      </c>
      <c r="H515" s="5" t="str">
        <f>IF(A515="", "", IF(OR(AND(Recruiting_Data!N515&lt;&gt;"", Recruiting_Data!J515&lt;&gt;"", Recruiting_Data!N515&lt;Recruiting_Data!J515), AND(Recruiting_Data!M515&lt;&gt;"", Recruiting_Data!L515&lt;&gt;"", Recruiting_Data!M515&lt;Recruiting_Data!L515), AND(Recruiting_Data!L515&lt;&gt;"", Recruiting_Data!K515&lt;&gt;"", Recruiting_Data!L515&lt;Recruiting_Data!K515)), TRUE, FALSE))</f>
        <v/>
      </c>
    </row>
    <row r="516">
      <c r="A516" s="5" t="str">
        <f>IF(Recruiting_Data!A516="", "", Recruiting_Data!A516)</f>
        <v/>
      </c>
      <c r="B516" s="5" t="str">
        <f>IF(Recruiting_Data!B516="", "", Recruiting_Data!B516)</f>
        <v/>
      </c>
      <c r="C516" s="5" t="str">
        <f>IF(AND(ISNUMBER(Recruiting_Data!N516), ISNUMBER(Recruiting_Data!P516)), Recruiting_Data!N516 - Recruiting_Data!P516, "")</f>
        <v/>
      </c>
      <c r="E516" s="5" t="str">
        <f>IF(Recruiting_Data!R516="Open", TODAY() - Recruiting_Data!P516, "")</f>
        <v/>
      </c>
      <c r="F516" s="8" t="str">
        <f t="shared" si="1"/>
        <v/>
      </c>
      <c r="G516" s="5" t="str">
        <f>IF(A516="", "", IF(COUNTIF(Recruiting_Data!A:A, A516)&gt;1, TRUE, FALSE))</f>
        <v/>
      </c>
      <c r="H516" s="5" t="str">
        <f>IF(A516="", "", IF(OR(AND(Recruiting_Data!N516&lt;&gt;"", Recruiting_Data!J516&lt;&gt;"", Recruiting_Data!N516&lt;Recruiting_Data!J516), AND(Recruiting_Data!M516&lt;&gt;"", Recruiting_Data!L516&lt;&gt;"", Recruiting_Data!M516&lt;Recruiting_Data!L516), AND(Recruiting_Data!L516&lt;&gt;"", Recruiting_Data!K516&lt;&gt;"", Recruiting_Data!L516&lt;Recruiting_Data!K516)), TRUE, FALSE))</f>
        <v/>
      </c>
    </row>
    <row r="517">
      <c r="A517" s="5" t="str">
        <f>IF(Recruiting_Data!A517="", "", Recruiting_Data!A517)</f>
        <v/>
      </c>
      <c r="B517" s="5" t="str">
        <f>IF(Recruiting_Data!B517="", "", Recruiting_Data!B517)</f>
        <v/>
      </c>
      <c r="C517" s="5" t="str">
        <f>IF(AND(ISNUMBER(Recruiting_Data!N517), ISNUMBER(Recruiting_Data!P517)), Recruiting_Data!N517 - Recruiting_Data!P517, "")</f>
        <v/>
      </c>
      <c r="E517" s="5" t="str">
        <f>IF(Recruiting_Data!R517="Open", TODAY() - Recruiting_Data!P517, "")</f>
        <v/>
      </c>
      <c r="F517" s="8" t="str">
        <f t="shared" si="1"/>
        <v/>
      </c>
      <c r="G517" s="5" t="str">
        <f>IF(A517="", "", IF(COUNTIF(Recruiting_Data!A:A, A517)&gt;1, TRUE, FALSE))</f>
        <v/>
      </c>
      <c r="H517" s="5" t="str">
        <f>IF(A517="", "", IF(OR(AND(Recruiting_Data!N517&lt;&gt;"", Recruiting_Data!J517&lt;&gt;"", Recruiting_Data!N517&lt;Recruiting_Data!J517), AND(Recruiting_Data!M517&lt;&gt;"", Recruiting_Data!L517&lt;&gt;"", Recruiting_Data!M517&lt;Recruiting_Data!L517), AND(Recruiting_Data!L517&lt;&gt;"", Recruiting_Data!K517&lt;&gt;"", Recruiting_Data!L517&lt;Recruiting_Data!K517)), TRUE, FALSE))</f>
        <v/>
      </c>
    </row>
    <row r="518">
      <c r="A518" s="5" t="str">
        <f>IF(Recruiting_Data!A518="", "", Recruiting_Data!A518)</f>
        <v/>
      </c>
      <c r="B518" s="5" t="str">
        <f>IF(Recruiting_Data!B518="", "", Recruiting_Data!B518)</f>
        <v/>
      </c>
      <c r="C518" s="5" t="str">
        <f>IF(AND(ISNUMBER(Recruiting_Data!N518), ISNUMBER(Recruiting_Data!P518)), Recruiting_Data!N518 - Recruiting_Data!P518, "")</f>
        <v/>
      </c>
      <c r="E518" s="5" t="str">
        <f>IF(Recruiting_Data!R518="Open", TODAY() - Recruiting_Data!P518, "")</f>
        <v/>
      </c>
      <c r="F518" s="8" t="str">
        <f t="shared" si="1"/>
        <v/>
      </c>
      <c r="G518" s="5" t="str">
        <f>IF(A518="", "", IF(COUNTIF(Recruiting_Data!A:A, A518)&gt;1, TRUE, FALSE))</f>
        <v/>
      </c>
      <c r="H518" s="5" t="str">
        <f>IF(A518="", "", IF(OR(AND(Recruiting_Data!N518&lt;&gt;"", Recruiting_Data!J518&lt;&gt;"", Recruiting_Data!N518&lt;Recruiting_Data!J518), AND(Recruiting_Data!M518&lt;&gt;"", Recruiting_Data!L518&lt;&gt;"", Recruiting_Data!M518&lt;Recruiting_Data!L518), AND(Recruiting_Data!L518&lt;&gt;"", Recruiting_Data!K518&lt;&gt;"", Recruiting_Data!L518&lt;Recruiting_Data!K518)), TRUE, FALSE))</f>
        <v/>
      </c>
    </row>
    <row r="519">
      <c r="A519" s="5" t="str">
        <f>IF(Recruiting_Data!A519="", "", Recruiting_Data!A519)</f>
        <v/>
      </c>
      <c r="B519" s="5" t="str">
        <f>IF(Recruiting_Data!B519="", "", Recruiting_Data!B519)</f>
        <v/>
      </c>
      <c r="C519" s="5" t="str">
        <f>IF(AND(ISNUMBER(Recruiting_Data!N519), ISNUMBER(Recruiting_Data!P519)), Recruiting_Data!N519 - Recruiting_Data!P519, "")</f>
        <v/>
      </c>
      <c r="E519" s="5" t="str">
        <f>IF(Recruiting_Data!R519="Open", TODAY() - Recruiting_Data!P519, "")</f>
        <v/>
      </c>
      <c r="F519" s="8" t="str">
        <f t="shared" si="1"/>
        <v/>
      </c>
      <c r="G519" s="5" t="str">
        <f>IF(A519="", "", IF(COUNTIF(Recruiting_Data!A:A, A519)&gt;1, TRUE, FALSE))</f>
        <v/>
      </c>
      <c r="H519" s="5" t="str">
        <f>IF(A519="", "", IF(OR(AND(Recruiting_Data!N519&lt;&gt;"", Recruiting_Data!J519&lt;&gt;"", Recruiting_Data!N519&lt;Recruiting_Data!J519), AND(Recruiting_Data!M519&lt;&gt;"", Recruiting_Data!L519&lt;&gt;"", Recruiting_Data!M519&lt;Recruiting_Data!L519), AND(Recruiting_Data!L519&lt;&gt;"", Recruiting_Data!K519&lt;&gt;"", Recruiting_Data!L519&lt;Recruiting_Data!K519)), TRUE, FALSE))</f>
        <v/>
      </c>
    </row>
    <row r="520">
      <c r="A520" s="5" t="str">
        <f>IF(Recruiting_Data!A520="", "", Recruiting_Data!A520)</f>
        <v/>
      </c>
      <c r="B520" s="5" t="str">
        <f>IF(Recruiting_Data!B520="", "", Recruiting_Data!B520)</f>
        <v/>
      </c>
      <c r="C520" s="5" t="str">
        <f>IF(AND(ISNUMBER(Recruiting_Data!N520), ISNUMBER(Recruiting_Data!P520)), Recruiting_Data!N520 - Recruiting_Data!P520, "")</f>
        <v/>
      </c>
      <c r="E520" s="5" t="str">
        <f>IF(Recruiting_Data!R520="Open", TODAY() - Recruiting_Data!P520, "")</f>
        <v/>
      </c>
      <c r="F520" s="8" t="str">
        <f t="shared" si="1"/>
        <v/>
      </c>
      <c r="G520" s="5" t="str">
        <f>IF(A520="", "", IF(COUNTIF(Recruiting_Data!A:A, A520)&gt;1, TRUE, FALSE))</f>
        <v/>
      </c>
      <c r="H520" s="5" t="str">
        <f>IF(A520="", "", IF(OR(AND(Recruiting_Data!N520&lt;&gt;"", Recruiting_Data!J520&lt;&gt;"", Recruiting_Data!N520&lt;Recruiting_Data!J520), AND(Recruiting_Data!M520&lt;&gt;"", Recruiting_Data!L520&lt;&gt;"", Recruiting_Data!M520&lt;Recruiting_Data!L520), AND(Recruiting_Data!L520&lt;&gt;"", Recruiting_Data!K520&lt;&gt;"", Recruiting_Data!L520&lt;Recruiting_Data!K520)), TRUE, FALSE))</f>
        <v/>
      </c>
    </row>
    <row r="521">
      <c r="A521" s="5" t="str">
        <f>IF(Recruiting_Data!A521="", "", Recruiting_Data!A521)</f>
        <v/>
      </c>
      <c r="B521" s="5" t="str">
        <f>IF(Recruiting_Data!B521="", "", Recruiting_Data!B521)</f>
        <v/>
      </c>
      <c r="C521" s="5" t="str">
        <f>IF(AND(ISNUMBER(Recruiting_Data!N521), ISNUMBER(Recruiting_Data!P521)), Recruiting_Data!N521 - Recruiting_Data!P521, "")</f>
        <v/>
      </c>
      <c r="E521" s="5" t="str">
        <f>IF(Recruiting_Data!R521="Open", TODAY() - Recruiting_Data!P521, "")</f>
        <v/>
      </c>
      <c r="F521" s="8" t="str">
        <f t="shared" si="1"/>
        <v/>
      </c>
      <c r="G521" s="5" t="str">
        <f>IF(A521="", "", IF(COUNTIF(Recruiting_Data!A:A, A521)&gt;1, TRUE, FALSE))</f>
        <v/>
      </c>
      <c r="H521" s="5" t="str">
        <f>IF(A521="", "", IF(OR(AND(Recruiting_Data!N521&lt;&gt;"", Recruiting_Data!J521&lt;&gt;"", Recruiting_Data!N521&lt;Recruiting_Data!J521), AND(Recruiting_Data!M521&lt;&gt;"", Recruiting_Data!L521&lt;&gt;"", Recruiting_Data!M521&lt;Recruiting_Data!L521), AND(Recruiting_Data!L521&lt;&gt;"", Recruiting_Data!K521&lt;&gt;"", Recruiting_Data!L521&lt;Recruiting_Data!K521)), TRUE, FALSE))</f>
        <v/>
      </c>
    </row>
    <row r="522">
      <c r="A522" s="5" t="str">
        <f>IF(Recruiting_Data!A522="", "", Recruiting_Data!A522)</f>
        <v/>
      </c>
      <c r="B522" s="5" t="str">
        <f>IF(Recruiting_Data!B522="", "", Recruiting_Data!B522)</f>
        <v/>
      </c>
      <c r="C522" s="5" t="str">
        <f>IF(AND(ISNUMBER(Recruiting_Data!N522), ISNUMBER(Recruiting_Data!P522)), Recruiting_Data!N522 - Recruiting_Data!P522, "")</f>
        <v/>
      </c>
      <c r="E522" s="5" t="str">
        <f>IF(Recruiting_Data!R522="Open", TODAY() - Recruiting_Data!P522, "")</f>
        <v/>
      </c>
      <c r="F522" s="8" t="str">
        <f t="shared" si="1"/>
        <v/>
      </c>
      <c r="G522" s="5" t="str">
        <f>IF(A522="", "", IF(COUNTIF(Recruiting_Data!A:A, A522)&gt;1, TRUE, FALSE))</f>
        <v/>
      </c>
      <c r="H522" s="5" t="str">
        <f>IF(A522="", "", IF(OR(AND(Recruiting_Data!N522&lt;&gt;"", Recruiting_Data!J522&lt;&gt;"", Recruiting_Data!N522&lt;Recruiting_Data!J522), AND(Recruiting_Data!M522&lt;&gt;"", Recruiting_Data!L522&lt;&gt;"", Recruiting_Data!M522&lt;Recruiting_Data!L522), AND(Recruiting_Data!L522&lt;&gt;"", Recruiting_Data!K522&lt;&gt;"", Recruiting_Data!L522&lt;Recruiting_Data!K522)), TRUE, FALSE))</f>
        <v/>
      </c>
    </row>
    <row r="523">
      <c r="A523" s="5" t="str">
        <f>IF(Recruiting_Data!A523="", "", Recruiting_Data!A523)</f>
        <v/>
      </c>
      <c r="B523" s="5" t="str">
        <f>IF(Recruiting_Data!B523="", "", Recruiting_Data!B523)</f>
        <v/>
      </c>
      <c r="C523" s="5" t="str">
        <f>IF(AND(ISNUMBER(Recruiting_Data!N523), ISNUMBER(Recruiting_Data!P523)), Recruiting_Data!N523 - Recruiting_Data!P523, "")</f>
        <v/>
      </c>
      <c r="E523" s="5" t="str">
        <f>IF(Recruiting_Data!R523="Open", TODAY() - Recruiting_Data!P523, "")</f>
        <v/>
      </c>
      <c r="F523" s="8" t="str">
        <f t="shared" si="1"/>
        <v/>
      </c>
      <c r="G523" s="5" t="str">
        <f>IF(A523="", "", IF(COUNTIF(Recruiting_Data!A:A, A523)&gt;1, TRUE, FALSE))</f>
        <v/>
      </c>
      <c r="H523" s="5" t="str">
        <f>IF(A523="", "", IF(OR(AND(Recruiting_Data!N523&lt;&gt;"", Recruiting_Data!J523&lt;&gt;"", Recruiting_Data!N523&lt;Recruiting_Data!J523), AND(Recruiting_Data!M523&lt;&gt;"", Recruiting_Data!L523&lt;&gt;"", Recruiting_Data!M523&lt;Recruiting_Data!L523), AND(Recruiting_Data!L523&lt;&gt;"", Recruiting_Data!K523&lt;&gt;"", Recruiting_Data!L523&lt;Recruiting_Data!K523)), TRUE, FALSE))</f>
        <v/>
      </c>
    </row>
    <row r="524">
      <c r="A524" s="5" t="str">
        <f>IF(Recruiting_Data!A524="", "", Recruiting_Data!A524)</f>
        <v/>
      </c>
      <c r="B524" s="5" t="str">
        <f>IF(Recruiting_Data!B524="", "", Recruiting_Data!B524)</f>
        <v/>
      </c>
      <c r="C524" s="5" t="str">
        <f>IF(AND(ISNUMBER(Recruiting_Data!N524), ISNUMBER(Recruiting_Data!P524)), Recruiting_Data!N524 - Recruiting_Data!P524, "")</f>
        <v/>
      </c>
      <c r="E524" s="5" t="str">
        <f>IF(Recruiting_Data!R524="Open", TODAY() - Recruiting_Data!P524, "")</f>
        <v/>
      </c>
      <c r="F524" s="8" t="str">
        <f t="shared" si="1"/>
        <v/>
      </c>
      <c r="G524" s="5" t="str">
        <f>IF(A524="", "", IF(COUNTIF(Recruiting_Data!A:A, A524)&gt;1, TRUE, FALSE))</f>
        <v/>
      </c>
      <c r="H524" s="5" t="str">
        <f>IF(A524="", "", IF(OR(AND(Recruiting_Data!N524&lt;&gt;"", Recruiting_Data!J524&lt;&gt;"", Recruiting_Data!N524&lt;Recruiting_Data!J524), AND(Recruiting_Data!M524&lt;&gt;"", Recruiting_Data!L524&lt;&gt;"", Recruiting_Data!M524&lt;Recruiting_Data!L524), AND(Recruiting_Data!L524&lt;&gt;"", Recruiting_Data!K524&lt;&gt;"", Recruiting_Data!L524&lt;Recruiting_Data!K524)), TRUE, FALSE))</f>
        <v/>
      </c>
    </row>
    <row r="525">
      <c r="A525" s="5" t="str">
        <f>IF(Recruiting_Data!A525="", "", Recruiting_Data!A525)</f>
        <v/>
      </c>
      <c r="B525" s="5" t="str">
        <f>IF(Recruiting_Data!B525="", "", Recruiting_Data!B525)</f>
        <v/>
      </c>
      <c r="C525" s="5" t="str">
        <f>IF(AND(ISNUMBER(Recruiting_Data!N525), ISNUMBER(Recruiting_Data!P525)), Recruiting_Data!N525 - Recruiting_Data!P525, "")</f>
        <v/>
      </c>
      <c r="E525" s="5" t="str">
        <f>IF(Recruiting_Data!R525="Open", TODAY() - Recruiting_Data!P525, "")</f>
        <v/>
      </c>
      <c r="F525" s="8" t="str">
        <f t="shared" si="1"/>
        <v/>
      </c>
      <c r="G525" s="5" t="str">
        <f>IF(A525="", "", IF(COUNTIF(Recruiting_Data!A:A, A525)&gt;1, TRUE, FALSE))</f>
        <v/>
      </c>
      <c r="H525" s="5" t="str">
        <f>IF(A525="", "", IF(OR(AND(Recruiting_Data!N525&lt;&gt;"", Recruiting_Data!J525&lt;&gt;"", Recruiting_Data!N525&lt;Recruiting_Data!J525), AND(Recruiting_Data!M525&lt;&gt;"", Recruiting_Data!L525&lt;&gt;"", Recruiting_Data!M525&lt;Recruiting_Data!L525), AND(Recruiting_Data!L525&lt;&gt;"", Recruiting_Data!K525&lt;&gt;"", Recruiting_Data!L525&lt;Recruiting_Data!K525)), TRUE, FALSE))</f>
        <v/>
      </c>
    </row>
    <row r="526">
      <c r="A526" s="5" t="str">
        <f>IF(Recruiting_Data!A526="", "", Recruiting_Data!A526)</f>
        <v/>
      </c>
      <c r="B526" s="5" t="str">
        <f>IF(Recruiting_Data!B526="", "", Recruiting_Data!B526)</f>
        <v/>
      </c>
      <c r="C526" s="5" t="str">
        <f>IF(AND(ISNUMBER(Recruiting_Data!N526), ISNUMBER(Recruiting_Data!P526)), Recruiting_Data!N526 - Recruiting_Data!P526, "")</f>
        <v/>
      </c>
      <c r="E526" s="5" t="str">
        <f>IF(Recruiting_Data!R526="Open", TODAY() - Recruiting_Data!P526, "")</f>
        <v/>
      </c>
      <c r="F526" s="8" t="str">
        <f t="shared" si="1"/>
        <v/>
      </c>
      <c r="G526" s="5" t="str">
        <f>IF(A526="", "", IF(COUNTIF(Recruiting_Data!A:A, A526)&gt;1, TRUE, FALSE))</f>
        <v/>
      </c>
      <c r="H526" s="5" t="str">
        <f>IF(A526="", "", IF(OR(AND(Recruiting_Data!N526&lt;&gt;"", Recruiting_Data!J526&lt;&gt;"", Recruiting_Data!N526&lt;Recruiting_Data!J526), AND(Recruiting_Data!M526&lt;&gt;"", Recruiting_Data!L526&lt;&gt;"", Recruiting_Data!M526&lt;Recruiting_Data!L526), AND(Recruiting_Data!L526&lt;&gt;"", Recruiting_Data!K526&lt;&gt;"", Recruiting_Data!L526&lt;Recruiting_Data!K526)), TRUE, FALSE))</f>
        <v/>
      </c>
    </row>
    <row r="527">
      <c r="A527" s="5" t="str">
        <f>IF(Recruiting_Data!A527="", "", Recruiting_Data!A527)</f>
        <v/>
      </c>
      <c r="B527" s="5" t="str">
        <f>IF(Recruiting_Data!B527="", "", Recruiting_Data!B527)</f>
        <v/>
      </c>
      <c r="C527" s="5" t="str">
        <f>IF(AND(ISNUMBER(Recruiting_Data!N527), ISNUMBER(Recruiting_Data!P527)), Recruiting_Data!N527 - Recruiting_Data!P527, "")</f>
        <v/>
      </c>
      <c r="E527" s="5" t="str">
        <f>IF(Recruiting_Data!R527="Open", TODAY() - Recruiting_Data!P527, "")</f>
        <v/>
      </c>
      <c r="F527" s="8" t="str">
        <f t="shared" si="1"/>
        <v/>
      </c>
      <c r="G527" s="5" t="str">
        <f>IF(A527="", "", IF(COUNTIF(Recruiting_Data!A:A, A527)&gt;1, TRUE, FALSE))</f>
        <v/>
      </c>
      <c r="H527" s="5" t="str">
        <f>IF(A527="", "", IF(OR(AND(Recruiting_Data!N527&lt;&gt;"", Recruiting_Data!J527&lt;&gt;"", Recruiting_Data!N527&lt;Recruiting_Data!J527), AND(Recruiting_Data!M527&lt;&gt;"", Recruiting_Data!L527&lt;&gt;"", Recruiting_Data!M527&lt;Recruiting_Data!L527), AND(Recruiting_Data!L527&lt;&gt;"", Recruiting_Data!K527&lt;&gt;"", Recruiting_Data!L527&lt;Recruiting_Data!K527)), TRUE, FALSE))</f>
        <v/>
      </c>
    </row>
    <row r="528">
      <c r="A528" s="5" t="str">
        <f>IF(Recruiting_Data!A528="", "", Recruiting_Data!A528)</f>
        <v/>
      </c>
      <c r="B528" s="5" t="str">
        <f>IF(Recruiting_Data!B528="", "", Recruiting_Data!B528)</f>
        <v/>
      </c>
      <c r="C528" s="5" t="str">
        <f>IF(AND(ISNUMBER(Recruiting_Data!N528), ISNUMBER(Recruiting_Data!P528)), Recruiting_Data!N528 - Recruiting_Data!P528, "")</f>
        <v/>
      </c>
      <c r="E528" s="5" t="str">
        <f>IF(Recruiting_Data!R528="Open", TODAY() - Recruiting_Data!P528, "")</f>
        <v/>
      </c>
      <c r="F528" s="8" t="str">
        <f t="shared" si="1"/>
        <v/>
      </c>
      <c r="G528" s="5" t="str">
        <f>IF(A528="", "", IF(COUNTIF(Recruiting_Data!A:A, A528)&gt;1, TRUE, FALSE))</f>
        <v/>
      </c>
      <c r="H528" s="5" t="str">
        <f>IF(A528="", "", IF(OR(AND(Recruiting_Data!N528&lt;&gt;"", Recruiting_Data!J528&lt;&gt;"", Recruiting_Data!N528&lt;Recruiting_Data!J528), AND(Recruiting_Data!M528&lt;&gt;"", Recruiting_Data!L528&lt;&gt;"", Recruiting_Data!M528&lt;Recruiting_Data!L528), AND(Recruiting_Data!L528&lt;&gt;"", Recruiting_Data!K528&lt;&gt;"", Recruiting_Data!L528&lt;Recruiting_Data!K528)), TRUE, FALSE))</f>
        <v/>
      </c>
    </row>
    <row r="529">
      <c r="A529" s="5" t="str">
        <f>IF(Recruiting_Data!A529="", "", Recruiting_Data!A529)</f>
        <v/>
      </c>
      <c r="B529" s="5" t="str">
        <f>IF(Recruiting_Data!B529="", "", Recruiting_Data!B529)</f>
        <v/>
      </c>
      <c r="C529" s="5" t="str">
        <f>IF(AND(ISNUMBER(Recruiting_Data!N529), ISNUMBER(Recruiting_Data!P529)), Recruiting_Data!N529 - Recruiting_Data!P529, "")</f>
        <v/>
      </c>
      <c r="E529" s="5" t="str">
        <f>IF(Recruiting_Data!R529="Open", TODAY() - Recruiting_Data!P529, "")</f>
        <v/>
      </c>
      <c r="F529" s="8" t="str">
        <f t="shared" si="1"/>
        <v/>
      </c>
      <c r="G529" s="5" t="str">
        <f>IF(A529="", "", IF(COUNTIF(Recruiting_Data!A:A, A529)&gt;1, TRUE, FALSE))</f>
        <v/>
      </c>
      <c r="H529" s="5" t="str">
        <f>IF(A529="", "", IF(OR(AND(Recruiting_Data!N529&lt;&gt;"", Recruiting_Data!J529&lt;&gt;"", Recruiting_Data!N529&lt;Recruiting_Data!J529), AND(Recruiting_Data!M529&lt;&gt;"", Recruiting_Data!L529&lt;&gt;"", Recruiting_Data!M529&lt;Recruiting_Data!L529), AND(Recruiting_Data!L529&lt;&gt;"", Recruiting_Data!K529&lt;&gt;"", Recruiting_Data!L529&lt;Recruiting_Data!K529)), TRUE, FALSE))</f>
        <v/>
      </c>
    </row>
    <row r="530">
      <c r="A530" s="5" t="str">
        <f>IF(Recruiting_Data!A530="", "", Recruiting_Data!A530)</f>
        <v/>
      </c>
      <c r="B530" s="5" t="str">
        <f>IF(Recruiting_Data!B530="", "", Recruiting_Data!B530)</f>
        <v/>
      </c>
      <c r="C530" s="5" t="str">
        <f>IF(AND(ISNUMBER(Recruiting_Data!N530), ISNUMBER(Recruiting_Data!P530)), Recruiting_Data!N530 - Recruiting_Data!P530, "")</f>
        <v/>
      </c>
      <c r="E530" s="5" t="str">
        <f>IF(Recruiting_Data!R530="Open", TODAY() - Recruiting_Data!P530, "")</f>
        <v/>
      </c>
      <c r="F530" s="8" t="str">
        <f t="shared" si="1"/>
        <v/>
      </c>
      <c r="G530" s="5" t="str">
        <f>IF(A530="", "", IF(COUNTIF(Recruiting_Data!A:A, A530)&gt;1, TRUE, FALSE))</f>
        <v/>
      </c>
      <c r="H530" s="5" t="str">
        <f>IF(A530="", "", IF(OR(AND(Recruiting_Data!N530&lt;&gt;"", Recruiting_Data!J530&lt;&gt;"", Recruiting_Data!N530&lt;Recruiting_Data!J530), AND(Recruiting_Data!M530&lt;&gt;"", Recruiting_Data!L530&lt;&gt;"", Recruiting_Data!M530&lt;Recruiting_Data!L530), AND(Recruiting_Data!L530&lt;&gt;"", Recruiting_Data!K530&lt;&gt;"", Recruiting_Data!L530&lt;Recruiting_Data!K530)), TRUE, FALSE))</f>
        <v/>
      </c>
    </row>
    <row r="531">
      <c r="A531" s="5" t="str">
        <f>IF(Recruiting_Data!A531="", "", Recruiting_Data!A531)</f>
        <v/>
      </c>
      <c r="B531" s="5" t="str">
        <f>IF(Recruiting_Data!B531="", "", Recruiting_Data!B531)</f>
        <v/>
      </c>
      <c r="C531" s="5" t="str">
        <f>IF(AND(ISNUMBER(Recruiting_Data!N531), ISNUMBER(Recruiting_Data!P531)), Recruiting_Data!N531 - Recruiting_Data!P531, "")</f>
        <v/>
      </c>
      <c r="E531" s="5" t="str">
        <f>IF(Recruiting_Data!R531="Open", TODAY() - Recruiting_Data!P531, "")</f>
        <v/>
      </c>
      <c r="F531" s="8" t="str">
        <f t="shared" si="1"/>
        <v/>
      </c>
      <c r="G531" s="5" t="str">
        <f>IF(A531="", "", IF(COUNTIF(Recruiting_Data!A:A, A531)&gt;1, TRUE, FALSE))</f>
        <v/>
      </c>
      <c r="H531" s="5" t="str">
        <f>IF(A531="", "", IF(OR(AND(Recruiting_Data!N531&lt;&gt;"", Recruiting_Data!J531&lt;&gt;"", Recruiting_Data!N531&lt;Recruiting_Data!J531), AND(Recruiting_Data!M531&lt;&gt;"", Recruiting_Data!L531&lt;&gt;"", Recruiting_Data!M531&lt;Recruiting_Data!L531), AND(Recruiting_Data!L531&lt;&gt;"", Recruiting_Data!K531&lt;&gt;"", Recruiting_Data!L531&lt;Recruiting_Data!K531)), TRUE, FALSE))</f>
        <v/>
      </c>
    </row>
    <row r="532">
      <c r="A532" s="5" t="str">
        <f>IF(Recruiting_Data!A532="", "", Recruiting_Data!A532)</f>
        <v/>
      </c>
      <c r="B532" s="5" t="str">
        <f>IF(Recruiting_Data!B532="", "", Recruiting_Data!B532)</f>
        <v/>
      </c>
      <c r="C532" s="5" t="str">
        <f>IF(AND(ISNUMBER(Recruiting_Data!N532), ISNUMBER(Recruiting_Data!P532)), Recruiting_Data!N532 - Recruiting_Data!P532, "")</f>
        <v/>
      </c>
      <c r="E532" s="5" t="str">
        <f>IF(Recruiting_Data!R532="Open", TODAY() - Recruiting_Data!P532, "")</f>
        <v/>
      </c>
      <c r="F532" s="8" t="str">
        <f t="shared" si="1"/>
        <v/>
      </c>
      <c r="G532" s="5" t="str">
        <f>IF(A532="", "", IF(COUNTIF(Recruiting_Data!A:A, A532)&gt;1, TRUE, FALSE))</f>
        <v/>
      </c>
      <c r="H532" s="5" t="str">
        <f>IF(A532="", "", IF(OR(AND(Recruiting_Data!N532&lt;&gt;"", Recruiting_Data!J532&lt;&gt;"", Recruiting_Data!N532&lt;Recruiting_Data!J532), AND(Recruiting_Data!M532&lt;&gt;"", Recruiting_Data!L532&lt;&gt;"", Recruiting_Data!M532&lt;Recruiting_Data!L532), AND(Recruiting_Data!L532&lt;&gt;"", Recruiting_Data!K532&lt;&gt;"", Recruiting_Data!L532&lt;Recruiting_Data!K532)), TRUE, FALSE))</f>
        <v/>
      </c>
    </row>
    <row r="533">
      <c r="A533" s="5" t="str">
        <f>IF(Recruiting_Data!A533="", "", Recruiting_Data!A533)</f>
        <v/>
      </c>
      <c r="B533" s="5" t="str">
        <f>IF(Recruiting_Data!B533="", "", Recruiting_Data!B533)</f>
        <v/>
      </c>
      <c r="C533" s="5" t="str">
        <f>IF(AND(ISNUMBER(Recruiting_Data!N533), ISNUMBER(Recruiting_Data!P533)), Recruiting_Data!N533 - Recruiting_Data!P533, "")</f>
        <v/>
      </c>
      <c r="E533" s="5" t="str">
        <f>IF(Recruiting_Data!R533="Open", TODAY() - Recruiting_Data!P533, "")</f>
        <v/>
      </c>
      <c r="F533" s="8" t="str">
        <f t="shared" si="1"/>
        <v/>
      </c>
      <c r="G533" s="5" t="str">
        <f>IF(A533="", "", IF(COUNTIF(Recruiting_Data!A:A, A533)&gt;1, TRUE, FALSE))</f>
        <v/>
      </c>
      <c r="H533" s="5" t="str">
        <f>IF(A533="", "", IF(OR(AND(Recruiting_Data!N533&lt;&gt;"", Recruiting_Data!J533&lt;&gt;"", Recruiting_Data!N533&lt;Recruiting_Data!J533), AND(Recruiting_Data!M533&lt;&gt;"", Recruiting_Data!L533&lt;&gt;"", Recruiting_Data!M533&lt;Recruiting_Data!L533), AND(Recruiting_Data!L533&lt;&gt;"", Recruiting_Data!K533&lt;&gt;"", Recruiting_Data!L533&lt;Recruiting_Data!K533)), TRUE, FALSE))</f>
        <v/>
      </c>
    </row>
    <row r="534">
      <c r="A534" s="5" t="str">
        <f>IF(Recruiting_Data!A534="", "", Recruiting_Data!A534)</f>
        <v/>
      </c>
      <c r="B534" s="5" t="str">
        <f>IF(Recruiting_Data!B534="", "", Recruiting_Data!B534)</f>
        <v/>
      </c>
      <c r="C534" s="5" t="str">
        <f>IF(AND(ISNUMBER(Recruiting_Data!N534), ISNUMBER(Recruiting_Data!P534)), Recruiting_Data!N534 - Recruiting_Data!P534, "")</f>
        <v/>
      </c>
      <c r="E534" s="5" t="str">
        <f>IF(Recruiting_Data!R534="Open", TODAY() - Recruiting_Data!P534, "")</f>
        <v/>
      </c>
      <c r="F534" s="8" t="str">
        <f t="shared" si="1"/>
        <v/>
      </c>
      <c r="G534" s="5" t="str">
        <f>IF(A534="", "", IF(COUNTIF(Recruiting_Data!A:A, A534)&gt;1, TRUE, FALSE))</f>
        <v/>
      </c>
      <c r="H534" s="5" t="str">
        <f>IF(A534="", "", IF(OR(AND(Recruiting_Data!N534&lt;&gt;"", Recruiting_Data!J534&lt;&gt;"", Recruiting_Data!N534&lt;Recruiting_Data!J534), AND(Recruiting_Data!M534&lt;&gt;"", Recruiting_Data!L534&lt;&gt;"", Recruiting_Data!M534&lt;Recruiting_Data!L534), AND(Recruiting_Data!L534&lt;&gt;"", Recruiting_Data!K534&lt;&gt;"", Recruiting_Data!L534&lt;Recruiting_Data!K534)), TRUE, FALSE))</f>
        <v/>
      </c>
    </row>
    <row r="535">
      <c r="A535" s="5" t="str">
        <f>IF(Recruiting_Data!A535="", "", Recruiting_Data!A535)</f>
        <v/>
      </c>
      <c r="B535" s="5" t="str">
        <f>IF(Recruiting_Data!B535="", "", Recruiting_Data!B535)</f>
        <v/>
      </c>
      <c r="C535" s="5" t="str">
        <f>IF(AND(ISNUMBER(Recruiting_Data!N535), ISNUMBER(Recruiting_Data!P535)), Recruiting_Data!N535 - Recruiting_Data!P535, "")</f>
        <v/>
      </c>
      <c r="E535" s="5" t="str">
        <f>IF(Recruiting_Data!R535="Open", TODAY() - Recruiting_Data!P535, "")</f>
        <v/>
      </c>
      <c r="F535" s="8" t="str">
        <f t="shared" si="1"/>
        <v/>
      </c>
      <c r="G535" s="5" t="str">
        <f>IF(A535="", "", IF(COUNTIF(Recruiting_Data!A:A, A535)&gt;1, TRUE, FALSE))</f>
        <v/>
      </c>
      <c r="H535" s="5" t="str">
        <f>IF(A535="", "", IF(OR(AND(Recruiting_Data!N535&lt;&gt;"", Recruiting_Data!J535&lt;&gt;"", Recruiting_Data!N535&lt;Recruiting_Data!J535), AND(Recruiting_Data!M535&lt;&gt;"", Recruiting_Data!L535&lt;&gt;"", Recruiting_Data!M535&lt;Recruiting_Data!L535), AND(Recruiting_Data!L535&lt;&gt;"", Recruiting_Data!K535&lt;&gt;"", Recruiting_Data!L535&lt;Recruiting_Data!K535)), TRUE, FALSE))</f>
        <v/>
      </c>
    </row>
    <row r="536">
      <c r="A536" s="5" t="str">
        <f>IF(Recruiting_Data!A536="", "", Recruiting_Data!A536)</f>
        <v/>
      </c>
      <c r="B536" s="5" t="str">
        <f>IF(Recruiting_Data!B536="", "", Recruiting_Data!B536)</f>
        <v/>
      </c>
      <c r="C536" s="5" t="str">
        <f>IF(AND(ISNUMBER(Recruiting_Data!N536), ISNUMBER(Recruiting_Data!P536)), Recruiting_Data!N536 - Recruiting_Data!P536, "")</f>
        <v/>
      </c>
      <c r="E536" s="5" t="str">
        <f>IF(Recruiting_Data!R536="Open", TODAY() - Recruiting_Data!P536, "")</f>
        <v/>
      </c>
      <c r="F536" s="8" t="str">
        <f t="shared" si="1"/>
        <v/>
      </c>
      <c r="G536" s="5" t="str">
        <f>IF(A536="", "", IF(COUNTIF(Recruiting_Data!A:A, A536)&gt;1, TRUE, FALSE))</f>
        <v/>
      </c>
      <c r="H536" s="5" t="str">
        <f>IF(A536="", "", IF(OR(AND(Recruiting_Data!N536&lt;&gt;"", Recruiting_Data!J536&lt;&gt;"", Recruiting_Data!N536&lt;Recruiting_Data!J536), AND(Recruiting_Data!M536&lt;&gt;"", Recruiting_Data!L536&lt;&gt;"", Recruiting_Data!M536&lt;Recruiting_Data!L536), AND(Recruiting_Data!L536&lt;&gt;"", Recruiting_Data!K536&lt;&gt;"", Recruiting_Data!L536&lt;Recruiting_Data!K536)), TRUE, FALSE))</f>
        <v/>
      </c>
    </row>
    <row r="537">
      <c r="A537" s="5" t="str">
        <f>IF(Recruiting_Data!A537="", "", Recruiting_Data!A537)</f>
        <v/>
      </c>
      <c r="B537" s="5" t="str">
        <f>IF(Recruiting_Data!B537="", "", Recruiting_Data!B537)</f>
        <v/>
      </c>
      <c r="C537" s="5" t="str">
        <f>IF(AND(ISNUMBER(Recruiting_Data!N537), ISNUMBER(Recruiting_Data!P537)), Recruiting_Data!N537 - Recruiting_Data!P537, "")</f>
        <v/>
      </c>
      <c r="E537" s="5" t="str">
        <f>IF(Recruiting_Data!R537="Open", TODAY() - Recruiting_Data!P537, "")</f>
        <v/>
      </c>
      <c r="F537" s="8" t="str">
        <f t="shared" si="1"/>
        <v/>
      </c>
      <c r="G537" s="5" t="str">
        <f>IF(A537="", "", IF(COUNTIF(Recruiting_Data!A:A, A537)&gt;1, TRUE, FALSE))</f>
        <v/>
      </c>
      <c r="H537" s="5" t="str">
        <f>IF(A537="", "", IF(OR(AND(Recruiting_Data!N537&lt;&gt;"", Recruiting_Data!J537&lt;&gt;"", Recruiting_Data!N537&lt;Recruiting_Data!J537), AND(Recruiting_Data!M537&lt;&gt;"", Recruiting_Data!L537&lt;&gt;"", Recruiting_Data!M537&lt;Recruiting_Data!L537), AND(Recruiting_Data!L537&lt;&gt;"", Recruiting_Data!K537&lt;&gt;"", Recruiting_Data!L537&lt;Recruiting_Data!K537)), TRUE, FALSE))</f>
        <v/>
      </c>
    </row>
    <row r="538">
      <c r="A538" s="5" t="str">
        <f>IF(Recruiting_Data!A538="", "", Recruiting_Data!A538)</f>
        <v/>
      </c>
      <c r="B538" s="5" t="str">
        <f>IF(Recruiting_Data!B538="", "", Recruiting_Data!B538)</f>
        <v/>
      </c>
      <c r="C538" s="5" t="str">
        <f>IF(AND(ISNUMBER(Recruiting_Data!N538), ISNUMBER(Recruiting_Data!P538)), Recruiting_Data!N538 - Recruiting_Data!P538, "")</f>
        <v/>
      </c>
      <c r="E538" s="5" t="str">
        <f>IF(Recruiting_Data!R538="Open", TODAY() - Recruiting_Data!P538, "")</f>
        <v/>
      </c>
      <c r="F538" s="8" t="str">
        <f t="shared" si="1"/>
        <v/>
      </c>
      <c r="G538" s="5" t="str">
        <f>IF(A538="", "", IF(COUNTIF(Recruiting_Data!A:A, A538)&gt;1, TRUE, FALSE))</f>
        <v/>
      </c>
      <c r="H538" s="5" t="str">
        <f>IF(A538="", "", IF(OR(AND(Recruiting_Data!N538&lt;&gt;"", Recruiting_Data!J538&lt;&gt;"", Recruiting_Data!N538&lt;Recruiting_Data!J538), AND(Recruiting_Data!M538&lt;&gt;"", Recruiting_Data!L538&lt;&gt;"", Recruiting_Data!M538&lt;Recruiting_Data!L538), AND(Recruiting_Data!L538&lt;&gt;"", Recruiting_Data!K538&lt;&gt;"", Recruiting_Data!L538&lt;Recruiting_Data!K538)), TRUE, FALSE))</f>
        <v/>
      </c>
    </row>
    <row r="539">
      <c r="A539" s="5" t="str">
        <f>IF(Recruiting_Data!A539="", "", Recruiting_Data!A539)</f>
        <v/>
      </c>
      <c r="B539" s="5" t="str">
        <f>IF(Recruiting_Data!B539="", "", Recruiting_Data!B539)</f>
        <v/>
      </c>
      <c r="C539" s="5" t="str">
        <f>IF(AND(ISNUMBER(Recruiting_Data!N539), ISNUMBER(Recruiting_Data!P539)), Recruiting_Data!N539 - Recruiting_Data!P539, "")</f>
        <v/>
      </c>
      <c r="E539" s="5" t="str">
        <f>IF(Recruiting_Data!R539="Open", TODAY() - Recruiting_Data!P539, "")</f>
        <v/>
      </c>
      <c r="F539" s="8" t="str">
        <f t="shared" si="1"/>
        <v/>
      </c>
      <c r="G539" s="5" t="str">
        <f>IF(A539="", "", IF(COUNTIF(Recruiting_Data!A:A, A539)&gt;1, TRUE, FALSE))</f>
        <v/>
      </c>
      <c r="H539" s="5" t="str">
        <f>IF(A539="", "", IF(OR(AND(Recruiting_Data!N539&lt;&gt;"", Recruiting_Data!J539&lt;&gt;"", Recruiting_Data!N539&lt;Recruiting_Data!J539), AND(Recruiting_Data!M539&lt;&gt;"", Recruiting_Data!L539&lt;&gt;"", Recruiting_Data!M539&lt;Recruiting_Data!L539), AND(Recruiting_Data!L539&lt;&gt;"", Recruiting_Data!K539&lt;&gt;"", Recruiting_Data!L539&lt;Recruiting_Data!K539)), TRUE, FALSE))</f>
        <v/>
      </c>
    </row>
    <row r="540">
      <c r="A540" s="5" t="str">
        <f>IF(Recruiting_Data!A540="", "", Recruiting_Data!A540)</f>
        <v/>
      </c>
      <c r="B540" s="5" t="str">
        <f>IF(Recruiting_Data!B540="", "", Recruiting_Data!B540)</f>
        <v/>
      </c>
      <c r="C540" s="5" t="str">
        <f>IF(AND(ISNUMBER(Recruiting_Data!N540), ISNUMBER(Recruiting_Data!P540)), Recruiting_Data!N540 - Recruiting_Data!P540, "")</f>
        <v/>
      </c>
      <c r="E540" s="5" t="str">
        <f>IF(Recruiting_Data!R540="Open", TODAY() - Recruiting_Data!P540, "")</f>
        <v/>
      </c>
      <c r="F540" s="8" t="str">
        <f t="shared" si="1"/>
        <v/>
      </c>
      <c r="G540" s="5" t="str">
        <f>IF(A540="", "", IF(COUNTIF(Recruiting_Data!A:A, A540)&gt;1, TRUE, FALSE))</f>
        <v/>
      </c>
      <c r="H540" s="5" t="str">
        <f>IF(A540="", "", IF(OR(AND(Recruiting_Data!N540&lt;&gt;"", Recruiting_Data!J540&lt;&gt;"", Recruiting_Data!N540&lt;Recruiting_Data!J540), AND(Recruiting_Data!M540&lt;&gt;"", Recruiting_Data!L540&lt;&gt;"", Recruiting_Data!M540&lt;Recruiting_Data!L540), AND(Recruiting_Data!L540&lt;&gt;"", Recruiting_Data!K540&lt;&gt;"", Recruiting_Data!L540&lt;Recruiting_Data!K540)), TRUE, FALSE))</f>
        <v/>
      </c>
    </row>
    <row r="541">
      <c r="A541" s="5" t="str">
        <f>IF(Recruiting_Data!A541="", "", Recruiting_Data!A541)</f>
        <v/>
      </c>
      <c r="B541" s="5" t="str">
        <f>IF(Recruiting_Data!B541="", "", Recruiting_Data!B541)</f>
        <v/>
      </c>
      <c r="C541" s="5" t="str">
        <f>IF(AND(ISNUMBER(Recruiting_Data!N541), ISNUMBER(Recruiting_Data!P541)), Recruiting_Data!N541 - Recruiting_Data!P541, "")</f>
        <v/>
      </c>
      <c r="E541" s="5" t="str">
        <f>IF(Recruiting_Data!R541="Open", TODAY() - Recruiting_Data!P541, "")</f>
        <v/>
      </c>
      <c r="F541" s="8" t="str">
        <f t="shared" si="1"/>
        <v/>
      </c>
      <c r="G541" s="5" t="str">
        <f>IF(A541="", "", IF(COUNTIF(Recruiting_Data!A:A, A541)&gt;1, TRUE, FALSE))</f>
        <v/>
      </c>
      <c r="H541" s="5" t="str">
        <f>IF(A541="", "", IF(OR(AND(Recruiting_Data!N541&lt;&gt;"", Recruiting_Data!J541&lt;&gt;"", Recruiting_Data!N541&lt;Recruiting_Data!J541), AND(Recruiting_Data!M541&lt;&gt;"", Recruiting_Data!L541&lt;&gt;"", Recruiting_Data!M541&lt;Recruiting_Data!L541), AND(Recruiting_Data!L541&lt;&gt;"", Recruiting_Data!K541&lt;&gt;"", Recruiting_Data!L541&lt;Recruiting_Data!K541)), TRUE, FALSE))</f>
        <v/>
      </c>
    </row>
    <row r="542">
      <c r="A542" s="5" t="str">
        <f>IF(Recruiting_Data!A542="", "", Recruiting_Data!A542)</f>
        <v/>
      </c>
      <c r="B542" s="5" t="str">
        <f>IF(Recruiting_Data!B542="", "", Recruiting_Data!B542)</f>
        <v/>
      </c>
      <c r="C542" s="5" t="str">
        <f>IF(AND(ISNUMBER(Recruiting_Data!N542), ISNUMBER(Recruiting_Data!P542)), Recruiting_Data!N542 - Recruiting_Data!P542, "")</f>
        <v/>
      </c>
      <c r="E542" s="5" t="str">
        <f>IF(Recruiting_Data!R542="Open", TODAY() - Recruiting_Data!P542, "")</f>
        <v/>
      </c>
      <c r="F542" s="8" t="str">
        <f t="shared" si="1"/>
        <v/>
      </c>
      <c r="G542" s="5" t="str">
        <f>IF(A542="", "", IF(COUNTIF(Recruiting_Data!A:A, A542)&gt;1, TRUE, FALSE))</f>
        <v/>
      </c>
      <c r="H542" s="5" t="str">
        <f>IF(A542="", "", IF(OR(AND(Recruiting_Data!N542&lt;&gt;"", Recruiting_Data!J542&lt;&gt;"", Recruiting_Data!N542&lt;Recruiting_Data!J542), AND(Recruiting_Data!M542&lt;&gt;"", Recruiting_Data!L542&lt;&gt;"", Recruiting_Data!M542&lt;Recruiting_Data!L542), AND(Recruiting_Data!L542&lt;&gt;"", Recruiting_Data!K542&lt;&gt;"", Recruiting_Data!L542&lt;Recruiting_Data!K542)), TRUE, FALSE))</f>
        <v/>
      </c>
    </row>
    <row r="543">
      <c r="A543" s="5" t="str">
        <f>IF(Recruiting_Data!A543="", "", Recruiting_Data!A543)</f>
        <v/>
      </c>
      <c r="B543" s="5" t="str">
        <f>IF(Recruiting_Data!B543="", "", Recruiting_Data!B543)</f>
        <v/>
      </c>
      <c r="C543" s="5" t="str">
        <f>IF(AND(ISNUMBER(Recruiting_Data!N543), ISNUMBER(Recruiting_Data!P543)), Recruiting_Data!N543 - Recruiting_Data!P543, "")</f>
        <v/>
      </c>
      <c r="E543" s="5" t="str">
        <f>IF(Recruiting_Data!R543="Open", TODAY() - Recruiting_Data!P543, "")</f>
        <v/>
      </c>
      <c r="F543" s="8" t="str">
        <f t="shared" si="1"/>
        <v/>
      </c>
      <c r="G543" s="5" t="str">
        <f>IF(A543="", "", IF(COUNTIF(Recruiting_Data!A:A, A543)&gt;1, TRUE, FALSE))</f>
        <v/>
      </c>
      <c r="H543" s="5" t="str">
        <f>IF(A543="", "", IF(OR(AND(Recruiting_Data!N543&lt;&gt;"", Recruiting_Data!J543&lt;&gt;"", Recruiting_Data!N543&lt;Recruiting_Data!J543), AND(Recruiting_Data!M543&lt;&gt;"", Recruiting_Data!L543&lt;&gt;"", Recruiting_Data!M543&lt;Recruiting_Data!L543), AND(Recruiting_Data!L543&lt;&gt;"", Recruiting_Data!K543&lt;&gt;"", Recruiting_Data!L543&lt;Recruiting_Data!K543)), TRUE, FALSE))</f>
        <v/>
      </c>
    </row>
    <row r="544">
      <c r="A544" s="5" t="str">
        <f>IF(Recruiting_Data!A544="", "", Recruiting_Data!A544)</f>
        <v/>
      </c>
      <c r="B544" s="5" t="str">
        <f>IF(Recruiting_Data!B544="", "", Recruiting_Data!B544)</f>
        <v/>
      </c>
      <c r="C544" s="5" t="str">
        <f>IF(AND(ISNUMBER(Recruiting_Data!N544), ISNUMBER(Recruiting_Data!P544)), Recruiting_Data!N544 - Recruiting_Data!P544, "")</f>
        <v/>
      </c>
      <c r="E544" s="5" t="str">
        <f>IF(Recruiting_Data!R544="Open", TODAY() - Recruiting_Data!P544, "")</f>
        <v/>
      </c>
      <c r="F544" s="8" t="str">
        <f t="shared" si="1"/>
        <v/>
      </c>
      <c r="G544" s="5" t="str">
        <f>IF(A544="", "", IF(COUNTIF(Recruiting_Data!A:A, A544)&gt;1, TRUE, FALSE))</f>
        <v/>
      </c>
      <c r="H544" s="5" t="str">
        <f>IF(A544="", "", IF(OR(AND(Recruiting_Data!N544&lt;&gt;"", Recruiting_Data!J544&lt;&gt;"", Recruiting_Data!N544&lt;Recruiting_Data!J544), AND(Recruiting_Data!M544&lt;&gt;"", Recruiting_Data!L544&lt;&gt;"", Recruiting_Data!M544&lt;Recruiting_Data!L544), AND(Recruiting_Data!L544&lt;&gt;"", Recruiting_Data!K544&lt;&gt;"", Recruiting_Data!L544&lt;Recruiting_Data!K544)), TRUE, FALSE))</f>
        <v/>
      </c>
    </row>
    <row r="545">
      <c r="A545" s="5" t="str">
        <f>IF(Recruiting_Data!A545="", "", Recruiting_Data!A545)</f>
        <v/>
      </c>
      <c r="B545" s="5" t="str">
        <f>IF(Recruiting_Data!B545="", "", Recruiting_Data!B545)</f>
        <v/>
      </c>
      <c r="C545" s="5" t="str">
        <f>IF(AND(ISNUMBER(Recruiting_Data!N545), ISNUMBER(Recruiting_Data!P545)), Recruiting_Data!N545 - Recruiting_Data!P545, "")</f>
        <v/>
      </c>
      <c r="E545" s="5" t="str">
        <f>IF(Recruiting_Data!R545="Open", TODAY() - Recruiting_Data!P545, "")</f>
        <v/>
      </c>
      <c r="F545" s="8" t="str">
        <f t="shared" si="1"/>
        <v/>
      </c>
      <c r="G545" s="5" t="str">
        <f>IF(A545="", "", IF(COUNTIF(Recruiting_Data!A:A, A545)&gt;1, TRUE, FALSE))</f>
        <v/>
      </c>
      <c r="H545" s="5" t="str">
        <f>IF(A545="", "", IF(OR(AND(Recruiting_Data!N545&lt;&gt;"", Recruiting_Data!J545&lt;&gt;"", Recruiting_Data!N545&lt;Recruiting_Data!J545), AND(Recruiting_Data!M545&lt;&gt;"", Recruiting_Data!L545&lt;&gt;"", Recruiting_Data!M545&lt;Recruiting_Data!L545), AND(Recruiting_Data!L545&lt;&gt;"", Recruiting_Data!K545&lt;&gt;"", Recruiting_Data!L545&lt;Recruiting_Data!K545)), TRUE, FALSE))</f>
        <v/>
      </c>
    </row>
    <row r="546">
      <c r="A546" s="5" t="str">
        <f>IF(Recruiting_Data!A546="", "", Recruiting_Data!A546)</f>
        <v/>
      </c>
      <c r="B546" s="5" t="str">
        <f>IF(Recruiting_Data!B546="", "", Recruiting_Data!B546)</f>
        <v/>
      </c>
      <c r="C546" s="5" t="str">
        <f>IF(AND(ISNUMBER(Recruiting_Data!N546), ISNUMBER(Recruiting_Data!P546)), Recruiting_Data!N546 - Recruiting_Data!P546, "")</f>
        <v/>
      </c>
      <c r="E546" s="5" t="str">
        <f>IF(Recruiting_Data!R546="Open", TODAY() - Recruiting_Data!P546, "")</f>
        <v/>
      </c>
      <c r="F546" s="8" t="str">
        <f t="shared" si="1"/>
        <v/>
      </c>
      <c r="G546" s="5" t="str">
        <f>IF(A546="", "", IF(COUNTIF(Recruiting_Data!A:A, A546)&gt;1, TRUE, FALSE))</f>
        <v/>
      </c>
      <c r="H546" s="5" t="str">
        <f>IF(A546="", "", IF(OR(AND(Recruiting_Data!N546&lt;&gt;"", Recruiting_Data!J546&lt;&gt;"", Recruiting_Data!N546&lt;Recruiting_Data!J546), AND(Recruiting_Data!M546&lt;&gt;"", Recruiting_Data!L546&lt;&gt;"", Recruiting_Data!M546&lt;Recruiting_Data!L546), AND(Recruiting_Data!L546&lt;&gt;"", Recruiting_Data!K546&lt;&gt;"", Recruiting_Data!L546&lt;Recruiting_Data!K546)), TRUE, FALSE))</f>
        <v/>
      </c>
    </row>
    <row r="547">
      <c r="A547" s="5" t="str">
        <f>IF(Recruiting_Data!A547="", "", Recruiting_Data!A547)</f>
        <v/>
      </c>
      <c r="B547" s="5" t="str">
        <f>IF(Recruiting_Data!B547="", "", Recruiting_Data!B547)</f>
        <v/>
      </c>
      <c r="C547" s="5" t="str">
        <f>IF(AND(ISNUMBER(Recruiting_Data!N547), ISNUMBER(Recruiting_Data!P547)), Recruiting_Data!N547 - Recruiting_Data!P547, "")</f>
        <v/>
      </c>
      <c r="E547" s="5" t="str">
        <f>IF(Recruiting_Data!R547="Open", TODAY() - Recruiting_Data!P547, "")</f>
        <v/>
      </c>
      <c r="F547" s="8" t="str">
        <f t="shared" si="1"/>
        <v/>
      </c>
      <c r="G547" s="5" t="str">
        <f>IF(A547="", "", IF(COUNTIF(Recruiting_Data!A:A, A547)&gt;1, TRUE, FALSE))</f>
        <v/>
      </c>
      <c r="H547" s="5" t="str">
        <f>IF(A547="", "", IF(OR(AND(Recruiting_Data!N547&lt;&gt;"", Recruiting_Data!J547&lt;&gt;"", Recruiting_Data!N547&lt;Recruiting_Data!J547), AND(Recruiting_Data!M547&lt;&gt;"", Recruiting_Data!L547&lt;&gt;"", Recruiting_Data!M547&lt;Recruiting_Data!L547), AND(Recruiting_Data!L547&lt;&gt;"", Recruiting_Data!K547&lt;&gt;"", Recruiting_Data!L547&lt;Recruiting_Data!K547)), TRUE, FALSE))</f>
        <v/>
      </c>
    </row>
    <row r="548">
      <c r="A548" s="5" t="str">
        <f>IF(Recruiting_Data!A548="", "", Recruiting_Data!A548)</f>
        <v/>
      </c>
      <c r="B548" s="5" t="str">
        <f>IF(Recruiting_Data!B548="", "", Recruiting_Data!B548)</f>
        <v/>
      </c>
      <c r="C548" s="5" t="str">
        <f>IF(AND(ISNUMBER(Recruiting_Data!N548), ISNUMBER(Recruiting_Data!P548)), Recruiting_Data!N548 - Recruiting_Data!P548, "")</f>
        <v/>
      </c>
      <c r="E548" s="5" t="str">
        <f>IF(Recruiting_Data!R548="Open", TODAY() - Recruiting_Data!P548, "")</f>
        <v/>
      </c>
      <c r="F548" s="8" t="str">
        <f t="shared" si="1"/>
        <v/>
      </c>
      <c r="G548" s="5" t="str">
        <f>IF(A548="", "", IF(COUNTIF(Recruiting_Data!A:A, A548)&gt;1, TRUE, FALSE))</f>
        <v/>
      </c>
      <c r="H548" s="5" t="str">
        <f>IF(A548="", "", IF(OR(AND(Recruiting_Data!N548&lt;&gt;"", Recruiting_Data!J548&lt;&gt;"", Recruiting_Data!N548&lt;Recruiting_Data!J548), AND(Recruiting_Data!M548&lt;&gt;"", Recruiting_Data!L548&lt;&gt;"", Recruiting_Data!M548&lt;Recruiting_Data!L548), AND(Recruiting_Data!L548&lt;&gt;"", Recruiting_Data!K548&lt;&gt;"", Recruiting_Data!L548&lt;Recruiting_Data!K548)), TRUE, FALSE))</f>
        <v/>
      </c>
    </row>
    <row r="549">
      <c r="A549" s="5" t="str">
        <f>IF(Recruiting_Data!A549="", "", Recruiting_Data!A549)</f>
        <v/>
      </c>
      <c r="B549" s="5" t="str">
        <f>IF(Recruiting_Data!B549="", "", Recruiting_Data!B549)</f>
        <v/>
      </c>
      <c r="C549" s="5" t="str">
        <f>IF(AND(ISNUMBER(Recruiting_Data!N549), ISNUMBER(Recruiting_Data!P549)), Recruiting_Data!N549 - Recruiting_Data!P549, "")</f>
        <v/>
      </c>
      <c r="E549" s="5" t="str">
        <f>IF(Recruiting_Data!R549="Open", TODAY() - Recruiting_Data!P549, "")</f>
        <v/>
      </c>
      <c r="F549" s="8" t="str">
        <f t="shared" si="1"/>
        <v/>
      </c>
      <c r="G549" s="5" t="str">
        <f>IF(A549="", "", IF(COUNTIF(Recruiting_Data!A:A, A549)&gt;1, TRUE, FALSE))</f>
        <v/>
      </c>
      <c r="H549" s="5" t="str">
        <f>IF(A549="", "", IF(OR(AND(Recruiting_Data!N549&lt;&gt;"", Recruiting_Data!J549&lt;&gt;"", Recruiting_Data!N549&lt;Recruiting_Data!J549), AND(Recruiting_Data!M549&lt;&gt;"", Recruiting_Data!L549&lt;&gt;"", Recruiting_Data!M549&lt;Recruiting_Data!L549), AND(Recruiting_Data!L549&lt;&gt;"", Recruiting_Data!K549&lt;&gt;"", Recruiting_Data!L549&lt;Recruiting_Data!K549)), TRUE, FALSE))</f>
        <v/>
      </c>
    </row>
    <row r="550">
      <c r="A550" s="5" t="str">
        <f>IF(Recruiting_Data!A550="", "", Recruiting_Data!A550)</f>
        <v/>
      </c>
      <c r="B550" s="5" t="str">
        <f>IF(Recruiting_Data!B550="", "", Recruiting_Data!B550)</f>
        <v/>
      </c>
      <c r="C550" s="5" t="str">
        <f>IF(AND(ISNUMBER(Recruiting_Data!N550), ISNUMBER(Recruiting_Data!P550)), Recruiting_Data!N550 - Recruiting_Data!P550, "")</f>
        <v/>
      </c>
      <c r="E550" s="5" t="str">
        <f>IF(Recruiting_Data!R550="Open", TODAY() - Recruiting_Data!P550, "")</f>
        <v/>
      </c>
      <c r="F550" s="8" t="str">
        <f t="shared" si="1"/>
        <v/>
      </c>
      <c r="G550" s="5" t="str">
        <f>IF(A550="", "", IF(COUNTIF(Recruiting_Data!A:A, A550)&gt;1, TRUE, FALSE))</f>
        <v/>
      </c>
      <c r="H550" s="5" t="str">
        <f>IF(A550="", "", IF(OR(AND(Recruiting_Data!N550&lt;&gt;"", Recruiting_Data!J550&lt;&gt;"", Recruiting_Data!N550&lt;Recruiting_Data!J550), AND(Recruiting_Data!M550&lt;&gt;"", Recruiting_Data!L550&lt;&gt;"", Recruiting_Data!M550&lt;Recruiting_Data!L550), AND(Recruiting_Data!L550&lt;&gt;"", Recruiting_Data!K550&lt;&gt;"", Recruiting_Data!L550&lt;Recruiting_Data!K550)), TRUE, FALSE))</f>
        <v/>
      </c>
    </row>
    <row r="551">
      <c r="A551" s="5" t="str">
        <f>IF(Recruiting_Data!A551="", "", Recruiting_Data!A551)</f>
        <v/>
      </c>
      <c r="B551" s="5" t="str">
        <f>IF(Recruiting_Data!B551="", "", Recruiting_Data!B551)</f>
        <v/>
      </c>
      <c r="C551" s="5" t="str">
        <f>IF(AND(ISNUMBER(Recruiting_Data!N551), ISNUMBER(Recruiting_Data!P551)), Recruiting_Data!N551 - Recruiting_Data!P551, "")</f>
        <v/>
      </c>
      <c r="E551" s="5" t="str">
        <f>IF(Recruiting_Data!R551="Open", TODAY() - Recruiting_Data!P551, "")</f>
        <v/>
      </c>
      <c r="F551" s="8" t="str">
        <f t="shared" si="1"/>
        <v/>
      </c>
      <c r="G551" s="5" t="str">
        <f>IF(A551="", "", IF(COUNTIF(Recruiting_Data!A:A, A551)&gt;1, TRUE, FALSE))</f>
        <v/>
      </c>
      <c r="H551" s="5" t="str">
        <f>IF(A551="", "", IF(OR(AND(Recruiting_Data!N551&lt;&gt;"", Recruiting_Data!J551&lt;&gt;"", Recruiting_Data!N551&lt;Recruiting_Data!J551), AND(Recruiting_Data!M551&lt;&gt;"", Recruiting_Data!L551&lt;&gt;"", Recruiting_Data!M551&lt;Recruiting_Data!L551), AND(Recruiting_Data!L551&lt;&gt;"", Recruiting_Data!K551&lt;&gt;"", Recruiting_Data!L551&lt;Recruiting_Data!K551)), TRUE, FALSE))</f>
        <v/>
      </c>
    </row>
    <row r="552">
      <c r="A552" s="5" t="str">
        <f>IF(Recruiting_Data!A552="", "", Recruiting_Data!A552)</f>
        <v/>
      </c>
      <c r="B552" s="5" t="str">
        <f>IF(Recruiting_Data!B552="", "", Recruiting_Data!B552)</f>
        <v/>
      </c>
      <c r="C552" s="5" t="str">
        <f>IF(AND(ISNUMBER(Recruiting_Data!N552), ISNUMBER(Recruiting_Data!P552)), Recruiting_Data!N552 - Recruiting_Data!P552, "")</f>
        <v/>
      </c>
      <c r="E552" s="5" t="str">
        <f>IF(Recruiting_Data!R552="Open", TODAY() - Recruiting_Data!P552, "")</f>
        <v/>
      </c>
      <c r="F552" s="8" t="str">
        <f t="shared" si="1"/>
        <v/>
      </c>
      <c r="G552" s="5" t="str">
        <f>IF(A552="", "", IF(COUNTIF(Recruiting_Data!A:A, A552)&gt;1, TRUE, FALSE))</f>
        <v/>
      </c>
      <c r="H552" s="5" t="str">
        <f>IF(A552="", "", IF(OR(AND(Recruiting_Data!N552&lt;&gt;"", Recruiting_Data!J552&lt;&gt;"", Recruiting_Data!N552&lt;Recruiting_Data!J552), AND(Recruiting_Data!M552&lt;&gt;"", Recruiting_Data!L552&lt;&gt;"", Recruiting_Data!M552&lt;Recruiting_Data!L552), AND(Recruiting_Data!L552&lt;&gt;"", Recruiting_Data!K552&lt;&gt;"", Recruiting_Data!L552&lt;Recruiting_Data!K552)), TRUE, FALSE))</f>
        <v/>
      </c>
    </row>
    <row r="553">
      <c r="A553" s="5" t="str">
        <f>IF(Recruiting_Data!A553="", "", Recruiting_Data!A553)</f>
        <v/>
      </c>
      <c r="B553" s="5" t="str">
        <f>IF(Recruiting_Data!B553="", "", Recruiting_Data!B553)</f>
        <v/>
      </c>
      <c r="C553" s="5" t="str">
        <f>IF(AND(ISNUMBER(Recruiting_Data!N553), ISNUMBER(Recruiting_Data!P553)), Recruiting_Data!N553 - Recruiting_Data!P553, "")</f>
        <v/>
      </c>
      <c r="E553" s="5" t="str">
        <f>IF(Recruiting_Data!R553="Open", TODAY() - Recruiting_Data!P553, "")</f>
        <v/>
      </c>
      <c r="F553" s="8" t="str">
        <f t="shared" si="1"/>
        <v/>
      </c>
      <c r="G553" s="5" t="str">
        <f>IF(A553="", "", IF(COUNTIF(Recruiting_Data!A:A, A553)&gt;1, TRUE, FALSE))</f>
        <v/>
      </c>
      <c r="H553" s="5" t="str">
        <f>IF(A553="", "", IF(OR(AND(Recruiting_Data!N553&lt;&gt;"", Recruiting_Data!J553&lt;&gt;"", Recruiting_Data!N553&lt;Recruiting_Data!J553), AND(Recruiting_Data!M553&lt;&gt;"", Recruiting_Data!L553&lt;&gt;"", Recruiting_Data!M553&lt;Recruiting_Data!L553), AND(Recruiting_Data!L553&lt;&gt;"", Recruiting_Data!K553&lt;&gt;"", Recruiting_Data!L553&lt;Recruiting_Data!K553)), TRUE, FALSE))</f>
        <v/>
      </c>
    </row>
    <row r="554">
      <c r="A554" s="5" t="str">
        <f>IF(Recruiting_Data!A554="", "", Recruiting_Data!A554)</f>
        <v/>
      </c>
      <c r="B554" s="5" t="str">
        <f>IF(Recruiting_Data!B554="", "", Recruiting_Data!B554)</f>
        <v/>
      </c>
      <c r="C554" s="5" t="str">
        <f>IF(AND(ISNUMBER(Recruiting_Data!N554), ISNUMBER(Recruiting_Data!P554)), Recruiting_Data!N554 - Recruiting_Data!P554, "")</f>
        <v/>
      </c>
      <c r="E554" s="5" t="str">
        <f>IF(Recruiting_Data!R554="Open", TODAY() - Recruiting_Data!P554, "")</f>
        <v/>
      </c>
      <c r="F554" s="8" t="str">
        <f t="shared" si="1"/>
        <v/>
      </c>
      <c r="G554" s="5" t="str">
        <f>IF(A554="", "", IF(COUNTIF(Recruiting_Data!A:A, A554)&gt;1, TRUE, FALSE))</f>
        <v/>
      </c>
      <c r="H554" s="5" t="str">
        <f>IF(A554="", "", IF(OR(AND(Recruiting_Data!N554&lt;&gt;"", Recruiting_Data!J554&lt;&gt;"", Recruiting_Data!N554&lt;Recruiting_Data!J554), AND(Recruiting_Data!M554&lt;&gt;"", Recruiting_Data!L554&lt;&gt;"", Recruiting_Data!M554&lt;Recruiting_Data!L554), AND(Recruiting_Data!L554&lt;&gt;"", Recruiting_Data!K554&lt;&gt;"", Recruiting_Data!L554&lt;Recruiting_Data!K554)), TRUE, FALSE))</f>
        <v/>
      </c>
    </row>
    <row r="555">
      <c r="A555" s="5" t="str">
        <f>IF(Recruiting_Data!A555="", "", Recruiting_Data!A555)</f>
        <v/>
      </c>
      <c r="B555" s="5" t="str">
        <f>IF(Recruiting_Data!B555="", "", Recruiting_Data!B555)</f>
        <v/>
      </c>
      <c r="C555" s="5" t="str">
        <f>IF(AND(ISNUMBER(Recruiting_Data!N555), ISNUMBER(Recruiting_Data!P555)), Recruiting_Data!N555 - Recruiting_Data!P555, "")</f>
        <v/>
      </c>
      <c r="E555" s="5" t="str">
        <f>IF(Recruiting_Data!R555="Open", TODAY() - Recruiting_Data!P555, "")</f>
        <v/>
      </c>
      <c r="F555" s="8" t="str">
        <f t="shared" si="1"/>
        <v/>
      </c>
      <c r="G555" s="5" t="str">
        <f>IF(A555="", "", IF(COUNTIF(Recruiting_Data!A:A, A555)&gt;1, TRUE, FALSE))</f>
        <v/>
      </c>
      <c r="H555" s="5" t="str">
        <f>IF(A555="", "", IF(OR(AND(Recruiting_Data!N555&lt;&gt;"", Recruiting_Data!J555&lt;&gt;"", Recruiting_Data!N555&lt;Recruiting_Data!J555), AND(Recruiting_Data!M555&lt;&gt;"", Recruiting_Data!L555&lt;&gt;"", Recruiting_Data!M555&lt;Recruiting_Data!L555), AND(Recruiting_Data!L555&lt;&gt;"", Recruiting_Data!K555&lt;&gt;"", Recruiting_Data!L555&lt;Recruiting_Data!K555)), TRUE, FALSE))</f>
        <v/>
      </c>
    </row>
    <row r="556">
      <c r="A556" s="5" t="str">
        <f>IF(Recruiting_Data!A556="", "", Recruiting_Data!A556)</f>
        <v/>
      </c>
      <c r="B556" s="5" t="str">
        <f>IF(Recruiting_Data!B556="", "", Recruiting_Data!B556)</f>
        <v/>
      </c>
      <c r="C556" s="5" t="str">
        <f>IF(AND(ISNUMBER(Recruiting_Data!N556), ISNUMBER(Recruiting_Data!P556)), Recruiting_Data!N556 - Recruiting_Data!P556, "")</f>
        <v/>
      </c>
      <c r="E556" s="5" t="str">
        <f>IF(Recruiting_Data!R556="Open", TODAY() - Recruiting_Data!P556, "")</f>
        <v/>
      </c>
      <c r="F556" s="8" t="str">
        <f t="shared" si="1"/>
        <v/>
      </c>
      <c r="G556" s="5" t="str">
        <f>IF(A556="", "", IF(COUNTIF(Recruiting_Data!A:A, A556)&gt;1, TRUE, FALSE))</f>
        <v/>
      </c>
      <c r="H556" s="5" t="str">
        <f>IF(A556="", "", IF(OR(AND(Recruiting_Data!N556&lt;&gt;"", Recruiting_Data!J556&lt;&gt;"", Recruiting_Data!N556&lt;Recruiting_Data!J556), AND(Recruiting_Data!M556&lt;&gt;"", Recruiting_Data!L556&lt;&gt;"", Recruiting_Data!M556&lt;Recruiting_Data!L556), AND(Recruiting_Data!L556&lt;&gt;"", Recruiting_Data!K556&lt;&gt;"", Recruiting_Data!L556&lt;Recruiting_Data!K556)), TRUE, FALSE))</f>
        <v/>
      </c>
    </row>
    <row r="557">
      <c r="A557" s="5" t="str">
        <f>IF(Recruiting_Data!A557="", "", Recruiting_Data!A557)</f>
        <v/>
      </c>
      <c r="B557" s="5" t="str">
        <f>IF(Recruiting_Data!B557="", "", Recruiting_Data!B557)</f>
        <v/>
      </c>
      <c r="C557" s="5" t="str">
        <f>IF(AND(ISNUMBER(Recruiting_Data!N557), ISNUMBER(Recruiting_Data!P557)), Recruiting_Data!N557 - Recruiting_Data!P557, "")</f>
        <v/>
      </c>
      <c r="E557" s="5" t="str">
        <f>IF(Recruiting_Data!R557="Open", TODAY() - Recruiting_Data!P557, "")</f>
        <v/>
      </c>
      <c r="F557" s="8" t="str">
        <f t="shared" si="1"/>
        <v/>
      </c>
      <c r="G557" s="5" t="str">
        <f>IF(A557="", "", IF(COUNTIF(Recruiting_Data!A:A, A557)&gt;1, TRUE, FALSE))</f>
        <v/>
      </c>
      <c r="H557" s="5" t="str">
        <f>IF(A557="", "", IF(OR(AND(Recruiting_Data!N557&lt;&gt;"", Recruiting_Data!J557&lt;&gt;"", Recruiting_Data!N557&lt;Recruiting_Data!J557), AND(Recruiting_Data!M557&lt;&gt;"", Recruiting_Data!L557&lt;&gt;"", Recruiting_Data!M557&lt;Recruiting_Data!L557), AND(Recruiting_Data!L557&lt;&gt;"", Recruiting_Data!K557&lt;&gt;"", Recruiting_Data!L557&lt;Recruiting_Data!K557)), TRUE, FALSE))</f>
        <v/>
      </c>
    </row>
    <row r="558">
      <c r="A558" s="5" t="str">
        <f>IF(Recruiting_Data!A558="", "", Recruiting_Data!A558)</f>
        <v/>
      </c>
      <c r="B558" s="5" t="str">
        <f>IF(Recruiting_Data!B558="", "", Recruiting_Data!B558)</f>
        <v/>
      </c>
      <c r="C558" s="5" t="str">
        <f>IF(AND(ISNUMBER(Recruiting_Data!N558), ISNUMBER(Recruiting_Data!P558)), Recruiting_Data!N558 - Recruiting_Data!P558, "")</f>
        <v/>
      </c>
      <c r="E558" s="5" t="str">
        <f>IF(Recruiting_Data!R558="Open", TODAY() - Recruiting_Data!P558, "")</f>
        <v/>
      </c>
      <c r="F558" s="8" t="str">
        <f t="shared" si="1"/>
        <v/>
      </c>
      <c r="G558" s="5" t="str">
        <f>IF(A558="", "", IF(COUNTIF(Recruiting_Data!A:A, A558)&gt;1, TRUE, FALSE))</f>
        <v/>
      </c>
      <c r="H558" s="5" t="str">
        <f>IF(A558="", "", IF(OR(AND(Recruiting_Data!N558&lt;&gt;"", Recruiting_Data!J558&lt;&gt;"", Recruiting_Data!N558&lt;Recruiting_Data!J558), AND(Recruiting_Data!M558&lt;&gt;"", Recruiting_Data!L558&lt;&gt;"", Recruiting_Data!M558&lt;Recruiting_Data!L558), AND(Recruiting_Data!L558&lt;&gt;"", Recruiting_Data!K558&lt;&gt;"", Recruiting_Data!L558&lt;Recruiting_Data!K558)), TRUE, FALSE))</f>
        <v/>
      </c>
    </row>
    <row r="559">
      <c r="A559" s="5" t="str">
        <f>IF(Recruiting_Data!A559="", "", Recruiting_Data!A559)</f>
        <v/>
      </c>
      <c r="B559" s="5" t="str">
        <f>IF(Recruiting_Data!B559="", "", Recruiting_Data!B559)</f>
        <v/>
      </c>
      <c r="C559" s="5" t="str">
        <f>IF(AND(ISNUMBER(Recruiting_Data!N559), ISNUMBER(Recruiting_Data!P559)), Recruiting_Data!N559 - Recruiting_Data!P559, "")</f>
        <v/>
      </c>
      <c r="E559" s="5" t="str">
        <f>IF(Recruiting_Data!R559="Open", TODAY() - Recruiting_Data!P559, "")</f>
        <v/>
      </c>
      <c r="F559" s="8" t="str">
        <f t="shared" si="1"/>
        <v/>
      </c>
      <c r="G559" s="5" t="str">
        <f>IF(A559="", "", IF(COUNTIF(Recruiting_Data!A:A, A559)&gt;1, TRUE, FALSE))</f>
        <v/>
      </c>
      <c r="H559" s="5" t="str">
        <f>IF(A559="", "", IF(OR(AND(Recruiting_Data!N559&lt;&gt;"", Recruiting_Data!J559&lt;&gt;"", Recruiting_Data!N559&lt;Recruiting_Data!J559), AND(Recruiting_Data!M559&lt;&gt;"", Recruiting_Data!L559&lt;&gt;"", Recruiting_Data!M559&lt;Recruiting_Data!L559), AND(Recruiting_Data!L559&lt;&gt;"", Recruiting_Data!K559&lt;&gt;"", Recruiting_Data!L559&lt;Recruiting_Data!K559)), TRUE, FALSE))</f>
        <v/>
      </c>
    </row>
    <row r="560">
      <c r="A560" s="5" t="str">
        <f>IF(Recruiting_Data!A560="", "", Recruiting_Data!A560)</f>
        <v/>
      </c>
      <c r="B560" s="5" t="str">
        <f>IF(Recruiting_Data!B560="", "", Recruiting_Data!B560)</f>
        <v/>
      </c>
      <c r="C560" s="5" t="str">
        <f>IF(AND(ISNUMBER(Recruiting_Data!N560), ISNUMBER(Recruiting_Data!P560)), Recruiting_Data!N560 - Recruiting_Data!P560, "")</f>
        <v/>
      </c>
      <c r="E560" s="5" t="str">
        <f>IF(Recruiting_Data!R560="Open", TODAY() - Recruiting_Data!P560, "")</f>
        <v/>
      </c>
      <c r="F560" s="8" t="str">
        <f t="shared" si="1"/>
        <v/>
      </c>
      <c r="G560" s="5" t="str">
        <f>IF(A560="", "", IF(COUNTIF(Recruiting_Data!A:A, A560)&gt;1, TRUE, FALSE))</f>
        <v/>
      </c>
      <c r="H560" s="5" t="str">
        <f>IF(A560="", "", IF(OR(AND(Recruiting_Data!N560&lt;&gt;"", Recruiting_Data!J560&lt;&gt;"", Recruiting_Data!N560&lt;Recruiting_Data!J560), AND(Recruiting_Data!M560&lt;&gt;"", Recruiting_Data!L560&lt;&gt;"", Recruiting_Data!M560&lt;Recruiting_Data!L560), AND(Recruiting_Data!L560&lt;&gt;"", Recruiting_Data!K560&lt;&gt;"", Recruiting_Data!L560&lt;Recruiting_Data!K560)), TRUE, FALSE))</f>
        <v/>
      </c>
    </row>
    <row r="561">
      <c r="A561" s="5" t="str">
        <f>IF(Recruiting_Data!A561="", "", Recruiting_Data!A561)</f>
        <v/>
      </c>
      <c r="B561" s="5" t="str">
        <f>IF(Recruiting_Data!B561="", "", Recruiting_Data!B561)</f>
        <v/>
      </c>
      <c r="C561" s="5" t="str">
        <f>IF(AND(ISNUMBER(Recruiting_Data!N561), ISNUMBER(Recruiting_Data!P561)), Recruiting_Data!N561 - Recruiting_Data!P561, "")</f>
        <v/>
      </c>
      <c r="E561" s="5" t="str">
        <f>IF(Recruiting_Data!R561="Open", TODAY() - Recruiting_Data!P561, "")</f>
        <v/>
      </c>
      <c r="F561" s="8" t="str">
        <f t="shared" si="1"/>
        <v/>
      </c>
      <c r="G561" s="5" t="str">
        <f>IF(A561="", "", IF(COUNTIF(Recruiting_Data!A:A, A561)&gt;1, TRUE, FALSE))</f>
        <v/>
      </c>
      <c r="H561" s="5" t="str">
        <f>IF(A561="", "", IF(OR(AND(Recruiting_Data!N561&lt;&gt;"", Recruiting_Data!J561&lt;&gt;"", Recruiting_Data!N561&lt;Recruiting_Data!J561), AND(Recruiting_Data!M561&lt;&gt;"", Recruiting_Data!L561&lt;&gt;"", Recruiting_Data!M561&lt;Recruiting_Data!L561), AND(Recruiting_Data!L561&lt;&gt;"", Recruiting_Data!K561&lt;&gt;"", Recruiting_Data!L561&lt;Recruiting_Data!K561)), TRUE, FALSE))</f>
        <v/>
      </c>
    </row>
    <row r="562">
      <c r="A562" s="5" t="str">
        <f>IF(Recruiting_Data!A562="", "", Recruiting_Data!A562)</f>
        <v/>
      </c>
      <c r="B562" s="5" t="str">
        <f>IF(Recruiting_Data!B562="", "", Recruiting_Data!B562)</f>
        <v/>
      </c>
      <c r="C562" s="5" t="str">
        <f>IF(AND(ISNUMBER(Recruiting_Data!N562), ISNUMBER(Recruiting_Data!P562)), Recruiting_Data!N562 - Recruiting_Data!P562, "")</f>
        <v/>
      </c>
      <c r="E562" s="5" t="str">
        <f>IF(Recruiting_Data!R562="Open", TODAY() - Recruiting_Data!P562, "")</f>
        <v/>
      </c>
      <c r="F562" s="8" t="str">
        <f t="shared" si="1"/>
        <v/>
      </c>
      <c r="G562" s="5" t="str">
        <f>IF(A562="", "", IF(COUNTIF(Recruiting_Data!A:A, A562)&gt;1, TRUE, FALSE))</f>
        <v/>
      </c>
      <c r="H562" s="5" t="str">
        <f>IF(A562="", "", IF(OR(AND(Recruiting_Data!N562&lt;&gt;"", Recruiting_Data!J562&lt;&gt;"", Recruiting_Data!N562&lt;Recruiting_Data!J562), AND(Recruiting_Data!M562&lt;&gt;"", Recruiting_Data!L562&lt;&gt;"", Recruiting_Data!M562&lt;Recruiting_Data!L562), AND(Recruiting_Data!L562&lt;&gt;"", Recruiting_Data!K562&lt;&gt;"", Recruiting_Data!L562&lt;Recruiting_Data!K562)), TRUE, FALSE))</f>
        <v/>
      </c>
    </row>
    <row r="563">
      <c r="A563" s="5" t="str">
        <f>IF(Recruiting_Data!A563="", "", Recruiting_Data!A563)</f>
        <v/>
      </c>
      <c r="B563" s="5" t="str">
        <f>IF(Recruiting_Data!B563="", "", Recruiting_Data!B563)</f>
        <v/>
      </c>
      <c r="C563" s="5" t="str">
        <f>IF(AND(ISNUMBER(Recruiting_Data!N563), ISNUMBER(Recruiting_Data!P563)), Recruiting_Data!N563 - Recruiting_Data!P563, "")</f>
        <v/>
      </c>
      <c r="E563" s="5" t="str">
        <f>IF(Recruiting_Data!R563="Open", TODAY() - Recruiting_Data!P563, "")</f>
        <v/>
      </c>
      <c r="F563" s="8" t="str">
        <f t="shared" si="1"/>
        <v/>
      </c>
      <c r="G563" s="5" t="str">
        <f>IF(A563="", "", IF(COUNTIF(Recruiting_Data!A:A, A563)&gt;1, TRUE, FALSE))</f>
        <v/>
      </c>
      <c r="H563" s="5" t="str">
        <f>IF(A563="", "", IF(OR(AND(Recruiting_Data!N563&lt;&gt;"", Recruiting_Data!J563&lt;&gt;"", Recruiting_Data!N563&lt;Recruiting_Data!J563), AND(Recruiting_Data!M563&lt;&gt;"", Recruiting_Data!L563&lt;&gt;"", Recruiting_Data!M563&lt;Recruiting_Data!L563), AND(Recruiting_Data!L563&lt;&gt;"", Recruiting_Data!K563&lt;&gt;"", Recruiting_Data!L563&lt;Recruiting_Data!K563)), TRUE, FALSE))</f>
        <v/>
      </c>
    </row>
    <row r="564">
      <c r="A564" s="5" t="str">
        <f>IF(Recruiting_Data!A564="", "", Recruiting_Data!A564)</f>
        <v/>
      </c>
      <c r="B564" s="5" t="str">
        <f>IF(Recruiting_Data!B564="", "", Recruiting_Data!B564)</f>
        <v/>
      </c>
      <c r="C564" s="5" t="str">
        <f>IF(AND(ISNUMBER(Recruiting_Data!N564), ISNUMBER(Recruiting_Data!P564)), Recruiting_Data!N564 - Recruiting_Data!P564, "")</f>
        <v/>
      </c>
      <c r="E564" s="5" t="str">
        <f>IF(Recruiting_Data!R564="Open", TODAY() - Recruiting_Data!P564, "")</f>
        <v/>
      </c>
      <c r="F564" s="8" t="str">
        <f t="shared" si="1"/>
        <v/>
      </c>
      <c r="G564" s="5" t="str">
        <f>IF(A564="", "", IF(COUNTIF(Recruiting_Data!A:A, A564)&gt;1, TRUE, FALSE))</f>
        <v/>
      </c>
      <c r="H564" s="5" t="str">
        <f>IF(A564="", "", IF(OR(AND(Recruiting_Data!N564&lt;&gt;"", Recruiting_Data!J564&lt;&gt;"", Recruiting_Data!N564&lt;Recruiting_Data!J564), AND(Recruiting_Data!M564&lt;&gt;"", Recruiting_Data!L564&lt;&gt;"", Recruiting_Data!M564&lt;Recruiting_Data!L564), AND(Recruiting_Data!L564&lt;&gt;"", Recruiting_Data!K564&lt;&gt;"", Recruiting_Data!L564&lt;Recruiting_Data!K564)), TRUE, FALSE))</f>
        <v/>
      </c>
    </row>
    <row r="565">
      <c r="A565" s="5" t="str">
        <f>IF(Recruiting_Data!A565="", "", Recruiting_Data!A565)</f>
        <v/>
      </c>
      <c r="B565" s="5" t="str">
        <f>IF(Recruiting_Data!B565="", "", Recruiting_Data!B565)</f>
        <v/>
      </c>
      <c r="C565" s="5" t="str">
        <f>IF(AND(ISNUMBER(Recruiting_Data!N565), ISNUMBER(Recruiting_Data!P565)), Recruiting_Data!N565 - Recruiting_Data!P565, "")</f>
        <v/>
      </c>
      <c r="E565" s="5" t="str">
        <f>IF(Recruiting_Data!R565="Open", TODAY() - Recruiting_Data!P565, "")</f>
        <v/>
      </c>
      <c r="F565" s="8" t="str">
        <f t="shared" si="1"/>
        <v/>
      </c>
      <c r="G565" s="5" t="str">
        <f>IF(A565="", "", IF(COUNTIF(Recruiting_Data!A:A, A565)&gt;1, TRUE, FALSE))</f>
        <v/>
      </c>
      <c r="H565" s="5" t="str">
        <f>IF(A565="", "", IF(OR(AND(Recruiting_Data!N565&lt;&gt;"", Recruiting_Data!J565&lt;&gt;"", Recruiting_Data!N565&lt;Recruiting_Data!J565), AND(Recruiting_Data!M565&lt;&gt;"", Recruiting_Data!L565&lt;&gt;"", Recruiting_Data!M565&lt;Recruiting_Data!L565), AND(Recruiting_Data!L565&lt;&gt;"", Recruiting_Data!K565&lt;&gt;"", Recruiting_Data!L565&lt;Recruiting_Data!K565)), TRUE, FALSE))</f>
        <v/>
      </c>
    </row>
    <row r="566">
      <c r="A566" s="5" t="str">
        <f>IF(Recruiting_Data!A566="", "", Recruiting_Data!A566)</f>
        <v/>
      </c>
      <c r="B566" s="5" t="str">
        <f>IF(Recruiting_Data!B566="", "", Recruiting_Data!B566)</f>
        <v/>
      </c>
      <c r="C566" s="5" t="str">
        <f>IF(AND(ISNUMBER(Recruiting_Data!N566), ISNUMBER(Recruiting_Data!P566)), Recruiting_Data!N566 - Recruiting_Data!P566, "")</f>
        <v/>
      </c>
      <c r="E566" s="5" t="str">
        <f>IF(Recruiting_Data!R566="Open", TODAY() - Recruiting_Data!P566, "")</f>
        <v/>
      </c>
      <c r="F566" s="8" t="str">
        <f t="shared" si="1"/>
        <v/>
      </c>
      <c r="G566" s="5" t="str">
        <f>IF(A566="", "", IF(COUNTIF(Recruiting_Data!A:A, A566)&gt;1, TRUE, FALSE))</f>
        <v/>
      </c>
      <c r="H566" s="5" t="str">
        <f>IF(A566="", "", IF(OR(AND(Recruiting_Data!N566&lt;&gt;"", Recruiting_Data!J566&lt;&gt;"", Recruiting_Data!N566&lt;Recruiting_Data!J566), AND(Recruiting_Data!M566&lt;&gt;"", Recruiting_Data!L566&lt;&gt;"", Recruiting_Data!M566&lt;Recruiting_Data!L566), AND(Recruiting_Data!L566&lt;&gt;"", Recruiting_Data!K566&lt;&gt;"", Recruiting_Data!L566&lt;Recruiting_Data!K566)), TRUE, FALSE))</f>
        <v/>
      </c>
    </row>
    <row r="567">
      <c r="A567" s="5" t="str">
        <f>IF(Recruiting_Data!A567="", "", Recruiting_Data!A567)</f>
        <v/>
      </c>
      <c r="B567" s="5" t="str">
        <f>IF(Recruiting_Data!B567="", "", Recruiting_Data!B567)</f>
        <v/>
      </c>
      <c r="C567" s="5" t="str">
        <f>IF(AND(ISNUMBER(Recruiting_Data!N567), ISNUMBER(Recruiting_Data!P567)), Recruiting_Data!N567 - Recruiting_Data!P567, "")</f>
        <v/>
      </c>
      <c r="E567" s="5" t="str">
        <f>IF(Recruiting_Data!R567="Open", TODAY() - Recruiting_Data!P567, "")</f>
        <v/>
      </c>
      <c r="F567" s="8" t="str">
        <f t="shared" si="1"/>
        <v/>
      </c>
      <c r="G567" s="5" t="str">
        <f>IF(A567="", "", IF(COUNTIF(Recruiting_Data!A:A, A567)&gt;1, TRUE, FALSE))</f>
        <v/>
      </c>
      <c r="H567" s="5" t="str">
        <f>IF(A567="", "", IF(OR(AND(Recruiting_Data!N567&lt;&gt;"", Recruiting_Data!J567&lt;&gt;"", Recruiting_Data!N567&lt;Recruiting_Data!J567), AND(Recruiting_Data!M567&lt;&gt;"", Recruiting_Data!L567&lt;&gt;"", Recruiting_Data!M567&lt;Recruiting_Data!L567), AND(Recruiting_Data!L567&lt;&gt;"", Recruiting_Data!K567&lt;&gt;"", Recruiting_Data!L567&lt;Recruiting_Data!K567)), TRUE, FALSE))</f>
        <v/>
      </c>
    </row>
    <row r="568">
      <c r="A568" s="5" t="str">
        <f>IF(Recruiting_Data!A568="", "", Recruiting_Data!A568)</f>
        <v/>
      </c>
      <c r="B568" s="5" t="str">
        <f>IF(Recruiting_Data!B568="", "", Recruiting_Data!B568)</f>
        <v/>
      </c>
      <c r="C568" s="5" t="str">
        <f>IF(AND(ISNUMBER(Recruiting_Data!N568), ISNUMBER(Recruiting_Data!P568)), Recruiting_Data!N568 - Recruiting_Data!P568, "")</f>
        <v/>
      </c>
      <c r="E568" s="5" t="str">
        <f>IF(Recruiting_Data!R568="Open", TODAY() - Recruiting_Data!P568, "")</f>
        <v/>
      </c>
      <c r="F568" s="8" t="str">
        <f t="shared" si="1"/>
        <v/>
      </c>
      <c r="G568" s="5" t="str">
        <f>IF(A568="", "", IF(COUNTIF(Recruiting_Data!A:A, A568)&gt;1, TRUE, FALSE))</f>
        <v/>
      </c>
      <c r="H568" s="5" t="str">
        <f>IF(A568="", "", IF(OR(AND(Recruiting_Data!N568&lt;&gt;"", Recruiting_Data!J568&lt;&gt;"", Recruiting_Data!N568&lt;Recruiting_Data!J568), AND(Recruiting_Data!M568&lt;&gt;"", Recruiting_Data!L568&lt;&gt;"", Recruiting_Data!M568&lt;Recruiting_Data!L568), AND(Recruiting_Data!L568&lt;&gt;"", Recruiting_Data!K568&lt;&gt;"", Recruiting_Data!L568&lt;Recruiting_Data!K568)), TRUE, FALSE))</f>
        <v/>
      </c>
    </row>
    <row r="569">
      <c r="A569" s="5" t="str">
        <f>IF(Recruiting_Data!A569="", "", Recruiting_Data!A569)</f>
        <v/>
      </c>
      <c r="B569" s="5" t="str">
        <f>IF(Recruiting_Data!B569="", "", Recruiting_Data!B569)</f>
        <v/>
      </c>
      <c r="C569" s="5" t="str">
        <f>IF(AND(ISNUMBER(Recruiting_Data!N569), ISNUMBER(Recruiting_Data!P569)), Recruiting_Data!N569 - Recruiting_Data!P569, "")</f>
        <v/>
      </c>
      <c r="E569" s="5" t="str">
        <f>IF(Recruiting_Data!R569="Open", TODAY() - Recruiting_Data!P569, "")</f>
        <v/>
      </c>
      <c r="F569" s="8" t="str">
        <f t="shared" si="1"/>
        <v/>
      </c>
      <c r="G569" s="5" t="str">
        <f>IF(A569="", "", IF(COUNTIF(Recruiting_Data!A:A, A569)&gt;1, TRUE, FALSE))</f>
        <v/>
      </c>
      <c r="H569" s="5" t="str">
        <f>IF(A569="", "", IF(OR(AND(Recruiting_Data!N569&lt;&gt;"", Recruiting_Data!J569&lt;&gt;"", Recruiting_Data!N569&lt;Recruiting_Data!J569), AND(Recruiting_Data!M569&lt;&gt;"", Recruiting_Data!L569&lt;&gt;"", Recruiting_Data!M569&lt;Recruiting_Data!L569), AND(Recruiting_Data!L569&lt;&gt;"", Recruiting_Data!K569&lt;&gt;"", Recruiting_Data!L569&lt;Recruiting_Data!K569)), TRUE, FALSE))</f>
        <v/>
      </c>
    </row>
    <row r="570">
      <c r="A570" s="5" t="str">
        <f>IF(Recruiting_Data!A570="", "", Recruiting_Data!A570)</f>
        <v/>
      </c>
      <c r="B570" s="5" t="str">
        <f>IF(Recruiting_Data!B570="", "", Recruiting_Data!B570)</f>
        <v/>
      </c>
      <c r="C570" s="5" t="str">
        <f>IF(AND(ISNUMBER(Recruiting_Data!N570), ISNUMBER(Recruiting_Data!P570)), Recruiting_Data!N570 - Recruiting_Data!P570, "")</f>
        <v/>
      </c>
      <c r="E570" s="5" t="str">
        <f>IF(Recruiting_Data!R570="Open", TODAY() - Recruiting_Data!P570, "")</f>
        <v/>
      </c>
      <c r="F570" s="8" t="str">
        <f t="shared" si="1"/>
        <v/>
      </c>
      <c r="G570" s="5" t="str">
        <f>IF(A570="", "", IF(COUNTIF(Recruiting_Data!A:A, A570)&gt;1, TRUE, FALSE))</f>
        <v/>
      </c>
      <c r="H570" s="5" t="str">
        <f>IF(A570="", "", IF(OR(AND(Recruiting_Data!N570&lt;&gt;"", Recruiting_Data!J570&lt;&gt;"", Recruiting_Data!N570&lt;Recruiting_Data!J570), AND(Recruiting_Data!M570&lt;&gt;"", Recruiting_Data!L570&lt;&gt;"", Recruiting_Data!M570&lt;Recruiting_Data!L570), AND(Recruiting_Data!L570&lt;&gt;"", Recruiting_Data!K570&lt;&gt;"", Recruiting_Data!L570&lt;Recruiting_Data!K570)), TRUE, FALSE))</f>
        <v/>
      </c>
    </row>
    <row r="571">
      <c r="A571" s="5" t="str">
        <f>IF(Recruiting_Data!A571="", "", Recruiting_Data!A571)</f>
        <v/>
      </c>
      <c r="B571" s="5" t="str">
        <f>IF(Recruiting_Data!B571="", "", Recruiting_Data!B571)</f>
        <v/>
      </c>
      <c r="C571" s="5" t="str">
        <f>IF(AND(ISNUMBER(Recruiting_Data!N571), ISNUMBER(Recruiting_Data!P571)), Recruiting_Data!N571 - Recruiting_Data!P571, "")</f>
        <v/>
      </c>
      <c r="E571" s="5" t="str">
        <f>IF(Recruiting_Data!R571="Open", TODAY() - Recruiting_Data!P571, "")</f>
        <v/>
      </c>
      <c r="F571" s="8" t="str">
        <f t="shared" si="1"/>
        <v/>
      </c>
      <c r="G571" s="5" t="str">
        <f>IF(A571="", "", IF(COUNTIF(Recruiting_Data!A:A, A571)&gt;1, TRUE, FALSE))</f>
        <v/>
      </c>
      <c r="H571" s="5" t="str">
        <f>IF(A571="", "", IF(OR(AND(Recruiting_Data!N571&lt;&gt;"", Recruiting_Data!J571&lt;&gt;"", Recruiting_Data!N571&lt;Recruiting_Data!J571), AND(Recruiting_Data!M571&lt;&gt;"", Recruiting_Data!L571&lt;&gt;"", Recruiting_Data!M571&lt;Recruiting_Data!L571), AND(Recruiting_Data!L571&lt;&gt;"", Recruiting_Data!K571&lt;&gt;"", Recruiting_Data!L571&lt;Recruiting_Data!K571)), TRUE, FALSE))</f>
        <v/>
      </c>
    </row>
    <row r="572">
      <c r="A572" s="5" t="str">
        <f>IF(Recruiting_Data!A572="", "", Recruiting_Data!A572)</f>
        <v/>
      </c>
      <c r="B572" s="5" t="str">
        <f>IF(Recruiting_Data!B572="", "", Recruiting_Data!B572)</f>
        <v/>
      </c>
      <c r="C572" s="5" t="str">
        <f>IF(AND(ISNUMBER(Recruiting_Data!N572), ISNUMBER(Recruiting_Data!P572)), Recruiting_Data!N572 - Recruiting_Data!P572, "")</f>
        <v/>
      </c>
      <c r="E572" s="5" t="str">
        <f>IF(Recruiting_Data!R572="Open", TODAY() - Recruiting_Data!P572, "")</f>
        <v/>
      </c>
      <c r="F572" s="8" t="str">
        <f t="shared" si="1"/>
        <v/>
      </c>
      <c r="G572" s="5" t="str">
        <f>IF(A572="", "", IF(COUNTIF(Recruiting_Data!A:A, A572)&gt;1, TRUE, FALSE))</f>
        <v/>
      </c>
      <c r="H572" s="5" t="str">
        <f>IF(A572="", "", IF(OR(AND(Recruiting_Data!N572&lt;&gt;"", Recruiting_Data!J572&lt;&gt;"", Recruiting_Data!N572&lt;Recruiting_Data!J572), AND(Recruiting_Data!M572&lt;&gt;"", Recruiting_Data!L572&lt;&gt;"", Recruiting_Data!M572&lt;Recruiting_Data!L572), AND(Recruiting_Data!L572&lt;&gt;"", Recruiting_Data!K572&lt;&gt;"", Recruiting_Data!L572&lt;Recruiting_Data!K572)), TRUE, FALSE))</f>
        <v/>
      </c>
    </row>
    <row r="573">
      <c r="A573" s="5" t="str">
        <f>IF(Recruiting_Data!A573="", "", Recruiting_Data!A573)</f>
        <v/>
      </c>
      <c r="B573" s="5" t="str">
        <f>IF(Recruiting_Data!B573="", "", Recruiting_Data!B573)</f>
        <v/>
      </c>
      <c r="C573" s="5" t="str">
        <f>IF(AND(ISNUMBER(Recruiting_Data!N573), ISNUMBER(Recruiting_Data!P573)), Recruiting_Data!N573 - Recruiting_Data!P573, "")</f>
        <v/>
      </c>
      <c r="E573" s="5" t="str">
        <f>IF(Recruiting_Data!R573="Open", TODAY() - Recruiting_Data!P573, "")</f>
        <v/>
      </c>
      <c r="F573" s="8" t="str">
        <f t="shared" si="1"/>
        <v/>
      </c>
      <c r="G573" s="5" t="str">
        <f>IF(A573="", "", IF(COUNTIF(Recruiting_Data!A:A, A573)&gt;1, TRUE, FALSE))</f>
        <v/>
      </c>
      <c r="H573" s="5" t="str">
        <f>IF(A573="", "", IF(OR(AND(Recruiting_Data!N573&lt;&gt;"", Recruiting_Data!J573&lt;&gt;"", Recruiting_Data!N573&lt;Recruiting_Data!J573), AND(Recruiting_Data!M573&lt;&gt;"", Recruiting_Data!L573&lt;&gt;"", Recruiting_Data!M573&lt;Recruiting_Data!L573), AND(Recruiting_Data!L573&lt;&gt;"", Recruiting_Data!K573&lt;&gt;"", Recruiting_Data!L573&lt;Recruiting_Data!K573)), TRUE, FALSE))</f>
        <v/>
      </c>
    </row>
    <row r="574">
      <c r="A574" s="5" t="str">
        <f>IF(Recruiting_Data!A574="", "", Recruiting_Data!A574)</f>
        <v/>
      </c>
      <c r="B574" s="5" t="str">
        <f>IF(Recruiting_Data!B574="", "", Recruiting_Data!B574)</f>
        <v/>
      </c>
      <c r="C574" s="5" t="str">
        <f>IF(AND(ISNUMBER(Recruiting_Data!N574), ISNUMBER(Recruiting_Data!P574)), Recruiting_Data!N574 - Recruiting_Data!P574, "")</f>
        <v/>
      </c>
      <c r="E574" s="5" t="str">
        <f>IF(Recruiting_Data!R574="Open", TODAY() - Recruiting_Data!P574, "")</f>
        <v/>
      </c>
      <c r="F574" s="8" t="str">
        <f t="shared" si="1"/>
        <v/>
      </c>
      <c r="G574" s="5" t="str">
        <f>IF(A574="", "", IF(COUNTIF(Recruiting_Data!A:A, A574)&gt;1, TRUE, FALSE))</f>
        <v/>
      </c>
      <c r="H574" s="5" t="str">
        <f>IF(A574="", "", IF(OR(AND(Recruiting_Data!N574&lt;&gt;"", Recruiting_Data!J574&lt;&gt;"", Recruiting_Data!N574&lt;Recruiting_Data!J574), AND(Recruiting_Data!M574&lt;&gt;"", Recruiting_Data!L574&lt;&gt;"", Recruiting_Data!M574&lt;Recruiting_Data!L574), AND(Recruiting_Data!L574&lt;&gt;"", Recruiting_Data!K574&lt;&gt;"", Recruiting_Data!L574&lt;Recruiting_Data!K574)), TRUE, FALSE))</f>
        <v/>
      </c>
    </row>
    <row r="575">
      <c r="A575" s="5" t="str">
        <f>IF(Recruiting_Data!A575="", "", Recruiting_Data!A575)</f>
        <v/>
      </c>
      <c r="B575" s="5" t="str">
        <f>IF(Recruiting_Data!B575="", "", Recruiting_Data!B575)</f>
        <v/>
      </c>
      <c r="C575" s="5" t="str">
        <f>IF(AND(ISNUMBER(Recruiting_Data!N575), ISNUMBER(Recruiting_Data!P575)), Recruiting_Data!N575 - Recruiting_Data!P575, "")</f>
        <v/>
      </c>
      <c r="E575" s="5" t="str">
        <f>IF(Recruiting_Data!R575="Open", TODAY() - Recruiting_Data!P575, "")</f>
        <v/>
      </c>
      <c r="F575" s="8" t="str">
        <f t="shared" si="1"/>
        <v/>
      </c>
      <c r="G575" s="5" t="str">
        <f>IF(A575="", "", IF(COUNTIF(Recruiting_Data!A:A, A575)&gt;1, TRUE, FALSE))</f>
        <v/>
      </c>
      <c r="H575" s="5" t="str">
        <f>IF(A575="", "", IF(OR(AND(Recruiting_Data!N575&lt;&gt;"", Recruiting_Data!J575&lt;&gt;"", Recruiting_Data!N575&lt;Recruiting_Data!J575), AND(Recruiting_Data!M575&lt;&gt;"", Recruiting_Data!L575&lt;&gt;"", Recruiting_Data!M575&lt;Recruiting_Data!L575), AND(Recruiting_Data!L575&lt;&gt;"", Recruiting_Data!K575&lt;&gt;"", Recruiting_Data!L575&lt;Recruiting_Data!K575)), TRUE, FALSE))</f>
        <v/>
      </c>
    </row>
    <row r="576">
      <c r="A576" s="5" t="str">
        <f>IF(Recruiting_Data!A576="", "", Recruiting_Data!A576)</f>
        <v/>
      </c>
      <c r="B576" s="5" t="str">
        <f>IF(Recruiting_Data!B576="", "", Recruiting_Data!B576)</f>
        <v/>
      </c>
      <c r="C576" s="5" t="str">
        <f>IF(AND(ISNUMBER(Recruiting_Data!N576), ISNUMBER(Recruiting_Data!P576)), Recruiting_Data!N576 - Recruiting_Data!P576, "")</f>
        <v/>
      </c>
      <c r="E576" s="5" t="str">
        <f>IF(Recruiting_Data!R576="Open", TODAY() - Recruiting_Data!P576, "")</f>
        <v/>
      </c>
      <c r="F576" s="8" t="str">
        <f t="shared" si="1"/>
        <v/>
      </c>
      <c r="G576" s="5" t="str">
        <f>IF(A576="", "", IF(COUNTIF(Recruiting_Data!A:A, A576)&gt;1, TRUE, FALSE))</f>
        <v/>
      </c>
      <c r="H576" s="5" t="str">
        <f>IF(A576="", "", IF(OR(AND(Recruiting_Data!N576&lt;&gt;"", Recruiting_Data!J576&lt;&gt;"", Recruiting_Data!N576&lt;Recruiting_Data!J576), AND(Recruiting_Data!M576&lt;&gt;"", Recruiting_Data!L576&lt;&gt;"", Recruiting_Data!M576&lt;Recruiting_Data!L576), AND(Recruiting_Data!L576&lt;&gt;"", Recruiting_Data!K576&lt;&gt;"", Recruiting_Data!L576&lt;Recruiting_Data!K576)), TRUE, FALSE))</f>
        <v/>
      </c>
    </row>
    <row r="577">
      <c r="A577" s="5" t="str">
        <f>IF(Recruiting_Data!A577="", "", Recruiting_Data!A577)</f>
        <v/>
      </c>
      <c r="B577" s="5" t="str">
        <f>IF(Recruiting_Data!B577="", "", Recruiting_Data!B577)</f>
        <v/>
      </c>
      <c r="C577" s="5" t="str">
        <f>IF(AND(ISNUMBER(Recruiting_Data!N577), ISNUMBER(Recruiting_Data!P577)), Recruiting_Data!N577 - Recruiting_Data!P577, "")</f>
        <v/>
      </c>
      <c r="E577" s="5" t="str">
        <f>IF(Recruiting_Data!R577="Open", TODAY() - Recruiting_Data!P577, "")</f>
        <v/>
      </c>
      <c r="F577" s="8" t="str">
        <f t="shared" si="1"/>
        <v/>
      </c>
      <c r="G577" s="5" t="str">
        <f>IF(A577="", "", IF(COUNTIF(Recruiting_Data!A:A, A577)&gt;1, TRUE, FALSE))</f>
        <v/>
      </c>
      <c r="H577" s="5" t="str">
        <f>IF(A577="", "", IF(OR(AND(Recruiting_Data!N577&lt;&gt;"", Recruiting_Data!J577&lt;&gt;"", Recruiting_Data!N577&lt;Recruiting_Data!J577), AND(Recruiting_Data!M577&lt;&gt;"", Recruiting_Data!L577&lt;&gt;"", Recruiting_Data!M577&lt;Recruiting_Data!L577), AND(Recruiting_Data!L577&lt;&gt;"", Recruiting_Data!K577&lt;&gt;"", Recruiting_Data!L577&lt;Recruiting_Data!K577)), TRUE, FALSE))</f>
        <v/>
      </c>
    </row>
    <row r="578">
      <c r="A578" s="5" t="str">
        <f>IF(Recruiting_Data!A578="", "", Recruiting_Data!A578)</f>
        <v/>
      </c>
      <c r="B578" s="5" t="str">
        <f>IF(Recruiting_Data!B578="", "", Recruiting_Data!B578)</f>
        <v/>
      </c>
      <c r="C578" s="5" t="str">
        <f>IF(AND(ISNUMBER(Recruiting_Data!N578), ISNUMBER(Recruiting_Data!P578)), Recruiting_Data!N578 - Recruiting_Data!P578, "")</f>
        <v/>
      </c>
      <c r="E578" s="5" t="str">
        <f>IF(Recruiting_Data!R578="Open", TODAY() - Recruiting_Data!P578, "")</f>
        <v/>
      </c>
      <c r="F578" s="8" t="str">
        <f t="shared" si="1"/>
        <v/>
      </c>
      <c r="G578" s="5" t="str">
        <f>IF(A578="", "", IF(COUNTIF(Recruiting_Data!A:A, A578)&gt;1, TRUE, FALSE))</f>
        <v/>
      </c>
      <c r="H578" s="5" t="str">
        <f>IF(A578="", "", IF(OR(AND(Recruiting_Data!N578&lt;&gt;"", Recruiting_Data!J578&lt;&gt;"", Recruiting_Data!N578&lt;Recruiting_Data!J578), AND(Recruiting_Data!M578&lt;&gt;"", Recruiting_Data!L578&lt;&gt;"", Recruiting_Data!M578&lt;Recruiting_Data!L578), AND(Recruiting_Data!L578&lt;&gt;"", Recruiting_Data!K578&lt;&gt;"", Recruiting_Data!L578&lt;Recruiting_Data!K578)), TRUE, FALSE))</f>
        <v/>
      </c>
    </row>
    <row r="579">
      <c r="A579" s="5" t="str">
        <f>IF(Recruiting_Data!A579="", "", Recruiting_Data!A579)</f>
        <v/>
      </c>
      <c r="B579" s="5" t="str">
        <f>IF(Recruiting_Data!B579="", "", Recruiting_Data!B579)</f>
        <v/>
      </c>
      <c r="C579" s="5" t="str">
        <f>IF(AND(ISNUMBER(Recruiting_Data!N579), ISNUMBER(Recruiting_Data!P579)), Recruiting_Data!N579 - Recruiting_Data!P579, "")</f>
        <v/>
      </c>
      <c r="E579" s="5" t="str">
        <f>IF(Recruiting_Data!R579="Open", TODAY() - Recruiting_Data!P579, "")</f>
        <v/>
      </c>
      <c r="F579" s="8" t="str">
        <f t="shared" si="1"/>
        <v/>
      </c>
      <c r="G579" s="5" t="str">
        <f>IF(A579="", "", IF(COUNTIF(Recruiting_Data!A:A, A579)&gt;1, TRUE, FALSE))</f>
        <v/>
      </c>
      <c r="H579" s="5" t="str">
        <f>IF(A579="", "", IF(OR(AND(Recruiting_Data!N579&lt;&gt;"", Recruiting_Data!J579&lt;&gt;"", Recruiting_Data!N579&lt;Recruiting_Data!J579), AND(Recruiting_Data!M579&lt;&gt;"", Recruiting_Data!L579&lt;&gt;"", Recruiting_Data!M579&lt;Recruiting_Data!L579), AND(Recruiting_Data!L579&lt;&gt;"", Recruiting_Data!K579&lt;&gt;"", Recruiting_Data!L579&lt;Recruiting_Data!K579)), TRUE, FALSE))</f>
        <v/>
      </c>
    </row>
    <row r="580">
      <c r="A580" s="5" t="str">
        <f>IF(Recruiting_Data!A580="", "", Recruiting_Data!A580)</f>
        <v/>
      </c>
      <c r="B580" s="5" t="str">
        <f>IF(Recruiting_Data!B580="", "", Recruiting_Data!B580)</f>
        <v/>
      </c>
      <c r="C580" s="5" t="str">
        <f>IF(AND(ISNUMBER(Recruiting_Data!N580), ISNUMBER(Recruiting_Data!P580)), Recruiting_Data!N580 - Recruiting_Data!P580, "")</f>
        <v/>
      </c>
      <c r="E580" s="5" t="str">
        <f>IF(Recruiting_Data!R580="Open", TODAY() - Recruiting_Data!P580, "")</f>
        <v/>
      </c>
      <c r="F580" s="8" t="str">
        <f t="shared" si="1"/>
        <v/>
      </c>
      <c r="G580" s="5" t="str">
        <f>IF(A580="", "", IF(COUNTIF(Recruiting_Data!A:A, A580)&gt;1, TRUE, FALSE))</f>
        <v/>
      </c>
      <c r="H580" s="5" t="str">
        <f>IF(A580="", "", IF(OR(AND(Recruiting_Data!N580&lt;&gt;"", Recruiting_Data!J580&lt;&gt;"", Recruiting_Data!N580&lt;Recruiting_Data!J580), AND(Recruiting_Data!M580&lt;&gt;"", Recruiting_Data!L580&lt;&gt;"", Recruiting_Data!M580&lt;Recruiting_Data!L580), AND(Recruiting_Data!L580&lt;&gt;"", Recruiting_Data!K580&lt;&gt;"", Recruiting_Data!L580&lt;Recruiting_Data!K580)), TRUE, FALSE))</f>
        <v/>
      </c>
    </row>
    <row r="581">
      <c r="A581" s="5" t="str">
        <f>IF(Recruiting_Data!A581="", "", Recruiting_Data!A581)</f>
        <v/>
      </c>
      <c r="B581" s="5" t="str">
        <f>IF(Recruiting_Data!B581="", "", Recruiting_Data!B581)</f>
        <v/>
      </c>
      <c r="C581" s="5" t="str">
        <f>IF(AND(ISNUMBER(Recruiting_Data!N581), ISNUMBER(Recruiting_Data!P581)), Recruiting_Data!N581 - Recruiting_Data!P581, "")</f>
        <v/>
      </c>
      <c r="E581" s="5" t="str">
        <f>IF(Recruiting_Data!R581="Open", TODAY() - Recruiting_Data!P581, "")</f>
        <v/>
      </c>
      <c r="F581" s="8" t="str">
        <f t="shared" si="1"/>
        <v/>
      </c>
      <c r="G581" s="5" t="str">
        <f>IF(A581="", "", IF(COUNTIF(Recruiting_Data!A:A, A581)&gt;1, TRUE, FALSE))</f>
        <v/>
      </c>
      <c r="H581" s="5" t="str">
        <f>IF(A581="", "", IF(OR(AND(Recruiting_Data!N581&lt;&gt;"", Recruiting_Data!J581&lt;&gt;"", Recruiting_Data!N581&lt;Recruiting_Data!J581), AND(Recruiting_Data!M581&lt;&gt;"", Recruiting_Data!L581&lt;&gt;"", Recruiting_Data!M581&lt;Recruiting_Data!L581), AND(Recruiting_Data!L581&lt;&gt;"", Recruiting_Data!K581&lt;&gt;"", Recruiting_Data!L581&lt;Recruiting_Data!K581)), TRUE, FALSE))</f>
        <v/>
      </c>
    </row>
    <row r="582">
      <c r="A582" s="5" t="str">
        <f>IF(Recruiting_Data!A582="", "", Recruiting_Data!A582)</f>
        <v/>
      </c>
      <c r="B582" s="5" t="str">
        <f>IF(Recruiting_Data!B582="", "", Recruiting_Data!B582)</f>
        <v/>
      </c>
      <c r="C582" s="5" t="str">
        <f>IF(AND(ISNUMBER(Recruiting_Data!N582), ISNUMBER(Recruiting_Data!P582)), Recruiting_Data!N582 - Recruiting_Data!P582, "")</f>
        <v/>
      </c>
      <c r="E582" s="5" t="str">
        <f>IF(Recruiting_Data!R582="Open", TODAY() - Recruiting_Data!P582, "")</f>
        <v/>
      </c>
      <c r="F582" s="8" t="str">
        <f t="shared" si="1"/>
        <v/>
      </c>
      <c r="G582" s="5" t="str">
        <f>IF(A582="", "", IF(COUNTIF(Recruiting_Data!A:A, A582)&gt;1, TRUE, FALSE))</f>
        <v/>
      </c>
      <c r="H582" s="5" t="str">
        <f>IF(A582="", "", IF(OR(AND(Recruiting_Data!N582&lt;&gt;"", Recruiting_Data!J582&lt;&gt;"", Recruiting_Data!N582&lt;Recruiting_Data!J582), AND(Recruiting_Data!M582&lt;&gt;"", Recruiting_Data!L582&lt;&gt;"", Recruiting_Data!M582&lt;Recruiting_Data!L582), AND(Recruiting_Data!L582&lt;&gt;"", Recruiting_Data!K582&lt;&gt;"", Recruiting_Data!L582&lt;Recruiting_Data!K582)), TRUE, FALSE))</f>
        <v/>
      </c>
    </row>
    <row r="583">
      <c r="A583" s="5" t="str">
        <f>IF(Recruiting_Data!A583="", "", Recruiting_Data!A583)</f>
        <v/>
      </c>
      <c r="B583" s="5" t="str">
        <f>IF(Recruiting_Data!B583="", "", Recruiting_Data!B583)</f>
        <v/>
      </c>
      <c r="C583" s="5" t="str">
        <f>IF(AND(ISNUMBER(Recruiting_Data!N583), ISNUMBER(Recruiting_Data!P583)), Recruiting_Data!N583 - Recruiting_Data!P583, "")</f>
        <v/>
      </c>
      <c r="E583" s="5" t="str">
        <f>IF(Recruiting_Data!R583="Open", TODAY() - Recruiting_Data!P583, "")</f>
        <v/>
      </c>
      <c r="F583" s="8" t="str">
        <f t="shared" si="1"/>
        <v/>
      </c>
      <c r="G583" s="5" t="str">
        <f>IF(A583="", "", IF(COUNTIF(Recruiting_Data!A:A, A583)&gt;1, TRUE, FALSE))</f>
        <v/>
      </c>
      <c r="H583" s="5" t="str">
        <f>IF(A583="", "", IF(OR(AND(Recruiting_Data!N583&lt;&gt;"", Recruiting_Data!J583&lt;&gt;"", Recruiting_Data!N583&lt;Recruiting_Data!J583), AND(Recruiting_Data!M583&lt;&gt;"", Recruiting_Data!L583&lt;&gt;"", Recruiting_Data!M583&lt;Recruiting_Data!L583), AND(Recruiting_Data!L583&lt;&gt;"", Recruiting_Data!K583&lt;&gt;"", Recruiting_Data!L583&lt;Recruiting_Data!K583)), TRUE, FALSE))</f>
        <v/>
      </c>
    </row>
    <row r="584">
      <c r="A584" s="5" t="str">
        <f>IF(Recruiting_Data!A584="", "", Recruiting_Data!A584)</f>
        <v/>
      </c>
      <c r="B584" s="5" t="str">
        <f>IF(Recruiting_Data!B584="", "", Recruiting_Data!B584)</f>
        <v/>
      </c>
      <c r="C584" s="5" t="str">
        <f>IF(AND(ISNUMBER(Recruiting_Data!N584), ISNUMBER(Recruiting_Data!P584)), Recruiting_Data!N584 - Recruiting_Data!P584, "")</f>
        <v/>
      </c>
      <c r="E584" s="5" t="str">
        <f>IF(Recruiting_Data!R584="Open", TODAY() - Recruiting_Data!P584, "")</f>
        <v/>
      </c>
      <c r="F584" s="8" t="str">
        <f t="shared" si="1"/>
        <v/>
      </c>
      <c r="G584" s="5" t="str">
        <f>IF(A584="", "", IF(COUNTIF(Recruiting_Data!A:A, A584)&gt;1, TRUE, FALSE))</f>
        <v/>
      </c>
      <c r="H584" s="5" t="str">
        <f>IF(A584="", "", IF(OR(AND(Recruiting_Data!N584&lt;&gt;"", Recruiting_Data!J584&lt;&gt;"", Recruiting_Data!N584&lt;Recruiting_Data!J584), AND(Recruiting_Data!M584&lt;&gt;"", Recruiting_Data!L584&lt;&gt;"", Recruiting_Data!M584&lt;Recruiting_Data!L584), AND(Recruiting_Data!L584&lt;&gt;"", Recruiting_Data!K584&lt;&gt;"", Recruiting_Data!L584&lt;Recruiting_Data!K584)), TRUE, FALSE))</f>
        <v/>
      </c>
    </row>
    <row r="585">
      <c r="A585" s="5" t="str">
        <f>IF(Recruiting_Data!A585="", "", Recruiting_Data!A585)</f>
        <v/>
      </c>
      <c r="B585" s="5" t="str">
        <f>IF(Recruiting_Data!B585="", "", Recruiting_Data!B585)</f>
        <v/>
      </c>
      <c r="C585" s="5" t="str">
        <f>IF(AND(ISNUMBER(Recruiting_Data!N585), ISNUMBER(Recruiting_Data!P585)), Recruiting_Data!N585 - Recruiting_Data!P585, "")</f>
        <v/>
      </c>
      <c r="E585" s="5" t="str">
        <f>IF(Recruiting_Data!R585="Open", TODAY() - Recruiting_Data!P585, "")</f>
        <v/>
      </c>
      <c r="F585" s="8" t="str">
        <f t="shared" si="1"/>
        <v/>
      </c>
      <c r="G585" s="5" t="str">
        <f>IF(A585="", "", IF(COUNTIF(Recruiting_Data!A:A, A585)&gt;1, TRUE, FALSE))</f>
        <v/>
      </c>
      <c r="H585" s="5" t="str">
        <f>IF(A585="", "", IF(OR(AND(Recruiting_Data!N585&lt;&gt;"", Recruiting_Data!J585&lt;&gt;"", Recruiting_Data!N585&lt;Recruiting_Data!J585), AND(Recruiting_Data!M585&lt;&gt;"", Recruiting_Data!L585&lt;&gt;"", Recruiting_Data!M585&lt;Recruiting_Data!L585), AND(Recruiting_Data!L585&lt;&gt;"", Recruiting_Data!K585&lt;&gt;"", Recruiting_Data!L585&lt;Recruiting_Data!K585)), TRUE, FALSE))</f>
        <v/>
      </c>
    </row>
    <row r="586">
      <c r="A586" s="5" t="str">
        <f>IF(Recruiting_Data!A586="", "", Recruiting_Data!A586)</f>
        <v/>
      </c>
      <c r="B586" s="5" t="str">
        <f>IF(Recruiting_Data!B586="", "", Recruiting_Data!B586)</f>
        <v/>
      </c>
      <c r="C586" s="5" t="str">
        <f>IF(AND(ISNUMBER(Recruiting_Data!N586), ISNUMBER(Recruiting_Data!P586)), Recruiting_Data!N586 - Recruiting_Data!P586, "")</f>
        <v/>
      </c>
      <c r="E586" s="5" t="str">
        <f>IF(Recruiting_Data!R586="Open", TODAY() - Recruiting_Data!P586, "")</f>
        <v/>
      </c>
      <c r="F586" s="8" t="str">
        <f t="shared" si="1"/>
        <v/>
      </c>
      <c r="G586" s="5" t="str">
        <f>IF(A586="", "", IF(COUNTIF(Recruiting_Data!A:A, A586)&gt;1, TRUE, FALSE))</f>
        <v/>
      </c>
      <c r="H586" s="5" t="str">
        <f>IF(A586="", "", IF(OR(AND(Recruiting_Data!N586&lt;&gt;"", Recruiting_Data!J586&lt;&gt;"", Recruiting_Data!N586&lt;Recruiting_Data!J586), AND(Recruiting_Data!M586&lt;&gt;"", Recruiting_Data!L586&lt;&gt;"", Recruiting_Data!M586&lt;Recruiting_Data!L586), AND(Recruiting_Data!L586&lt;&gt;"", Recruiting_Data!K586&lt;&gt;"", Recruiting_Data!L586&lt;Recruiting_Data!K586)), TRUE, FALSE))</f>
        <v/>
      </c>
    </row>
    <row r="587">
      <c r="A587" s="5" t="str">
        <f>IF(Recruiting_Data!A587="", "", Recruiting_Data!A587)</f>
        <v/>
      </c>
      <c r="B587" s="5" t="str">
        <f>IF(Recruiting_Data!B587="", "", Recruiting_Data!B587)</f>
        <v/>
      </c>
      <c r="C587" s="5" t="str">
        <f>IF(AND(ISNUMBER(Recruiting_Data!N587), ISNUMBER(Recruiting_Data!P587)), Recruiting_Data!N587 - Recruiting_Data!P587, "")</f>
        <v/>
      </c>
      <c r="E587" s="5" t="str">
        <f>IF(Recruiting_Data!R587="Open", TODAY() - Recruiting_Data!P587, "")</f>
        <v/>
      </c>
      <c r="F587" s="8" t="str">
        <f t="shared" si="1"/>
        <v/>
      </c>
      <c r="G587" s="5" t="str">
        <f>IF(A587="", "", IF(COUNTIF(Recruiting_Data!A:A, A587)&gt;1, TRUE, FALSE))</f>
        <v/>
      </c>
      <c r="H587" s="5" t="str">
        <f>IF(A587="", "", IF(OR(AND(Recruiting_Data!N587&lt;&gt;"", Recruiting_Data!J587&lt;&gt;"", Recruiting_Data!N587&lt;Recruiting_Data!J587), AND(Recruiting_Data!M587&lt;&gt;"", Recruiting_Data!L587&lt;&gt;"", Recruiting_Data!M587&lt;Recruiting_Data!L587), AND(Recruiting_Data!L587&lt;&gt;"", Recruiting_Data!K587&lt;&gt;"", Recruiting_Data!L587&lt;Recruiting_Data!K587)), TRUE, FALSE))</f>
        <v/>
      </c>
    </row>
    <row r="588">
      <c r="A588" s="5" t="str">
        <f>IF(Recruiting_Data!A588="", "", Recruiting_Data!A588)</f>
        <v/>
      </c>
      <c r="B588" s="5" t="str">
        <f>IF(Recruiting_Data!B588="", "", Recruiting_Data!B588)</f>
        <v/>
      </c>
      <c r="C588" s="5" t="str">
        <f>IF(AND(ISNUMBER(Recruiting_Data!N588), ISNUMBER(Recruiting_Data!P588)), Recruiting_Data!N588 - Recruiting_Data!P588, "")</f>
        <v/>
      </c>
      <c r="E588" s="5" t="str">
        <f>IF(Recruiting_Data!R588="Open", TODAY() - Recruiting_Data!P588, "")</f>
        <v/>
      </c>
      <c r="F588" s="8" t="str">
        <f t="shared" si="1"/>
        <v/>
      </c>
      <c r="G588" s="5" t="str">
        <f>IF(A588="", "", IF(COUNTIF(Recruiting_Data!A:A, A588)&gt;1, TRUE, FALSE))</f>
        <v/>
      </c>
      <c r="H588" s="5" t="str">
        <f>IF(A588="", "", IF(OR(AND(Recruiting_Data!N588&lt;&gt;"", Recruiting_Data!J588&lt;&gt;"", Recruiting_Data!N588&lt;Recruiting_Data!J588), AND(Recruiting_Data!M588&lt;&gt;"", Recruiting_Data!L588&lt;&gt;"", Recruiting_Data!M588&lt;Recruiting_Data!L588), AND(Recruiting_Data!L588&lt;&gt;"", Recruiting_Data!K588&lt;&gt;"", Recruiting_Data!L588&lt;Recruiting_Data!K588)), TRUE, FALSE))</f>
        <v/>
      </c>
    </row>
    <row r="589">
      <c r="A589" s="5" t="str">
        <f>IF(Recruiting_Data!A589="", "", Recruiting_Data!A589)</f>
        <v/>
      </c>
      <c r="B589" s="5" t="str">
        <f>IF(Recruiting_Data!B589="", "", Recruiting_Data!B589)</f>
        <v/>
      </c>
      <c r="C589" s="5" t="str">
        <f>IF(AND(ISNUMBER(Recruiting_Data!N589), ISNUMBER(Recruiting_Data!P589)), Recruiting_Data!N589 - Recruiting_Data!P589, "")</f>
        <v/>
      </c>
      <c r="E589" s="5" t="str">
        <f>IF(Recruiting_Data!R589="Open", TODAY() - Recruiting_Data!P589, "")</f>
        <v/>
      </c>
      <c r="F589" s="8" t="str">
        <f t="shared" si="1"/>
        <v/>
      </c>
      <c r="G589" s="5" t="str">
        <f>IF(A589="", "", IF(COUNTIF(Recruiting_Data!A:A, A589)&gt;1, TRUE, FALSE))</f>
        <v/>
      </c>
      <c r="H589" s="5" t="str">
        <f>IF(A589="", "", IF(OR(AND(Recruiting_Data!N589&lt;&gt;"", Recruiting_Data!J589&lt;&gt;"", Recruiting_Data!N589&lt;Recruiting_Data!J589), AND(Recruiting_Data!M589&lt;&gt;"", Recruiting_Data!L589&lt;&gt;"", Recruiting_Data!M589&lt;Recruiting_Data!L589), AND(Recruiting_Data!L589&lt;&gt;"", Recruiting_Data!K589&lt;&gt;"", Recruiting_Data!L589&lt;Recruiting_Data!K589)), TRUE, FALSE))</f>
        <v/>
      </c>
    </row>
    <row r="590">
      <c r="A590" s="5" t="str">
        <f>IF(Recruiting_Data!A590="", "", Recruiting_Data!A590)</f>
        <v/>
      </c>
      <c r="B590" s="5" t="str">
        <f>IF(Recruiting_Data!B590="", "", Recruiting_Data!B590)</f>
        <v/>
      </c>
      <c r="C590" s="5" t="str">
        <f>IF(AND(ISNUMBER(Recruiting_Data!N590), ISNUMBER(Recruiting_Data!P590)), Recruiting_Data!N590 - Recruiting_Data!P590, "")</f>
        <v/>
      </c>
      <c r="E590" s="5" t="str">
        <f>IF(Recruiting_Data!R590="Open", TODAY() - Recruiting_Data!P590, "")</f>
        <v/>
      </c>
      <c r="F590" s="8" t="str">
        <f t="shared" si="1"/>
        <v/>
      </c>
      <c r="G590" s="5" t="str">
        <f>IF(A590="", "", IF(COUNTIF(Recruiting_Data!A:A, A590)&gt;1, TRUE, FALSE))</f>
        <v/>
      </c>
      <c r="H590" s="5" t="str">
        <f>IF(A590="", "", IF(OR(AND(Recruiting_Data!N590&lt;&gt;"", Recruiting_Data!J590&lt;&gt;"", Recruiting_Data!N590&lt;Recruiting_Data!J590), AND(Recruiting_Data!M590&lt;&gt;"", Recruiting_Data!L590&lt;&gt;"", Recruiting_Data!M590&lt;Recruiting_Data!L590), AND(Recruiting_Data!L590&lt;&gt;"", Recruiting_Data!K590&lt;&gt;"", Recruiting_Data!L590&lt;Recruiting_Data!K590)), TRUE, FALSE))</f>
        <v/>
      </c>
    </row>
    <row r="591">
      <c r="A591" s="5" t="str">
        <f>IF(Recruiting_Data!A591="", "", Recruiting_Data!A591)</f>
        <v/>
      </c>
      <c r="B591" s="5" t="str">
        <f>IF(Recruiting_Data!B591="", "", Recruiting_Data!B591)</f>
        <v/>
      </c>
      <c r="C591" s="5" t="str">
        <f>IF(AND(ISNUMBER(Recruiting_Data!N591), ISNUMBER(Recruiting_Data!P591)), Recruiting_Data!N591 - Recruiting_Data!P591, "")</f>
        <v/>
      </c>
      <c r="E591" s="5" t="str">
        <f>IF(Recruiting_Data!R591="Open", TODAY() - Recruiting_Data!P591, "")</f>
        <v/>
      </c>
      <c r="F591" s="8" t="str">
        <f t="shared" si="1"/>
        <v/>
      </c>
      <c r="G591" s="5" t="str">
        <f>IF(A591="", "", IF(COUNTIF(Recruiting_Data!A:A, A591)&gt;1, TRUE, FALSE))</f>
        <v/>
      </c>
      <c r="H591" s="5" t="str">
        <f>IF(A591="", "", IF(OR(AND(Recruiting_Data!N591&lt;&gt;"", Recruiting_Data!J591&lt;&gt;"", Recruiting_Data!N591&lt;Recruiting_Data!J591), AND(Recruiting_Data!M591&lt;&gt;"", Recruiting_Data!L591&lt;&gt;"", Recruiting_Data!M591&lt;Recruiting_Data!L591), AND(Recruiting_Data!L591&lt;&gt;"", Recruiting_Data!K591&lt;&gt;"", Recruiting_Data!L591&lt;Recruiting_Data!K591)), TRUE, FALSE))</f>
        <v/>
      </c>
    </row>
    <row r="592">
      <c r="A592" s="5" t="str">
        <f>IF(Recruiting_Data!A592="", "", Recruiting_Data!A592)</f>
        <v/>
      </c>
      <c r="B592" s="5" t="str">
        <f>IF(Recruiting_Data!B592="", "", Recruiting_Data!B592)</f>
        <v/>
      </c>
      <c r="C592" s="5" t="str">
        <f>IF(AND(ISNUMBER(Recruiting_Data!N592), ISNUMBER(Recruiting_Data!P592)), Recruiting_Data!N592 - Recruiting_Data!P592, "")</f>
        <v/>
      </c>
      <c r="E592" s="5" t="str">
        <f>IF(Recruiting_Data!R592="Open", TODAY() - Recruiting_Data!P592, "")</f>
        <v/>
      </c>
      <c r="F592" s="8" t="str">
        <f t="shared" si="1"/>
        <v/>
      </c>
      <c r="G592" s="5" t="str">
        <f>IF(A592="", "", IF(COUNTIF(Recruiting_Data!A:A, A592)&gt;1, TRUE, FALSE))</f>
        <v/>
      </c>
      <c r="H592" s="5" t="str">
        <f>IF(A592="", "", IF(OR(AND(Recruiting_Data!N592&lt;&gt;"", Recruiting_Data!J592&lt;&gt;"", Recruiting_Data!N592&lt;Recruiting_Data!J592), AND(Recruiting_Data!M592&lt;&gt;"", Recruiting_Data!L592&lt;&gt;"", Recruiting_Data!M592&lt;Recruiting_Data!L592), AND(Recruiting_Data!L592&lt;&gt;"", Recruiting_Data!K592&lt;&gt;"", Recruiting_Data!L592&lt;Recruiting_Data!K592)), TRUE, FALSE))</f>
        <v/>
      </c>
    </row>
    <row r="593">
      <c r="A593" s="5" t="str">
        <f>IF(Recruiting_Data!A593="", "", Recruiting_Data!A593)</f>
        <v/>
      </c>
      <c r="B593" s="5" t="str">
        <f>IF(Recruiting_Data!B593="", "", Recruiting_Data!B593)</f>
        <v/>
      </c>
      <c r="C593" s="5" t="str">
        <f>IF(AND(ISNUMBER(Recruiting_Data!N593), ISNUMBER(Recruiting_Data!P593)), Recruiting_Data!N593 - Recruiting_Data!P593, "")</f>
        <v/>
      </c>
      <c r="E593" s="5" t="str">
        <f>IF(Recruiting_Data!R593="Open", TODAY() - Recruiting_Data!P593, "")</f>
        <v/>
      </c>
      <c r="F593" s="8" t="str">
        <f t="shared" si="1"/>
        <v/>
      </c>
      <c r="G593" s="5" t="str">
        <f>IF(A593="", "", IF(COUNTIF(Recruiting_Data!A:A, A593)&gt;1, TRUE, FALSE))</f>
        <v/>
      </c>
      <c r="H593" s="5" t="str">
        <f>IF(A593="", "", IF(OR(AND(Recruiting_Data!N593&lt;&gt;"", Recruiting_Data!J593&lt;&gt;"", Recruiting_Data!N593&lt;Recruiting_Data!J593), AND(Recruiting_Data!M593&lt;&gt;"", Recruiting_Data!L593&lt;&gt;"", Recruiting_Data!M593&lt;Recruiting_Data!L593), AND(Recruiting_Data!L593&lt;&gt;"", Recruiting_Data!K593&lt;&gt;"", Recruiting_Data!L593&lt;Recruiting_Data!K593)), TRUE, FALSE))</f>
        <v/>
      </c>
    </row>
    <row r="594">
      <c r="A594" s="5" t="str">
        <f>IF(Recruiting_Data!A594="", "", Recruiting_Data!A594)</f>
        <v/>
      </c>
      <c r="B594" s="5" t="str">
        <f>IF(Recruiting_Data!B594="", "", Recruiting_Data!B594)</f>
        <v/>
      </c>
      <c r="C594" s="5" t="str">
        <f>IF(AND(ISNUMBER(Recruiting_Data!N594), ISNUMBER(Recruiting_Data!P594)), Recruiting_Data!N594 - Recruiting_Data!P594, "")</f>
        <v/>
      </c>
      <c r="E594" s="5" t="str">
        <f>IF(Recruiting_Data!R594="Open", TODAY() - Recruiting_Data!P594, "")</f>
        <v/>
      </c>
      <c r="F594" s="8" t="str">
        <f t="shared" si="1"/>
        <v/>
      </c>
      <c r="G594" s="5" t="str">
        <f>IF(A594="", "", IF(COUNTIF(Recruiting_Data!A:A, A594)&gt;1, TRUE, FALSE))</f>
        <v/>
      </c>
      <c r="H594" s="5" t="str">
        <f>IF(A594="", "", IF(OR(AND(Recruiting_Data!N594&lt;&gt;"", Recruiting_Data!J594&lt;&gt;"", Recruiting_Data!N594&lt;Recruiting_Data!J594), AND(Recruiting_Data!M594&lt;&gt;"", Recruiting_Data!L594&lt;&gt;"", Recruiting_Data!M594&lt;Recruiting_Data!L594), AND(Recruiting_Data!L594&lt;&gt;"", Recruiting_Data!K594&lt;&gt;"", Recruiting_Data!L594&lt;Recruiting_Data!K594)), TRUE, FALSE))</f>
        <v/>
      </c>
    </row>
    <row r="595">
      <c r="A595" s="5" t="str">
        <f>IF(Recruiting_Data!A595="", "", Recruiting_Data!A595)</f>
        <v/>
      </c>
      <c r="B595" s="5" t="str">
        <f>IF(Recruiting_Data!B595="", "", Recruiting_Data!B595)</f>
        <v/>
      </c>
      <c r="C595" s="5" t="str">
        <f>IF(AND(ISNUMBER(Recruiting_Data!N595), ISNUMBER(Recruiting_Data!P595)), Recruiting_Data!N595 - Recruiting_Data!P595, "")</f>
        <v/>
      </c>
      <c r="E595" s="5" t="str">
        <f>IF(Recruiting_Data!R595="Open", TODAY() - Recruiting_Data!P595, "")</f>
        <v/>
      </c>
      <c r="F595" s="8" t="str">
        <f t="shared" si="1"/>
        <v/>
      </c>
      <c r="G595" s="5" t="str">
        <f>IF(A595="", "", IF(COUNTIF(Recruiting_Data!A:A, A595)&gt;1, TRUE, FALSE))</f>
        <v/>
      </c>
      <c r="H595" s="5" t="str">
        <f>IF(A595="", "", IF(OR(AND(Recruiting_Data!N595&lt;&gt;"", Recruiting_Data!J595&lt;&gt;"", Recruiting_Data!N595&lt;Recruiting_Data!J595), AND(Recruiting_Data!M595&lt;&gt;"", Recruiting_Data!L595&lt;&gt;"", Recruiting_Data!M595&lt;Recruiting_Data!L595), AND(Recruiting_Data!L595&lt;&gt;"", Recruiting_Data!K595&lt;&gt;"", Recruiting_Data!L595&lt;Recruiting_Data!K595)), TRUE, FALSE))</f>
        <v/>
      </c>
    </row>
    <row r="596">
      <c r="A596" s="5" t="str">
        <f>IF(Recruiting_Data!A596="", "", Recruiting_Data!A596)</f>
        <v/>
      </c>
      <c r="B596" s="5" t="str">
        <f>IF(Recruiting_Data!B596="", "", Recruiting_Data!B596)</f>
        <v/>
      </c>
      <c r="C596" s="5" t="str">
        <f>IF(AND(ISNUMBER(Recruiting_Data!N596), ISNUMBER(Recruiting_Data!P596)), Recruiting_Data!N596 - Recruiting_Data!P596, "")</f>
        <v/>
      </c>
      <c r="E596" s="5" t="str">
        <f>IF(Recruiting_Data!R596="Open", TODAY() - Recruiting_Data!P596, "")</f>
        <v/>
      </c>
      <c r="F596" s="8" t="str">
        <f t="shared" si="1"/>
        <v/>
      </c>
      <c r="G596" s="5" t="str">
        <f>IF(A596="", "", IF(COUNTIF(Recruiting_Data!A:A, A596)&gt;1, TRUE, FALSE))</f>
        <v/>
      </c>
      <c r="H596" s="5" t="str">
        <f>IF(A596="", "", IF(OR(AND(Recruiting_Data!N596&lt;&gt;"", Recruiting_Data!J596&lt;&gt;"", Recruiting_Data!N596&lt;Recruiting_Data!J596), AND(Recruiting_Data!M596&lt;&gt;"", Recruiting_Data!L596&lt;&gt;"", Recruiting_Data!M596&lt;Recruiting_Data!L596), AND(Recruiting_Data!L596&lt;&gt;"", Recruiting_Data!K596&lt;&gt;"", Recruiting_Data!L596&lt;Recruiting_Data!K596)), TRUE, FALSE))</f>
        <v/>
      </c>
    </row>
    <row r="597">
      <c r="A597" s="5" t="str">
        <f>IF(Recruiting_Data!A597="", "", Recruiting_Data!A597)</f>
        <v/>
      </c>
      <c r="B597" s="5" t="str">
        <f>IF(Recruiting_Data!B597="", "", Recruiting_Data!B597)</f>
        <v/>
      </c>
      <c r="C597" s="5" t="str">
        <f>IF(AND(ISNUMBER(Recruiting_Data!N597), ISNUMBER(Recruiting_Data!P597)), Recruiting_Data!N597 - Recruiting_Data!P597, "")</f>
        <v/>
      </c>
      <c r="E597" s="5" t="str">
        <f>IF(Recruiting_Data!R597="Open", TODAY() - Recruiting_Data!P597, "")</f>
        <v/>
      </c>
      <c r="F597" s="8" t="str">
        <f t="shared" si="1"/>
        <v/>
      </c>
      <c r="G597" s="5" t="str">
        <f>IF(A597="", "", IF(COUNTIF(Recruiting_Data!A:A, A597)&gt;1, TRUE, FALSE))</f>
        <v/>
      </c>
      <c r="H597" s="5" t="str">
        <f>IF(A597="", "", IF(OR(AND(Recruiting_Data!N597&lt;&gt;"", Recruiting_Data!J597&lt;&gt;"", Recruiting_Data!N597&lt;Recruiting_Data!J597), AND(Recruiting_Data!M597&lt;&gt;"", Recruiting_Data!L597&lt;&gt;"", Recruiting_Data!M597&lt;Recruiting_Data!L597), AND(Recruiting_Data!L597&lt;&gt;"", Recruiting_Data!K597&lt;&gt;"", Recruiting_Data!L597&lt;Recruiting_Data!K597)), TRUE, FALSE))</f>
        <v/>
      </c>
    </row>
    <row r="598">
      <c r="A598" s="5" t="str">
        <f>IF(Recruiting_Data!A598="", "", Recruiting_Data!A598)</f>
        <v/>
      </c>
      <c r="B598" s="5" t="str">
        <f>IF(Recruiting_Data!B598="", "", Recruiting_Data!B598)</f>
        <v/>
      </c>
      <c r="C598" s="5" t="str">
        <f>IF(AND(ISNUMBER(Recruiting_Data!N598), ISNUMBER(Recruiting_Data!P598)), Recruiting_Data!N598 - Recruiting_Data!P598, "")</f>
        <v/>
      </c>
      <c r="E598" s="5" t="str">
        <f>IF(Recruiting_Data!R598="Open", TODAY() - Recruiting_Data!P598, "")</f>
        <v/>
      </c>
      <c r="F598" s="8" t="str">
        <f t="shared" si="1"/>
        <v/>
      </c>
      <c r="G598" s="5" t="str">
        <f>IF(A598="", "", IF(COUNTIF(Recruiting_Data!A:A, A598)&gt;1, TRUE, FALSE))</f>
        <v/>
      </c>
      <c r="H598" s="5" t="str">
        <f>IF(A598="", "", IF(OR(AND(Recruiting_Data!N598&lt;&gt;"", Recruiting_Data!J598&lt;&gt;"", Recruiting_Data!N598&lt;Recruiting_Data!J598), AND(Recruiting_Data!M598&lt;&gt;"", Recruiting_Data!L598&lt;&gt;"", Recruiting_Data!M598&lt;Recruiting_Data!L598), AND(Recruiting_Data!L598&lt;&gt;"", Recruiting_Data!K598&lt;&gt;"", Recruiting_Data!L598&lt;Recruiting_Data!K598)), TRUE, FALSE))</f>
        <v/>
      </c>
    </row>
    <row r="599">
      <c r="A599" s="5" t="str">
        <f>IF(Recruiting_Data!A599="", "", Recruiting_Data!A599)</f>
        <v/>
      </c>
      <c r="B599" s="5" t="str">
        <f>IF(Recruiting_Data!B599="", "", Recruiting_Data!B599)</f>
        <v/>
      </c>
      <c r="C599" s="5" t="str">
        <f>IF(AND(ISNUMBER(Recruiting_Data!N599), ISNUMBER(Recruiting_Data!P599)), Recruiting_Data!N599 - Recruiting_Data!P599, "")</f>
        <v/>
      </c>
      <c r="E599" s="5" t="str">
        <f>IF(Recruiting_Data!R599="Open", TODAY() - Recruiting_Data!P599, "")</f>
        <v/>
      </c>
      <c r="F599" s="8" t="str">
        <f t="shared" si="1"/>
        <v/>
      </c>
      <c r="G599" s="5" t="str">
        <f>IF(A599="", "", IF(COUNTIF(Recruiting_Data!A:A, A599)&gt;1, TRUE, FALSE))</f>
        <v/>
      </c>
      <c r="H599" s="5" t="str">
        <f>IF(A599="", "", IF(OR(AND(Recruiting_Data!N599&lt;&gt;"", Recruiting_Data!J599&lt;&gt;"", Recruiting_Data!N599&lt;Recruiting_Data!J599), AND(Recruiting_Data!M599&lt;&gt;"", Recruiting_Data!L599&lt;&gt;"", Recruiting_Data!M599&lt;Recruiting_Data!L599), AND(Recruiting_Data!L599&lt;&gt;"", Recruiting_Data!K599&lt;&gt;"", Recruiting_Data!L599&lt;Recruiting_Data!K599)), TRUE, FALSE))</f>
        <v/>
      </c>
    </row>
    <row r="600">
      <c r="A600" s="5" t="str">
        <f>IF(Recruiting_Data!A600="", "", Recruiting_Data!A600)</f>
        <v/>
      </c>
      <c r="B600" s="5" t="str">
        <f>IF(Recruiting_Data!B600="", "", Recruiting_Data!B600)</f>
        <v/>
      </c>
      <c r="C600" s="5" t="str">
        <f>IF(AND(ISNUMBER(Recruiting_Data!N600), ISNUMBER(Recruiting_Data!P600)), Recruiting_Data!N600 - Recruiting_Data!P600, "")</f>
        <v/>
      </c>
      <c r="E600" s="5" t="str">
        <f>IF(Recruiting_Data!R600="Open", TODAY() - Recruiting_Data!P600, "")</f>
        <v/>
      </c>
      <c r="F600" s="8" t="str">
        <f t="shared" si="1"/>
        <v/>
      </c>
      <c r="G600" s="5" t="str">
        <f>IF(A600="", "", IF(COUNTIF(Recruiting_Data!A:A, A600)&gt;1, TRUE, FALSE))</f>
        <v/>
      </c>
      <c r="H600" s="5" t="str">
        <f>IF(A600="", "", IF(OR(AND(Recruiting_Data!N600&lt;&gt;"", Recruiting_Data!J600&lt;&gt;"", Recruiting_Data!N600&lt;Recruiting_Data!J600), AND(Recruiting_Data!M600&lt;&gt;"", Recruiting_Data!L600&lt;&gt;"", Recruiting_Data!M600&lt;Recruiting_Data!L600), AND(Recruiting_Data!L600&lt;&gt;"", Recruiting_Data!K600&lt;&gt;"", Recruiting_Data!L600&lt;Recruiting_Data!K600)), TRUE, FALSE))</f>
        <v/>
      </c>
    </row>
    <row r="601">
      <c r="A601" s="5" t="str">
        <f>IF(Recruiting_Data!A601="", "", Recruiting_Data!A601)</f>
        <v/>
      </c>
      <c r="B601" s="5" t="str">
        <f>IF(Recruiting_Data!B601="", "", Recruiting_Data!B601)</f>
        <v/>
      </c>
      <c r="C601" s="5" t="str">
        <f>IF(AND(ISNUMBER(Recruiting_Data!N601), ISNUMBER(Recruiting_Data!P601)), Recruiting_Data!N601 - Recruiting_Data!P601, "")</f>
        <v/>
      </c>
      <c r="E601" s="5" t="str">
        <f>IF(Recruiting_Data!R601="Open", TODAY() - Recruiting_Data!P601, "")</f>
        <v/>
      </c>
      <c r="F601" s="8" t="str">
        <f t="shared" si="1"/>
        <v/>
      </c>
      <c r="G601" s="5" t="str">
        <f>IF(A601="", "", IF(COUNTIF(Recruiting_Data!A:A, A601)&gt;1, TRUE, FALSE))</f>
        <v/>
      </c>
      <c r="H601" s="5" t="str">
        <f>IF(A601="", "", IF(OR(AND(Recruiting_Data!N601&lt;&gt;"", Recruiting_Data!J601&lt;&gt;"", Recruiting_Data!N601&lt;Recruiting_Data!J601), AND(Recruiting_Data!M601&lt;&gt;"", Recruiting_Data!L601&lt;&gt;"", Recruiting_Data!M601&lt;Recruiting_Data!L601), AND(Recruiting_Data!L601&lt;&gt;"", Recruiting_Data!K601&lt;&gt;"", Recruiting_Data!L601&lt;Recruiting_Data!K601)), TRUE, FALSE))</f>
        <v/>
      </c>
    </row>
    <row r="602">
      <c r="A602" s="5" t="str">
        <f>IF(Recruiting_Data!A602="", "", Recruiting_Data!A602)</f>
        <v/>
      </c>
      <c r="B602" s="5" t="str">
        <f>IF(Recruiting_Data!B602="", "", Recruiting_Data!B602)</f>
        <v/>
      </c>
      <c r="C602" s="5" t="str">
        <f>IF(AND(ISNUMBER(Recruiting_Data!N602), ISNUMBER(Recruiting_Data!P602)), Recruiting_Data!N602 - Recruiting_Data!P602, "")</f>
        <v/>
      </c>
      <c r="E602" s="5" t="str">
        <f>IF(Recruiting_Data!R602="Open", TODAY() - Recruiting_Data!P602, "")</f>
        <v/>
      </c>
      <c r="F602" s="8" t="str">
        <f t="shared" si="1"/>
        <v/>
      </c>
      <c r="G602" s="5" t="str">
        <f>IF(A602="", "", IF(COUNTIF(Recruiting_Data!A:A, A602)&gt;1, TRUE, FALSE))</f>
        <v/>
      </c>
      <c r="H602" s="5" t="str">
        <f>IF(A602="", "", IF(OR(AND(Recruiting_Data!N602&lt;&gt;"", Recruiting_Data!J602&lt;&gt;"", Recruiting_Data!N602&lt;Recruiting_Data!J602), AND(Recruiting_Data!M602&lt;&gt;"", Recruiting_Data!L602&lt;&gt;"", Recruiting_Data!M602&lt;Recruiting_Data!L602), AND(Recruiting_Data!L602&lt;&gt;"", Recruiting_Data!K602&lt;&gt;"", Recruiting_Data!L602&lt;Recruiting_Data!K602)), TRUE, FALSE))</f>
        <v/>
      </c>
    </row>
    <row r="603">
      <c r="A603" s="5" t="str">
        <f>IF(Recruiting_Data!A603="", "", Recruiting_Data!A603)</f>
        <v/>
      </c>
      <c r="B603" s="5" t="str">
        <f>IF(Recruiting_Data!B603="", "", Recruiting_Data!B603)</f>
        <v/>
      </c>
      <c r="C603" s="5" t="str">
        <f>IF(AND(ISNUMBER(Recruiting_Data!N603), ISNUMBER(Recruiting_Data!P603)), Recruiting_Data!N603 - Recruiting_Data!P603, "")</f>
        <v/>
      </c>
      <c r="E603" s="5" t="str">
        <f>IF(Recruiting_Data!R603="Open", TODAY() - Recruiting_Data!P603, "")</f>
        <v/>
      </c>
      <c r="F603" s="8" t="str">
        <f t="shared" si="1"/>
        <v/>
      </c>
      <c r="G603" s="5" t="str">
        <f>IF(A603="", "", IF(COUNTIF(Recruiting_Data!A:A, A603)&gt;1, TRUE, FALSE))</f>
        <v/>
      </c>
      <c r="H603" s="5" t="str">
        <f>IF(A603="", "", IF(OR(AND(Recruiting_Data!N603&lt;&gt;"", Recruiting_Data!J603&lt;&gt;"", Recruiting_Data!N603&lt;Recruiting_Data!J603), AND(Recruiting_Data!M603&lt;&gt;"", Recruiting_Data!L603&lt;&gt;"", Recruiting_Data!M603&lt;Recruiting_Data!L603), AND(Recruiting_Data!L603&lt;&gt;"", Recruiting_Data!K603&lt;&gt;"", Recruiting_Data!L603&lt;Recruiting_Data!K603)), TRUE, FALSE))</f>
        <v/>
      </c>
    </row>
    <row r="604">
      <c r="A604" s="5" t="str">
        <f>IF(Recruiting_Data!A604="", "", Recruiting_Data!A604)</f>
        <v/>
      </c>
      <c r="B604" s="5" t="str">
        <f>IF(Recruiting_Data!B604="", "", Recruiting_Data!B604)</f>
        <v/>
      </c>
      <c r="C604" s="5" t="str">
        <f>IF(AND(ISNUMBER(Recruiting_Data!N604), ISNUMBER(Recruiting_Data!P604)), Recruiting_Data!N604 - Recruiting_Data!P604, "")</f>
        <v/>
      </c>
      <c r="E604" s="5" t="str">
        <f>IF(Recruiting_Data!R604="Open", TODAY() - Recruiting_Data!P604, "")</f>
        <v/>
      </c>
      <c r="F604" s="8" t="str">
        <f t="shared" si="1"/>
        <v/>
      </c>
      <c r="G604" s="5" t="str">
        <f>IF(A604="", "", IF(COUNTIF(Recruiting_Data!A:A, A604)&gt;1, TRUE, FALSE))</f>
        <v/>
      </c>
      <c r="H604" s="5" t="str">
        <f>IF(A604="", "", IF(OR(AND(Recruiting_Data!N604&lt;&gt;"", Recruiting_Data!J604&lt;&gt;"", Recruiting_Data!N604&lt;Recruiting_Data!J604), AND(Recruiting_Data!M604&lt;&gt;"", Recruiting_Data!L604&lt;&gt;"", Recruiting_Data!M604&lt;Recruiting_Data!L604), AND(Recruiting_Data!L604&lt;&gt;"", Recruiting_Data!K604&lt;&gt;"", Recruiting_Data!L604&lt;Recruiting_Data!K604)), TRUE, FALSE))</f>
        <v/>
      </c>
    </row>
    <row r="605">
      <c r="A605" s="5" t="str">
        <f>IF(Recruiting_Data!A605="", "", Recruiting_Data!A605)</f>
        <v/>
      </c>
      <c r="B605" s="5" t="str">
        <f>IF(Recruiting_Data!B605="", "", Recruiting_Data!B605)</f>
        <v/>
      </c>
      <c r="C605" s="5" t="str">
        <f>IF(AND(ISNUMBER(Recruiting_Data!N605), ISNUMBER(Recruiting_Data!P605)), Recruiting_Data!N605 - Recruiting_Data!P605, "")</f>
        <v/>
      </c>
      <c r="E605" s="5" t="str">
        <f>IF(Recruiting_Data!R605="Open", TODAY() - Recruiting_Data!P605, "")</f>
        <v/>
      </c>
      <c r="F605" s="8" t="str">
        <f t="shared" si="1"/>
        <v/>
      </c>
      <c r="G605" s="5" t="str">
        <f>IF(A605="", "", IF(COUNTIF(Recruiting_Data!A:A, A605)&gt;1, TRUE, FALSE))</f>
        <v/>
      </c>
      <c r="H605" s="5" t="str">
        <f>IF(A605="", "", IF(OR(AND(Recruiting_Data!N605&lt;&gt;"", Recruiting_Data!J605&lt;&gt;"", Recruiting_Data!N605&lt;Recruiting_Data!J605), AND(Recruiting_Data!M605&lt;&gt;"", Recruiting_Data!L605&lt;&gt;"", Recruiting_Data!M605&lt;Recruiting_Data!L605), AND(Recruiting_Data!L605&lt;&gt;"", Recruiting_Data!K605&lt;&gt;"", Recruiting_Data!L605&lt;Recruiting_Data!K605)), TRUE, FALSE))</f>
        <v/>
      </c>
    </row>
    <row r="606">
      <c r="A606" s="5" t="str">
        <f>IF(Recruiting_Data!A606="", "", Recruiting_Data!A606)</f>
        <v/>
      </c>
      <c r="B606" s="5" t="str">
        <f>IF(Recruiting_Data!B606="", "", Recruiting_Data!B606)</f>
        <v/>
      </c>
      <c r="C606" s="5" t="str">
        <f>IF(AND(ISNUMBER(Recruiting_Data!N606), ISNUMBER(Recruiting_Data!P606)), Recruiting_Data!N606 - Recruiting_Data!P606, "")</f>
        <v/>
      </c>
      <c r="E606" s="5" t="str">
        <f>IF(Recruiting_Data!R606="Open", TODAY() - Recruiting_Data!P606, "")</f>
        <v/>
      </c>
      <c r="F606" s="8" t="str">
        <f t="shared" si="1"/>
        <v/>
      </c>
      <c r="G606" s="5" t="str">
        <f>IF(A606="", "", IF(COUNTIF(Recruiting_Data!A:A, A606)&gt;1, TRUE, FALSE))</f>
        <v/>
      </c>
      <c r="H606" s="5" t="str">
        <f>IF(A606="", "", IF(OR(AND(Recruiting_Data!N606&lt;&gt;"", Recruiting_Data!J606&lt;&gt;"", Recruiting_Data!N606&lt;Recruiting_Data!J606), AND(Recruiting_Data!M606&lt;&gt;"", Recruiting_Data!L606&lt;&gt;"", Recruiting_Data!M606&lt;Recruiting_Data!L606), AND(Recruiting_Data!L606&lt;&gt;"", Recruiting_Data!K606&lt;&gt;"", Recruiting_Data!L606&lt;Recruiting_Data!K606)), TRUE, FALSE))</f>
        <v/>
      </c>
    </row>
    <row r="607">
      <c r="A607" s="5" t="str">
        <f>IF(Recruiting_Data!A607="", "", Recruiting_Data!A607)</f>
        <v/>
      </c>
      <c r="B607" s="5" t="str">
        <f>IF(Recruiting_Data!B607="", "", Recruiting_Data!B607)</f>
        <v/>
      </c>
      <c r="C607" s="5" t="str">
        <f>IF(AND(ISNUMBER(Recruiting_Data!N607), ISNUMBER(Recruiting_Data!P607)), Recruiting_Data!N607 - Recruiting_Data!P607, "")</f>
        <v/>
      </c>
      <c r="E607" s="5" t="str">
        <f>IF(Recruiting_Data!R607="Open", TODAY() - Recruiting_Data!P607, "")</f>
        <v/>
      </c>
      <c r="F607" s="8" t="str">
        <f t="shared" si="1"/>
        <v/>
      </c>
      <c r="G607" s="5" t="str">
        <f>IF(A607="", "", IF(COUNTIF(Recruiting_Data!A:A, A607)&gt;1, TRUE, FALSE))</f>
        <v/>
      </c>
      <c r="H607" s="5" t="str">
        <f>IF(A607="", "", IF(OR(AND(Recruiting_Data!N607&lt;&gt;"", Recruiting_Data!J607&lt;&gt;"", Recruiting_Data!N607&lt;Recruiting_Data!J607), AND(Recruiting_Data!M607&lt;&gt;"", Recruiting_Data!L607&lt;&gt;"", Recruiting_Data!M607&lt;Recruiting_Data!L607), AND(Recruiting_Data!L607&lt;&gt;"", Recruiting_Data!K607&lt;&gt;"", Recruiting_Data!L607&lt;Recruiting_Data!K607)), TRUE, FALSE))</f>
        <v/>
      </c>
    </row>
    <row r="608">
      <c r="A608" s="5" t="str">
        <f>IF(Recruiting_Data!A608="", "", Recruiting_Data!A608)</f>
        <v/>
      </c>
      <c r="B608" s="5" t="str">
        <f>IF(Recruiting_Data!B608="", "", Recruiting_Data!B608)</f>
        <v/>
      </c>
      <c r="C608" s="5" t="str">
        <f>IF(AND(ISNUMBER(Recruiting_Data!N608), ISNUMBER(Recruiting_Data!P608)), Recruiting_Data!N608 - Recruiting_Data!P608, "")</f>
        <v/>
      </c>
      <c r="E608" s="5" t="str">
        <f>IF(Recruiting_Data!R608="Open", TODAY() - Recruiting_Data!P608, "")</f>
        <v/>
      </c>
      <c r="F608" s="8" t="str">
        <f t="shared" si="1"/>
        <v/>
      </c>
      <c r="G608" s="5" t="str">
        <f>IF(A608="", "", IF(COUNTIF(Recruiting_Data!A:A, A608)&gt;1, TRUE, FALSE))</f>
        <v/>
      </c>
      <c r="H608" s="5" t="str">
        <f>IF(A608="", "", IF(OR(AND(Recruiting_Data!N608&lt;&gt;"", Recruiting_Data!J608&lt;&gt;"", Recruiting_Data!N608&lt;Recruiting_Data!J608), AND(Recruiting_Data!M608&lt;&gt;"", Recruiting_Data!L608&lt;&gt;"", Recruiting_Data!M608&lt;Recruiting_Data!L608), AND(Recruiting_Data!L608&lt;&gt;"", Recruiting_Data!K608&lt;&gt;"", Recruiting_Data!L608&lt;Recruiting_Data!K608)), TRUE, FALSE))</f>
        <v/>
      </c>
    </row>
    <row r="609">
      <c r="A609" s="5" t="str">
        <f>IF(Recruiting_Data!A609="", "", Recruiting_Data!A609)</f>
        <v/>
      </c>
      <c r="B609" s="5" t="str">
        <f>IF(Recruiting_Data!B609="", "", Recruiting_Data!B609)</f>
        <v/>
      </c>
      <c r="C609" s="5" t="str">
        <f>IF(AND(ISNUMBER(Recruiting_Data!N609), ISNUMBER(Recruiting_Data!P609)), Recruiting_Data!N609 - Recruiting_Data!P609, "")</f>
        <v/>
      </c>
      <c r="E609" s="5" t="str">
        <f>IF(Recruiting_Data!R609="Open", TODAY() - Recruiting_Data!P609, "")</f>
        <v/>
      </c>
      <c r="F609" s="8" t="str">
        <f t="shared" si="1"/>
        <v/>
      </c>
      <c r="G609" s="5" t="str">
        <f>IF(A609="", "", IF(COUNTIF(Recruiting_Data!A:A, A609)&gt;1, TRUE, FALSE))</f>
        <v/>
      </c>
      <c r="H609" s="5" t="str">
        <f>IF(A609="", "", IF(OR(AND(Recruiting_Data!N609&lt;&gt;"", Recruiting_Data!J609&lt;&gt;"", Recruiting_Data!N609&lt;Recruiting_Data!J609), AND(Recruiting_Data!M609&lt;&gt;"", Recruiting_Data!L609&lt;&gt;"", Recruiting_Data!M609&lt;Recruiting_Data!L609), AND(Recruiting_Data!L609&lt;&gt;"", Recruiting_Data!K609&lt;&gt;"", Recruiting_Data!L609&lt;Recruiting_Data!K609)), TRUE, FALSE))</f>
        <v/>
      </c>
    </row>
    <row r="610">
      <c r="A610" s="5" t="str">
        <f>IF(Recruiting_Data!A610="", "", Recruiting_Data!A610)</f>
        <v/>
      </c>
      <c r="B610" s="5" t="str">
        <f>IF(Recruiting_Data!B610="", "", Recruiting_Data!B610)</f>
        <v/>
      </c>
      <c r="C610" s="5" t="str">
        <f>IF(AND(ISNUMBER(Recruiting_Data!N610), ISNUMBER(Recruiting_Data!P610)), Recruiting_Data!N610 - Recruiting_Data!P610, "")</f>
        <v/>
      </c>
      <c r="E610" s="5" t="str">
        <f>IF(Recruiting_Data!R610="Open", TODAY() - Recruiting_Data!P610, "")</f>
        <v/>
      </c>
      <c r="F610" s="8" t="str">
        <f t="shared" si="1"/>
        <v/>
      </c>
      <c r="G610" s="5" t="str">
        <f>IF(A610="", "", IF(COUNTIF(Recruiting_Data!A:A, A610)&gt;1, TRUE, FALSE))</f>
        <v/>
      </c>
      <c r="H610" s="5" t="str">
        <f>IF(A610="", "", IF(OR(AND(Recruiting_Data!N610&lt;&gt;"", Recruiting_Data!J610&lt;&gt;"", Recruiting_Data!N610&lt;Recruiting_Data!J610), AND(Recruiting_Data!M610&lt;&gt;"", Recruiting_Data!L610&lt;&gt;"", Recruiting_Data!M610&lt;Recruiting_Data!L610), AND(Recruiting_Data!L610&lt;&gt;"", Recruiting_Data!K610&lt;&gt;"", Recruiting_Data!L610&lt;Recruiting_Data!K610)), TRUE, FALSE))</f>
        <v/>
      </c>
    </row>
    <row r="611">
      <c r="A611" s="5" t="str">
        <f>IF(Recruiting_Data!A611="", "", Recruiting_Data!A611)</f>
        <v/>
      </c>
      <c r="B611" s="5" t="str">
        <f>IF(Recruiting_Data!B611="", "", Recruiting_Data!B611)</f>
        <v/>
      </c>
      <c r="C611" s="5" t="str">
        <f>IF(AND(ISNUMBER(Recruiting_Data!N611), ISNUMBER(Recruiting_Data!P611)), Recruiting_Data!N611 - Recruiting_Data!P611, "")</f>
        <v/>
      </c>
      <c r="E611" s="5" t="str">
        <f>IF(Recruiting_Data!R611="Open", TODAY() - Recruiting_Data!P611, "")</f>
        <v/>
      </c>
      <c r="F611" s="8" t="str">
        <f t="shared" si="1"/>
        <v/>
      </c>
      <c r="G611" s="5" t="str">
        <f>IF(A611="", "", IF(COUNTIF(Recruiting_Data!A:A, A611)&gt;1, TRUE, FALSE))</f>
        <v/>
      </c>
      <c r="H611" s="5" t="str">
        <f>IF(A611="", "", IF(OR(AND(Recruiting_Data!N611&lt;&gt;"", Recruiting_Data!J611&lt;&gt;"", Recruiting_Data!N611&lt;Recruiting_Data!J611), AND(Recruiting_Data!M611&lt;&gt;"", Recruiting_Data!L611&lt;&gt;"", Recruiting_Data!M611&lt;Recruiting_Data!L611), AND(Recruiting_Data!L611&lt;&gt;"", Recruiting_Data!K611&lt;&gt;"", Recruiting_Data!L611&lt;Recruiting_Data!K611)), TRUE, FALSE))</f>
        <v/>
      </c>
    </row>
    <row r="612">
      <c r="A612" s="5" t="str">
        <f>IF(Recruiting_Data!A612="", "", Recruiting_Data!A612)</f>
        <v/>
      </c>
      <c r="B612" s="5" t="str">
        <f>IF(Recruiting_Data!B612="", "", Recruiting_Data!B612)</f>
        <v/>
      </c>
      <c r="C612" s="5" t="str">
        <f>IF(AND(ISNUMBER(Recruiting_Data!N612), ISNUMBER(Recruiting_Data!P612)), Recruiting_Data!N612 - Recruiting_Data!P612, "")</f>
        <v/>
      </c>
      <c r="E612" s="5" t="str">
        <f>IF(Recruiting_Data!R612="Open", TODAY() - Recruiting_Data!P612, "")</f>
        <v/>
      </c>
      <c r="F612" s="8" t="str">
        <f t="shared" si="1"/>
        <v/>
      </c>
      <c r="G612" s="5" t="str">
        <f>IF(A612="", "", IF(COUNTIF(Recruiting_Data!A:A, A612)&gt;1, TRUE, FALSE))</f>
        <v/>
      </c>
      <c r="H612" s="5" t="str">
        <f>IF(A612="", "", IF(OR(AND(Recruiting_Data!N612&lt;&gt;"", Recruiting_Data!J612&lt;&gt;"", Recruiting_Data!N612&lt;Recruiting_Data!J612), AND(Recruiting_Data!M612&lt;&gt;"", Recruiting_Data!L612&lt;&gt;"", Recruiting_Data!M612&lt;Recruiting_Data!L612), AND(Recruiting_Data!L612&lt;&gt;"", Recruiting_Data!K612&lt;&gt;"", Recruiting_Data!L612&lt;Recruiting_Data!K612)), TRUE, FALSE))</f>
        <v/>
      </c>
    </row>
    <row r="613">
      <c r="A613" s="5" t="str">
        <f>IF(Recruiting_Data!A613="", "", Recruiting_Data!A613)</f>
        <v/>
      </c>
      <c r="B613" s="5" t="str">
        <f>IF(Recruiting_Data!B613="", "", Recruiting_Data!B613)</f>
        <v/>
      </c>
      <c r="C613" s="5" t="str">
        <f>IF(AND(ISNUMBER(Recruiting_Data!N613), ISNUMBER(Recruiting_Data!P613)), Recruiting_Data!N613 - Recruiting_Data!P613, "")</f>
        <v/>
      </c>
      <c r="E613" s="5" t="str">
        <f>IF(Recruiting_Data!R613="Open", TODAY() - Recruiting_Data!P613, "")</f>
        <v/>
      </c>
      <c r="F613" s="8" t="str">
        <f t="shared" si="1"/>
        <v/>
      </c>
      <c r="G613" s="5" t="str">
        <f>IF(A613="", "", IF(COUNTIF(Recruiting_Data!A:A, A613)&gt;1, TRUE, FALSE))</f>
        <v/>
      </c>
      <c r="H613" s="5" t="str">
        <f>IF(A613="", "", IF(OR(AND(Recruiting_Data!N613&lt;&gt;"", Recruiting_Data!J613&lt;&gt;"", Recruiting_Data!N613&lt;Recruiting_Data!J613), AND(Recruiting_Data!M613&lt;&gt;"", Recruiting_Data!L613&lt;&gt;"", Recruiting_Data!M613&lt;Recruiting_Data!L613), AND(Recruiting_Data!L613&lt;&gt;"", Recruiting_Data!K613&lt;&gt;"", Recruiting_Data!L613&lt;Recruiting_Data!K613)), TRUE, FALSE))</f>
        <v/>
      </c>
    </row>
    <row r="614">
      <c r="A614" s="5" t="str">
        <f>IF(Recruiting_Data!A614="", "", Recruiting_Data!A614)</f>
        <v/>
      </c>
      <c r="B614" s="5" t="str">
        <f>IF(Recruiting_Data!B614="", "", Recruiting_Data!B614)</f>
        <v/>
      </c>
      <c r="C614" s="5" t="str">
        <f>IF(AND(ISNUMBER(Recruiting_Data!N614), ISNUMBER(Recruiting_Data!P614)), Recruiting_Data!N614 - Recruiting_Data!P614, "")</f>
        <v/>
      </c>
      <c r="E614" s="5" t="str">
        <f>IF(Recruiting_Data!R614="Open", TODAY() - Recruiting_Data!P614, "")</f>
        <v/>
      </c>
      <c r="F614" s="8" t="str">
        <f t="shared" si="1"/>
        <v/>
      </c>
      <c r="G614" s="5" t="str">
        <f>IF(A614="", "", IF(COUNTIF(Recruiting_Data!A:A, A614)&gt;1, TRUE, FALSE))</f>
        <v/>
      </c>
      <c r="H614" s="5" t="str">
        <f>IF(A614="", "", IF(OR(AND(Recruiting_Data!N614&lt;&gt;"", Recruiting_Data!J614&lt;&gt;"", Recruiting_Data!N614&lt;Recruiting_Data!J614), AND(Recruiting_Data!M614&lt;&gt;"", Recruiting_Data!L614&lt;&gt;"", Recruiting_Data!M614&lt;Recruiting_Data!L614), AND(Recruiting_Data!L614&lt;&gt;"", Recruiting_Data!K614&lt;&gt;"", Recruiting_Data!L614&lt;Recruiting_Data!K614)), TRUE, FALSE))</f>
        <v/>
      </c>
    </row>
    <row r="615">
      <c r="A615" s="5" t="str">
        <f>IF(Recruiting_Data!A615="", "", Recruiting_Data!A615)</f>
        <v/>
      </c>
      <c r="B615" s="5" t="str">
        <f>IF(Recruiting_Data!B615="", "", Recruiting_Data!B615)</f>
        <v/>
      </c>
      <c r="C615" s="5" t="str">
        <f>IF(AND(ISNUMBER(Recruiting_Data!N615), ISNUMBER(Recruiting_Data!P615)), Recruiting_Data!N615 - Recruiting_Data!P615, "")</f>
        <v/>
      </c>
      <c r="E615" s="5" t="str">
        <f>IF(Recruiting_Data!R615="Open", TODAY() - Recruiting_Data!P615, "")</f>
        <v/>
      </c>
      <c r="F615" s="8" t="str">
        <f t="shared" si="1"/>
        <v/>
      </c>
      <c r="G615" s="5" t="str">
        <f>IF(A615="", "", IF(COUNTIF(Recruiting_Data!A:A, A615)&gt;1, TRUE, FALSE))</f>
        <v/>
      </c>
      <c r="H615" s="5" t="str">
        <f>IF(A615="", "", IF(OR(AND(Recruiting_Data!N615&lt;&gt;"", Recruiting_Data!J615&lt;&gt;"", Recruiting_Data!N615&lt;Recruiting_Data!J615), AND(Recruiting_Data!M615&lt;&gt;"", Recruiting_Data!L615&lt;&gt;"", Recruiting_Data!M615&lt;Recruiting_Data!L615), AND(Recruiting_Data!L615&lt;&gt;"", Recruiting_Data!K615&lt;&gt;"", Recruiting_Data!L615&lt;Recruiting_Data!K615)), TRUE, FALSE))</f>
        <v/>
      </c>
    </row>
    <row r="616">
      <c r="A616" s="5" t="str">
        <f>IF(Recruiting_Data!A616="", "", Recruiting_Data!A616)</f>
        <v/>
      </c>
      <c r="B616" s="5" t="str">
        <f>IF(Recruiting_Data!B616="", "", Recruiting_Data!B616)</f>
        <v/>
      </c>
      <c r="C616" s="5" t="str">
        <f>IF(AND(ISNUMBER(Recruiting_Data!N616), ISNUMBER(Recruiting_Data!P616)), Recruiting_Data!N616 - Recruiting_Data!P616, "")</f>
        <v/>
      </c>
      <c r="E616" s="5" t="str">
        <f>IF(Recruiting_Data!R616="Open", TODAY() - Recruiting_Data!P616, "")</f>
        <v/>
      </c>
      <c r="F616" s="8" t="str">
        <f t="shared" si="1"/>
        <v/>
      </c>
      <c r="G616" s="5" t="str">
        <f>IF(A616="", "", IF(COUNTIF(Recruiting_Data!A:A, A616)&gt;1, TRUE, FALSE))</f>
        <v/>
      </c>
      <c r="H616" s="5" t="str">
        <f>IF(A616="", "", IF(OR(AND(Recruiting_Data!N616&lt;&gt;"", Recruiting_Data!J616&lt;&gt;"", Recruiting_Data!N616&lt;Recruiting_Data!J616), AND(Recruiting_Data!M616&lt;&gt;"", Recruiting_Data!L616&lt;&gt;"", Recruiting_Data!M616&lt;Recruiting_Data!L616), AND(Recruiting_Data!L616&lt;&gt;"", Recruiting_Data!K616&lt;&gt;"", Recruiting_Data!L616&lt;Recruiting_Data!K616)), TRUE, FALSE))</f>
        <v/>
      </c>
    </row>
    <row r="617">
      <c r="A617" s="5" t="str">
        <f>IF(Recruiting_Data!A617="", "", Recruiting_Data!A617)</f>
        <v/>
      </c>
      <c r="B617" s="5" t="str">
        <f>IF(Recruiting_Data!B617="", "", Recruiting_Data!B617)</f>
        <v/>
      </c>
      <c r="C617" s="5" t="str">
        <f>IF(AND(ISNUMBER(Recruiting_Data!N617), ISNUMBER(Recruiting_Data!P617)), Recruiting_Data!N617 - Recruiting_Data!P617, "")</f>
        <v/>
      </c>
      <c r="E617" s="5" t="str">
        <f>IF(Recruiting_Data!R617="Open", TODAY() - Recruiting_Data!P617, "")</f>
        <v/>
      </c>
      <c r="F617" s="8" t="str">
        <f t="shared" si="1"/>
        <v/>
      </c>
      <c r="G617" s="5" t="str">
        <f>IF(A617="", "", IF(COUNTIF(Recruiting_Data!A:A, A617)&gt;1, TRUE, FALSE))</f>
        <v/>
      </c>
      <c r="H617" s="5" t="str">
        <f>IF(A617="", "", IF(OR(AND(Recruiting_Data!N617&lt;&gt;"", Recruiting_Data!J617&lt;&gt;"", Recruiting_Data!N617&lt;Recruiting_Data!J617), AND(Recruiting_Data!M617&lt;&gt;"", Recruiting_Data!L617&lt;&gt;"", Recruiting_Data!M617&lt;Recruiting_Data!L617), AND(Recruiting_Data!L617&lt;&gt;"", Recruiting_Data!K617&lt;&gt;"", Recruiting_Data!L617&lt;Recruiting_Data!K617)), TRUE, FALSE))</f>
        <v/>
      </c>
    </row>
    <row r="618">
      <c r="A618" s="5" t="str">
        <f>IF(Recruiting_Data!A618="", "", Recruiting_Data!A618)</f>
        <v/>
      </c>
      <c r="B618" s="5" t="str">
        <f>IF(Recruiting_Data!B618="", "", Recruiting_Data!B618)</f>
        <v/>
      </c>
      <c r="C618" s="5" t="str">
        <f>IF(AND(ISNUMBER(Recruiting_Data!N618), ISNUMBER(Recruiting_Data!P618)), Recruiting_Data!N618 - Recruiting_Data!P618, "")</f>
        <v/>
      </c>
      <c r="E618" s="5" t="str">
        <f>IF(Recruiting_Data!R618="Open", TODAY() - Recruiting_Data!P618, "")</f>
        <v/>
      </c>
      <c r="F618" s="8" t="str">
        <f t="shared" si="1"/>
        <v/>
      </c>
      <c r="G618" s="5" t="str">
        <f>IF(A618="", "", IF(COUNTIF(Recruiting_Data!A:A, A618)&gt;1, TRUE, FALSE))</f>
        <v/>
      </c>
      <c r="H618" s="5" t="str">
        <f>IF(A618="", "", IF(OR(AND(Recruiting_Data!N618&lt;&gt;"", Recruiting_Data!J618&lt;&gt;"", Recruiting_Data!N618&lt;Recruiting_Data!J618), AND(Recruiting_Data!M618&lt;&gt;"", Recruiting_Data!L618&lt;&gt;"", Recruiting_Data!M618&lt;Recruiting_Data!L618), AND(Recruiting_Data!L618&lt;&gt;"", Recruiting_Data!K618&lt;&gt;"", Recruiting_Data!L618&lt;Recruiting_Data!K618)), TRUE, FALSE))</f>
        <v/>
      </c>
    </row>
    <row r="619">
      <c r="A619" s="5" t="str">
        <f>IF(Recruiting_Data!A619="", "", Recruiting_Data!A619)</f>
        <v/>
      </c>
      <c r="B619" s="5" t="str">
        <f>IF(Recruiting_Data!B619="", "", Recruiting_Data!B619)</f>
        <v/>
      </c>
      <c r="C619" s="5" t="str">
        <f>IF(AND(ISNUMBER(Recruiting_Data!N619), ISNUMBER(Recruiting_Data!P619)), Recruiting_Data!N619 - Recruiting_Data!P619, "")</f>
        <v/>
      </c>
      <c r="E619" s="5" t="str">
        <f>IF(Recruiting_Data!R619="Open", TODAY() - Recruiting_Data!P619, "")</f>
        <v/>
      </c>
      <c r="F619" s="8" t="str">
        <f t="shared" si="1"/>
        <v/>
      </c>
      <c r="G619" s="5" t="str">
        <f>IF(A619="", "", IF(COUNTIF(Recruiting_Data!A:A, A619)&gt;1, TRUE, FALSE))</f>
        <v/>
      </c>
      <c r="H619" s="5" t="str">
        <f>IF(A619="", "", IF(OR(AND(Recruiting_Data!N619&lt;&gt;"", Recruiting_Data!J619&lt;&gt;"", Recruiting_Data!N619&lt;Recruiting_Data!J619), AND(Recruiting_Data!M619&lt;&gt;"", Recruiting_Data!L619&lt;&gt;"", Recruiting_Data!M619&lt;Recruiting_Data!L619), AND(Recruiting_Data!L619&lt;&gt;"", Recruiting_Data!K619&lt;&gt;"", Recruiting_Data!L619&lt;Recruiting_Data!K619)), TRUE, FALSE))</f>
        <v/>
      </c>
    </row>
    <row r="620">
      <c r="A620" s="5" t="str">
        <f>IF(Recruiting_Data!A620="", "", Recruiting_Data!A620)</f>
        <v/>
      </c>
      <c r="B620" s="5" t="str">
        <f>IF(Recruiting_Data!B620="", "", Recruiting_Data!B620)</f>
        <v/>
      </c>
      <c r="C620" s="5" t="str">
        <f>IF(AND(ISNUMBER(Recruiting_Data!N620), ISNUMBER(Recruiting_Data!P620)), Recruiting_Data!N620 - Recruiting_Data!P620, "")</f>
        <v/>
      </c>
      <c r="E620" s="5" t="str">
        <f>IF(Recruiting_Data!R620="Open", TODAY() - Recruiting_Data!P620, "")</f>
        <v/>
      </c>
      <c r="F620" s="8" t="str">
        <f t="shared" si="1"/>
        <v/>
      </c>
      <c r="G620" s="5" t="str">
        <f>IF(A620="", "", IF(COUNTIF(Recruiting_Data!A:A, A620)&gt;1, TRUE, FALSE))</f>
        <v/>
      </c>
      <c r="H620" s="5" t="str">
        <f>IF(A620="", "", IF(OR(AND(Recruiting_Data!N620&lt;&gt;"", Recruiting_Data!J620&lt;&gt;"", Recruiting_Data!N620&lt;Recruiting_Data!J620), AND(Recruiting_Data!M620&lt;&gt;"", Recruiting_Data!L620&lt;&gt;"", Recruiting_Data!M620&lt;Recruiting_Data!L620), AND(Recruiting_Data!L620&lt;&gt;"", Recruiting_Data!K620&lt;&gt;"", Recruiting_Data!L620&lt;Recruiting_Data!K620)), TRUE, FALSE))</f>
        <v/>
      </c>
    </row>
    <row r="621">
      <c r="A621" s="5" t="str">
        <f>IF(Recruiting_Data!A621="", "", Recruiting_Data!A621)</f>
        <v/>
      </c>
      <c r="B621" s="5" t="str">
        <f>IF(Recruiting_Data!B621="", "", Recruiting_Data!B621)</f>
        <v/>
      </c>
      <c r="C621" s="5" t="str">
        <f>IF(AND(ISNUMBER(Recruiting_Data!N621), ISNUMBER(Recruiting_Data!P621)), Recruiting_Data!N621 - Recruiting_Data!P621, "")</f>
        <v/>
      </c>
      <c r="E621" s="5" t="str">
        <f>IF(Recruiting_Data!R621="Open", TODAY() - Recruiting_Data!P621, "")</f>
        <v/>
      </c>
      <c r="F621" s="8" t="str">
        <f t="shared" si="1"/>
        <v/>
      </c>
      <c r="G621" s="5" t="str">
        <f>IF(A621="", "", IF(COUNTIF(Recruiting_Data!A:A, A621)&gt;1, TRUE, FALSE))</f>
        <v/>
      </c>
      <c r="H621" s="5" t="str">
        <f>IF(A621="", "", IF(OR(AND(Recruiting_Data!N621&lt;&gt;"", Recruiting_Data!J621&lt;&gt;"", Recruiting_Data!N621&lt;Recruiting_Data!J621), AND(Recruiting_Data!M621&lt;&gt;"", Recruiting_Data!L621&lt;&gt;"", Recruiting_Data!M621&lt;Recruiting_Data!L621), AND(Recruiting_Data!L621&lt;&gt;"", Recruiting_Data!K621&lt;&gt;"", Recruiting_Data!L621&lt;Recruiting_Data!K621)), TRUE, FALSE))</f>
        <v/>
      </c>
    </row>
    <row r="622">
      <c r="A622" s="5" t="str">
        <f>IF(Recruiting_Data!A622="", "", Recruiting_Data!A622)</f>
        <v/>
      </c>
      <c r="B622" s="5" t="str">
        <f>IF(Recruiting_Data!B622="", "", Recruiting_Data!B622)</f>
        <v/>
      </c>
      <c r="C622" s="5" t="str">
        <f>IF(AND(ISNUMBER(Recruiting_Data!N622), ISNUMBER(Recruiting_Data!P622)), Recruiting_Data!N622 - Recruiting_Data!P622, "")</f>
        <v/>
      </c>
      <c r="E622" s="5" t="str">
        <f>IF(Recruiting_Data!R622="Open", TODAY() - Recruiting_Data!P622, "")</f>
        <v/>
      </c>
      <c r="F622" s="8" t="str">
        <f t="shared" si="1"/>
        <v/>
      </c>
      <c r="G622" s="5" t="str">
        <f>IF(A622="", "", IF(COUNTIF(Recruiting_Data!A:A, A622)&gt;1, TRUE, FALSE))</f>
        <v/>
      </c>
      <c r="H622" s="5" t="str">
        <f>IF(A622="", "", IF(OR(AND(Recruiting_Data!N622&lt;&gt;"", Recruiting_Data!J622&lt;&gt;"", Recruiting_Data!N622&lt;Recruiting_Data!J622), AND(Recruiting_Data!M622&lt;&gt;"", Recruiting_Data!L622&lt;&gt;"", Recruiting_Data!M622&lt;Recruiting_Data!L622), AND(Recruiting_Data!L622&lt;&gt;"", Recruiting_Data!K622&lt;&gt;"", Recruiting_Data!L622&lt;Recruiting_Data!K622)), TRUE, FALSE))</f>
        <v/>
      </c>
    </row>
    <row r="623">
      <c r="A623" s="5" t="str">
        <f>IF(Recruiting_Data!A623="", "", Recruiting_Data!A623)</f>
        <v/>
      </c>
      <c r="B623" s="5" t="str">
        <f>IF(Recruiting_Data!B623="", "", Recruiting_Data!B623)</f>
        <v/>
      </c>
      <c r="C623" s="5" t="str">
        <f>IF(AND(ISNUMBER(Recruiting_Data!N623), ISNUMBER(Recruiting_Data!P623)), Recruiting_Data!N623 - Recruiting_Data!P623, "")</f>
        <v/>
      </c>
      <c r="E623" s="5" t="str">
        <f>IF(Recruiting_Data!R623="Open", TODAY() - Recruiting_Data!P623, "")</f>
        <v/>
      </c>
      <c r="F623" s="8" t="str">
        <f t="shared" si="1"/>
        <v/>
      </c>
      <c r="G623" s="5" t="str">
        <f>IF(A623="", "", IF(COUNTIF(Recruiting_Data!A:A, A623)&gt;1, TRUE, FALSE))</f>
        <v/>
      </c>
      <c r="H623" s="5" t="str">
        <f>IF(A623="", "", IF(OR(AND(Recruiting_Data!N623&lt;&gt;"", Recruiting_Data!J623&lt;&gt;"", Recruiting_Data!N623&lt;Recruiting_Data!J623), AND(Recruiting_Data!M623&lt;&gt;"", Recruiting_Data!L623&lt;&gt;"", Recruiting_Data!M623&lt;Recruiting_Data!L623), AND(Recruiting_Data!L623&lt;&gt;"", Recruiting_Data!K623&lt;&gt;"", Recruiting_Data!L623&lt;Recruiting_Data!K623)), TRUE, FALSE))</f>
        <v/>
      </c>
    </row>
    <row r="624">
      <c r="A624" s="5" t="str">
        <f>IF(Recruiting_Data!A624="", "", Recruiting_Data!A624)</f>
        <v/>
      </c>
      <c r="B624" s="5" t="str">
        <f>IF(Recruiting_Data!B624="", "", Recruiting_Data!B624)</f>
        <v/>
      </c>
      <c r="C624" s="5" t="str">
        <f>IF(AND(ISNUMBER(Recruiting_Data!N624), ISNUMBER(Recruiting_Data!P624)), Recruiting_Data!N624 - Recruiting_Data!P624, "")</f>
        <v/>
      </c>
      <c r="E624" s="5" t="str">
        <f>IF(Recruiting_Data!R624="Open", TODAY() - Recruiting_Data!P624, "")</f>
        <v/>
      </c>
      <c r="F624" s="8" t="str">
        <f t="shared" si="1"/>
        <v/>
      </c>
      <c r="G624" s="5" t="str">
        <f>IF(A624="", "", IF(COUNTIF(Recruiting_Data!A:A, A624)&gt;1, TRUE, FALSE))</f>
        <v/>
      </c>
      <c r="H624" s="5" t="str">
        <f>IF(A624="", "", IF(OR(AND(Recruiting_Data!N624&lt;&gt;"", Recruiting_Data!J624&lt;&gt;"", Recruiting_Data!N624&lt;Recruiting_Data!J624), AND(Recruiting_Data!M624&lt;&gt;"", Recruiting_Data!L624&lt;&gt;"", Recruiting_Data!M624&lt;Recruiting_Data!L624), AND(Recruiting_Data!L624&lt;&gt;"", Recruiting_Data!K624&lt;&gt;"", Recruiting_Data!L624&lt;Recruiting_Data!K624)), TRUE, FALSE))</f>
        <v/>
      </c>
    </row>
    <row r="625">
      <c r="A625" s="5" t="str">
        <f>IF(Recruiting_Data!A625="", "", Recruiting_Data!A625)</f>
        <v/>
      </c>
      <c r="B625" s="5" t="str">
        <f>IF(Recruiting_Data!B625="", "", Recruiting_Data!B625)</f>
        <v/>
      </c>
      <c r="C625" s="5" t="str">
        <f>IF(AND(ISNUMBER(Recruiting_Data!N625), ISNUMBER(Recruiting_Data!P625)), Recruiting_Data!N625 - Recruiting_Data!P625, "")</f>
        <v/>
      </c>
      <c r="E625" s="5" t="str">
        <f>IF(Recruiting_Data!R625="Open", TODAY() - Recruiting_Data!P625, "")</f>
        <v/>
      </c>
      <c r="F625" s="8" t="str">
        <f t="shared" si="1"/>
        <v/>
      </c>
      <c r="G625" s="5" t="str">
        <f>IF(A625="", "", IF(COUNTIF(Recruiting_Data!A:A, A625)&gt;1, TRUE, FALSE))</f>
        <v/>
      </c>
      <c r="H625" s="5" t="str">
        <f>IF(A625="", "", IF(OR(AND(Recruiting_Data!N625&lt;&gt;"", Recruiting_Data!J625&lt;&gt;"", Recruiting_Data!N625&lt;Recruiting_Data!J625), AND(Recruiting_Data!M625&lt;&gt;"", Recruiting_Data!L625&lt;&gt;"", Recruiting_Data!M625&lt;Recruiting_Data!L625), AND(Recruiting_Data!L625&lt;&gt;"", Recruiting_Data!K625&lt;&gt;"", Recruiting_Data!L625&lt;Recruiting_Data!K625)), TRUE, FALSE))</f>
        <v/>
      </c>
    </row>
    <row r="626">
      <c r="A626" s="5" t="str">
        <f>IF(Recruiting_Data!A626="", "", Recruiting_Data!A626)</f>
        <v/>
      </c>
      <c r="B626" s="5" t="str">
        <f>IF(Recruiting_Data!B626="", "", Recruiting_Data!B626)</f>
        <v/>
      </c>
      <c r="C626" s="5" t="str">
        <f>IF(AND(ISNUMBER(Recruiting_Data!N626), ISNUMBER(Recruiting_Data!P626)), Recruiting_Data!N626 - Recruiting_Data!P626, "")</f>
        <v/>
      </c>
      <c r="E626" s="5" t="str">
        <f>IF(Recruiting_Data!R626="Open", TODAY() - Recruiting_Data!P626, "")</f>
        <v/>
      </c>
      <c r="F626" s="8" t="str">
        <f t="shared" si="1"/>
        <v/>
      </c>
      <c r="G626" s="5" t="str">
        <f>IF(A626="", "", IF(COUNTIF(Recruiting_Data!A:A, A626)&gt;1, TRUE, FALSE))</f>
        <v/>
      </c>
      <c r="H626" s="5" t="str">
        <f>IF(A626="", "", IF(OR(AND(Recruiting_Data!N626&lt;&gt;"", Recruiting_Data!J626&lt;&gt;"", Recruiting_Data!N626&lt;Recruiting_Data!J626), AND(Recruiting_Data!M626&lt;&gt;"", Recruiting_Data!L626&lt;&gt;"", Recruiting_Data!M626&lt;Recruiting_Data!L626), AND(Recruiting_Data!L626&lt;&gt;"", Recruiting_Data!K626&lt;&gt;"", Recruiting_Data!L626&lt;Recruiting_Data!K626)), TRUE, FALSE))</f>
        <v/>
      </c>
    </row>
    <row r="627">
      <c r="A627" s="5" t="str">
        <f>IF(Recruiting_Data!A627="", "", Recruiting_Data!A627)</f>
        <v/>
      </c>
      <c r="B627" s="5" t="str">
        <f>IF(Recruiting_Data!B627="", "", Recruiting_Data!B627)</f>
        <v/>
      </c>
      <c r="C627" s="5" t="str">
        <f>IF(AND(ISNUMBER(Recruiting_Data!N627), ISNUMBER(Recruiting_Data!P627)), Recruiting_Data!N627 - Recruiting_Data!P627, "")</f>
        <v/>
      </c>
      <c r="E627" s="5" t="str">
        <f>IF(Recruiting_Data!R627="Open", TODAY() - Recruiting_Data!P627, "")</f>
        <v/>
      </c>
      <c r="F627" s="8" t="str">
        <f t="shared" si="1"/>
        <v/>
      </c>
      <c r="G627" s="5" t="str">
        <f>IF(A627="", "", IF(COUNTIF(Recruiting_Data!A:A, A627)&gt;1, TRUE, FALSE))</f>
        <v/>
      </c>
      <c r="H627" s="5" t="str">
        <f>IF(A627="", "", IF(OR(AND(Recruiting_Data!N627&lt;&gt;"", Recruiting_Data!J627&lt;&gt;"", Recruiting_Data!N627&lt;Recruiting_Data!J627), AND(Recruiting_Data!M627&lt;&gt;"", Recruiting_Data!L627&lt;&gt;"", Recruiting_Data!M627&lt;Recruiting_Data!L627), AND(Recruiting_Data!L627&lt;&gt;"", Recruiting_Data!K627&lt;&gt;"", Recruiting_Data!L627&lt;Recruiting_Data!K627)), TRUE, FALSE))</f>
        <v/>
      </c>
    </row>
    <row r="628">
      <c r="A628" s="5" t="str">
        <f>IF(Recruiting_Data!A628="", "", Recruiting_Data!A628)</f>
        <v/>
      </c>
      <c r="B628" s="5" t="str">
        <f>IF(Recruiting_Data!B628="", "", Recruiting_Data!B628)</f>
        <v/>
      </c>
      <c r="C628" s="5" t="str">
        <f>IF(AND(ISNUMBER(Recruiting_Data!N628), ISNUMBER(Recruiting_Data!P628)), Recruiting_Data!N628 - Recruiting_Data!P628, "")</f>
        <v/>
      </c>
      <c r="E628" s="5" t="str">
        <f>IF(Recruiting_Data!R628="Open", TODAY() - Recruiting_Data!P628, "")</f>
        <v/>
      </c>
      <c r="F628" s="8" t="str">
        <f t="shared" si="1"/>
        <v/>
      </c>
      <c r="G628" s="5" t="str">
        <f>IF(A628="", "", IF(COUNTIF(Recruiting_Data!A:A, A628)&gt;1, TRUE, FALSE))</f>
        <v/>
      </c>
      <c r="H628" s="5" t="str">
        <f>IF(A628="", "", IF(OR(AND(Recruiting_Data!N628&lt;&gt;"", Recruiting_Data!J628&lt;&gt;"", Recruiting_Data!N628&lt;Recruiting_Data!J628), AND(Recruiting_Data!M628&lt;&gt;"", Recruiting_Data!L628&lt;&gt;"", Recruiting_Data!M628&lt;Recruiting_Data!L628), AND(Recruiting_Data!L628&lt;&gt;"", Recruiting_Data!K628&lt;&gt;"", Recruiting_Data!L628&lt;Recruiting_Data!K628)), TRUE, FALSE))</f>
        <v/>
      </c>
    </row>
    <row r="629">
      <c r="A629" s="5" t="str">
        <f>IF(Recruiting_Data!A629="", "", Recruiting_Data!A629)</f>
        <v/>
      </c>
      <c r="B629" s="5" t="str">
        <f>IF(Recruiting_Data!B629="", "", Recruiting_Data!B629)</f>
        <v/>
      </c>
      <c r="C629" s="5" t="str">
        <f>IF(AND(ISNUMBER(Recruiting_Data!N629), ISNUMBER(Recruiting_Data!P629)), Recruiting_Data!N629 - Recruiting_Data!P629, "")</f>
        <v/>
      </c>
      <c r="E629" s="5" t="str">
        <f>IF(Recruiting_Data!R629="Open", TODAY() - Recruiting_Data!P629, "")</f>
        <v/>
      </c>
      <c r="F629" s="8" t="str">
        <f t="shared" si="1"/>
        <v/>
      </c>
      <c r="G629" s="5" t="str">
        <f>IF(A629="", "", IF(COUNTIF(Recruiting_Data!A:A, A629)&gt;1, TRUE, FALSE))</f>
        <v/>
      </c>
      <c r="H629" s="5" t="str">
        <f>IF(A629="", "", IF(OR(AND(Recruiting_Data!N629&lt;&gt;"", Recruiting_Data!J629&lt;&gt;"", Recruiting_Data!N629&lt;Recruiting_Data!J629), AND(Recruiting_Data!M629&lt;&gt;"", Recruiting_Data!L629&lt;&gt;"", Recruiting_Data!M629&lt;Recruiting_Data!L629), AND(Recruiting_Data!L629&lt;&gt;"", Recruiting_Data!K629&lt;&gt;"", Recruiting_Data!L629&lt;Recruiting_Data!K629)), TRUE, FALSE))</f>
        <v/>
      </c>
    </row>
    <row r="630">
      <c r="A630" s="5" t="str">
        <f>IF(Recruiting_Data!A630="", "", Recruiting_Data!A630)</f>
        <v/>
      </c>
      <c r="B630" s="5" t="str">
        <f>IF(Recruiting_Data!B630="", "", Recruiting_Data!B630)</f>
        <v/>
      </c>
      <c r="C630" s="5" t="str">
        <f>IF(AND(ISNUMBER(Recruiting_Data!N630), ISNUMBER(Recruiting_Data!P630)), Recruiting_Data!N630 - Recruiting_Data!P630, "")</f>
        <v/>
      </c>
      <c r="E630" s="5" t="str">
        <f>IF(Recruiting_Data!R630="Open", TODAY() - Recruiting_Data!P630, "")</f>
        <v/>
      </c>
      <c r="F630" s="8" t="str">
        <f t="shared" si="1"/>
        <v/>
      </c>
      <c r="G630" s="5" t="str">
        <f>IF(A630="", "", IF(COUNTIF(Recruiting_Data!A:A, A630)&gt;1, TRUE, FALSE))</f>
        <v/>
      </c>
      <c r="H630" s="5" t="str">
        <f>IF(A630="", "", IF(OR(AND(Recruiting_Data!N630&lt;&gt;"", Recruiting_Data!J630&lt;&gt;"", Recruiting_Data!N630&lt;Recruiting_Data!J630), AND(Recruiting_Data!M630&lt;&gt;"", Recruiting_Data!L630&lt;&gt;"", Recruiting_Data!M630&lt;Recruiting_Data!L630), AND(Recruiting_Data!L630&lt;&gt;"", Recruiting_Data!K630&lt;&gt;"", Recruiting_Data!L630&lt;Recruiting_Data!K630)), TRUE, FALSE))</f>
        <v/>
      </c>
    </row>
    <row r="631">
      <c r="A631" s="5" t="str">
        <f>IF(Recruiting_Data!A631="", "", Recruiting_Data!A631)</f>
        <v/>
      </c>
      <c r="B631" s="5" t="str">
        <f>IF(Recruiting_Data!B631="", "", Recruiting_Data!B631)</f>
        <v/>
      </c>
      <c r="C631" s="5" t="str">
        <f>IF(AND(ISNUMBER(Recruiting_Data!N631), ISNUMBER(Recruiting_Data!P631)), Recruiting_Data!N631 - Recruiting_Data!P631, "")</f>
        <v/>
      </c>
      <c r="E631" s="5" t="str">
        <f>IF(Recruiting_Data!R631="Open", TODAY() - Recruiting_Data!P631, "")</f>
        <v/>
      </c>
      <c r="F631" s="8" t="str">
        <f t="shared" si="1"/>
        <v/>
      </c>
      <c r="G631" s="5" t="str">
        <f>IF(A631="", "", IF(COUNTIF(Recruiting_Data!A:A, A631)&gt;1, TRUE, FALSE))</f>
        <v/>
      </c>
      <c r="H631" s="5" t="str">
        <f>IF(A631="", "", IF(OR(AND(Recruiting_Data!N631&lt;&gt;"", Recruiting_Data!J631&lt;&gt;"", Recruiting_Data!N631&lt;Recruiting_Data!J631), AND(Recruiting_Data!M631&lt;&gt;"", Recruiting_Data!L631&lt;&gt;"", Recruiting_Data!M631&lt;Recruiting_Data!L631), AND(Recruiting_Data!L631&lt;&gt;"", Recruiting_Data!K631&lt;&gt;"", Recruiting_Data!L631&lt;Recruiting_Data!K631)), TRUE, FALSE))</f>
        <v/>
      </c>
    </row>
    <row r="632">
      <c r="A632" s="5" t="str">
        <f>IF(Recruiting_Data!A632="", "", Recruiting_Data!A632)</f>
        <v/>
      </c>
      <c r="B632" s="5" t="str">
        <f>IF(Recruiting_Data!B632="", "", Recruiting_Data!B632)</f>
        <v/>
      </c>
      <c r="C632" s="5" t="str">
        <f>IF(AND(ISNUMBER(Recruiting_Data!N632), ISNUMBER(Recruiting_Data!P632)), Recruiting_Data!N632 - Recruiting_Data!P632, "")</f>
        <v/>
      </c>
      <c r="E632" s="5" t="str">
        <f>IF(Recruiting_Data!R632="Open", TODAY() - Recruiting_Data!P632, "")</f>
        <v/>
      </c>
      <c r="F632" s="8" t="str">
        <f t="shared" si="1"/>
        <v/>
      </c>
      <c r="G632" s="5" t="str">
        <f>IF(A632="", "", IF(COUNTIF(Recruiting_Data!A:A, A632)&gt;1, TRUE, FALSE))</f>
        <v/>
      </c>
      <c r="H632" s="5" t="str">
        <f>IF(A632="", "", IF(OR(AND(Recruiting_Data!N632&lt;&gt;"", Recruiting_Data!J632&lt;&gt;"", Recruiting_Data!N632&lt;Recruiting_Data!J632), AND(Recruiting_Data!M632&lt;&gt;"", Recruiting_Data!L632&lt;&gt;"", Recruiting_Data!M632&lt;Recruiting_Data!L632), AND(Recruiting_Data!L632&lt;&gt;"", Recruiting_Data!K632&lt;&gt;"", Recruiting_Data!L632&lt;Recruiting_Data!K632)), TRUE, FALSE))</f>
        <v/>
      </c>
    </row>
    <row r="633">
      <c r="A633" s="5" t="str">
        <f>IF(Recruiting_Data!A633="", "", Recruiting_Data!A633)</f>
        <v/>
      </c>
      <c r="B633" s="5" t="str">
        <f>IF(Recruiting_Data!B633="", "", Recruiting_Data!B633)</f>
        <v/>
      </c>
      <c r="C633" s="5" t="str">
        <f>IF(AND(ISNUMBER(Recruiting_Data!N633), ISNUMBER(Recruiting_Data!P633)), Recruiting_Data!N633 - Recruiting_Data!P633, "")</f>
        <v/>
      </c>
      <c r="E633" s="5" t="str">
        <f>IF(Recruiting_Data!R633="Open", TODAY() - Recruiting_Data!P633, "")</f>
        <v/>
      </c>
      <c r="F633" s="8" t="str">
        <f t="shared" si="1"/>
        <v/>
      </c>
      <c r="G633" s="5" t="str">
        <f>IF(A633="", "", IF(COUNTIF(Recruiting_Data!A:A, A633)&gt;1, TRUE, FALSE))</f>
        <v/>
      </c>
      <c r="H633" s="5" t="str">
        <f>IF(A633="", "", IF(OR(AND(Recruiting_Data!N633&lt;&gt;"", Recruiting_Data!J633&lt;&gt;"", Recruiting_Data!N633&lt;Recruiting_Data!J633), AND(Recruiting_Data!M633&lt;&gt;"", Recruiting_Data!L633&lt;&gt;"", Recruiting_Data!M633&lt;Recruiting_Data!L633), AND(Recruiting_Data!L633&lt;&gt;"", Recruiting_Data!K633&lt;&gt;"", Recruiting_Data!L633&lt;Recruiting_Data!K633)), TRUE, FALSE))</f>
        <v/>
      </c>
    </row>
    <row r="634">
      <c r="A634" s="5" t="str">
        <f>IF(Recruiting_Data!A634="", "", Recruiting_Data!A634)</f>
        <v/>
      </c>
      <c r="B634" s="5" t="str">
        <f>IF(Recruiting_Data!B634="", "", Recruiting_Data!B634)</f>
        <v/>
      </c>
      <c r="C634" s="5" t="str">
        <f>IF(AND(ISNUMBER(Recruiting_Data!N634), ISNUMBER(Recruiting_Data!P634)), Recruiting_Data!N634 - Recruiting_Data!P634, "")</f>
        <v/>
      </c>
      <c r="E634" s="5" t="str">
        <f>IF(Recruiting_Data!R634="Open", TODAY() - Recruiting_Data!P634, "")</f>
        <v/>
      </c>
      <c r="F634" s="8" t="str">
        <f t="shared" si="1"/>
        <v/>
      </c>
      <c r="G634" s="5" t="str">
        <f>IF(A634="", "", IF(COUNTIF(Recruiting_Data!A:A, A634)&gt;1, TRUE, FALSE))</f>
        <v/>
      </c>
      <c r="H634" s="5" t="str">
        <f>IF(A634="", "", IF(OR(AND(Recruiting_Data!N634&lt;&gt;"", Recruiting_Data!J634&lt;&gt;"", Recruiting_Data!N634&lt;Recruiting_Data!J634), AND(Recruiting_Data!M634&lt;&gt;"", Recruiting_Data!L634&lt;&gt;"", Recruiting_Data!M634&lt;Recruiting_Data!L634), AND(Recruiting_Data!L634&lt;&gt;"", Recruiting_Data!K634&lt;&gt;"", Recruiting_Data!L634&lt;Recruiting_Data!K634)), TRUE, FALSE))</f>
        <v/>
      </c>
    </row>
    <row r="635">
      <c r="A635" s="5" t="str">
        <f>IF(Recruiting_Data!A635="", "", Recruiting_Data!A635)</f>
        <v/>
      </c>
      <c r="B635" s="5" t="str">
        <f>IF(Recruiting_Data!B635="", "", Recruiting_Data!B635)</f>
        <v/>
      </c>
      <c r="C635" s="5" t="str">
        <f>IF(AND(ISNUMBER(Recruiting_Data!N635), ISNUMBER(Recruiting_Data!P635)), Recruiting_Data!N635 - Recruiting_Data!P635, "")</f>
        <v/>
      </c>
      <c r="E635" s="5" t="str">
        <f>IF(Recruiting_Data!R635="Open", TODAY() - Recruiting_Data!P635, "")</f>
        <v/>
      </c>
      <c r="F635" s="8" t="str">
        <f t="shared" si="1"/>
        <v/>
      </c>
      <c r="G635" s="5" t="str">
        <f>IF(A635="", "", IF(COUNTIF(Recruiting_Data!A:A, A635)&gt;1, TRUE, FALSE))</f>
        <v/>
      </c>
      <c r="H635" s="5" t="str">
        <f>IF(A635="", "", IF(OR(AND(Recruiting_Data!N635&lt;&gt;"", Recruiting_Data!J635&lt;&gt;"", Recruiting_Data!N635&lt;Recruiting_Data!J635), AND(Recruiting_Data!M635&lt;&gt;"", Recruiting_Data!L635&lt;&gt;"", Recruiting_Data!M635&lt;Recruiting_Data!L635), AND(Recruiting_Data!L635&lt;&gt;"", Recruiting_Data!K635&lt;&gt;"", Recruiting_Data!L635&lt;Recruiting_Data!K635)), TRUE, FALSE))</f>
        <v/>
      </c>
    </row>
    <row r="636">
      <c r="A636" s="5" t="str">
        <f>IF(Recruiting_Data!A636="", "", Recruiting_Data!A636)</f>
        <v/>
      </c>
      <c r="B636" s="5" t="str">
        <f>IF(Recruiting_Data!B636="", "", Recruiting_Data!B636)</f>
        <v/>
      </c>
      <c r="C636" s="5" t="str">
        <f>IF(AND(ISNUMBER(Recruiting_Data!N636), ISNUMBER(Recruiting_Data!P636)), Recruiting_Data!N636 - Recruiting_Data!P636, "")</f>
        <v/>
      </c>
      <c r="E636" s="5" t="str">
        <f>IF(Recruiting_Data!R636="Open", TODAY() - Recruiting_Data!P636, "")</f>
        <v/>
      </c>
      <c r="F636" s="8" t="str">
        <f t="shared" si="1"/>
        <v/>
      </c>
      <c r="G636" s="5" t="str">
        <f>IF(A636="", "", IF(COUNTIF(Recruiting_Data!A:A, A636)&gt;1, TRUE, FALSE))</f>
        <v/>
      </c>
      <c r="H636" s="5" t="str">
        <f>IF(A636="", "", IF(OR(AND(Recruiting_Data!N636&lt;&gt;"", Recruiting_Data!J636&lt;&gt;"", Recruiting_Data!N636&lt;Recruiting_Data!J636), AND(Recruiting_Data!M636&lt;&gt;"", Recruiting_Data!L636&lt;&gt;"", Recruiting_Data!M636&lt;Recruiting_Data!L636), AND(Recruiting_Data!L636&lt;&gt;"", Recruiting_Data!K636&lt;&gt;"", Recruiting_Data!L636&lt;Recruiting_Data!K636)), TRUE, FALSE))</f>
        <v/>
      </c>
    </row>
    <row r="637">
      <c r="A637" s="5" t="str">
        <f>IF(Recruiting_Data!A637="", "", Recruiting_Data!A637)</f>
        <v/>
      </c>
      <c r="B637" s="5" t="str">
        <f>IF(Recruiting_Data!B637="", "", Recruiting_Data!B637)</f>
        <v/>
      </c>
      <c r="C637" s="5" t="str">
        <f>IF(AND(ISNUMBER(Recruiting_Data!N637), ISNUMBER(Recruiting_Data!P637)), Recruiting_Data!N637 - Recruiting_Data!P637, "")</f>
        <v/>
      </c>
      <c r="E637" s="5" t="str">
        <f>IF(Recruiting_Data!R637="Open", TODAY() - Recruiting_Data!P637, "")</f>
        <v/>
      </c>
      <c r="F637" s="8" t="str">
        <f t="shared" si="1"/>
        <v/>
      </c>
      <c r="G637" s="5" t="str">
        <f>IF(A637="", "", IF(COUNTIF(Recruiting_Data!A:A, A637)&gt;1, TRUE, FALSE))</f>
        <v/>
      </c>
      <c r="H637" s="5" t="str">
        <f>IF(A637="", "", IF(OR(AND(Recruiting_Data!N637&lt;&gt;"", Recruiting_Data!J637&lt;&gt;"", Recruiting_Data!N637&lt;Recruiting_Data!J637), AND(Recruiting_Data!M637&lt;&gt;"", Recruiting_Data!L637&lt;&gt;"", Recruiting_Data!M637&lt;Recruiting_Data!L637), AND(Recruiting_Data!L637&lt;&gt;"", Recruiting_Data!K637&lt;&gt;"", Recruiting_Data!L637&lt;Recruiting_Data!K637)), TRUE, FALSE))</f>
        <v/>
      </c>
    </row>
    <row r="638">
      <c r="A638" s="5" t="str">
        <f>IF(Recruiting_Data!A638="", "", Recruiting_Data!A638)</f>
        <v/>
      </c>
      <c r="B638" s="5" t="str">
        <f>IF(Recruiting_Data!B638="", "", Recruiting_Data!B638)</f>
        <v/>
      </c>
      <c r="C638" s="5" t="str">
        <f>IF(AND(ISNUMBER(Recruiting_Data!N638), ISNUMBER(Recruiting_Data!P638)), Recruiting_Data!N638 - Recruiting_Data!P638, "")</f>
        <v/>
      </c>
      <c r="E638" s="5" t="str">
        <f>IF(Recruiting_Data!R638="Open", TODAY() - Recruiting_Data!P638, "")</f>
        <v/>
      </c>
      <c r="F638" s="8" t="str">
        <f t="shared" si="1"/>
        <v/>
      </c>
      <c r="G638" s="5" t="str">
        <f>IF(A638="", "", IF(COUNTIF(Recruiting_Data!A:A, A638)&gt;1, TRUE, FALSE))</f>
        <v/>
      </c>
      <c r="H638" s="5" t="str">
        <f>IF(A638="", "", IF(OR(AND(Recruiting_Data!N638&lt;&gt;"", Recruiting_Data!J638&lt;&gt;"", Recruiting_Data!N638&lt;Recruiting_Data!J638), AND(Recruiting_Data!M638&lt;&gt;"", Recruiting_Data!L638&lt;&gt;"", Recruiting_Data!M638&lt;Recruiting_Data!L638), AND(Recruiting_Data!L638&lt;&gt;"", Recruiting_Data!K638&lt;&gt;"", Recruiting_Data!L638&lt;Recruiting_Data!K638)), TRUE, FALSE))</f>
        <v/>
      </c>
    </row>
    <row r="639">
      <c r="A639" s="5" t="str">
        <f>IF(Recruiting_Data!A639="", "", Recruiting_Data!A639)</f>
        <v/>
      </c>
      <c r="B639" s="5" t="str">
        <f>IF(Recruiting_Data!B639="", "", Recruiting_Data!B639)</f>
        <v/>
      </c>
      <c r="C639" s="5" t="str">
        <f>IF(AND(ISNUMBER(Recruiting_Data!N639), ISNUMBER(Recruiting_Data!P639)), Recruiting_Data!N639 - Recruiting_Data!P639, "")</f>
        <v/>
      </c>
      <c r="E639" s="5" t="str">
        <f>IF(Recruiting_Data!R639="Open", TODAY() - Recruiting_Data!P639, "")</f>
        <v/>
      </c>
      <c r="F639" s="8" t="str">
        <f t="shared" si="1"/>
        <v/>
      </c>
      <c r="G639" s="5" t="str">
        <f>IF(A639="", "", IF(COUNTIF(Recruiting_Data!A:A, A639)&gt;1, TRUE, FALSE))</f>
        <v/>
      </c>
      <c r="H639" s="5" t="str">
        <f>IF(A639="", "", IF(OR(AND(Recruiting_Data!N639&lt;&gt;"", Recruiting_Data!J639&lt;&gt;"", Recruiting_Data!N639&lt;Recruiting_Data!J639), AND(Recruiting_Data!M639&lt;&gt;"", Recruiting_Data!L639&lt;&gt;"", Recruiting_Data!M639&lt;Recruiting_Data!L639), AND(Recruiting_Data!L639&lt;&gt;"", Recruiting_Data!K639&lt;&gt;"", Recruiting_Data!L639&lt;Recruiting_Data!K639)), TRUE, FALSE))</f>
        <v/>
      </c>
    </row>
    <row r="640">
      <c r="A640" s="5" t="str">
        <f>IF(Recruiting_Data!A640="", "", Recruiting_Data!A640)</f>
        <v/>
      </c>
      <c r="B640" s="5" t="str">
        <f>IF(Recruiting_Data!B640="", "", Recruiting_Data!B640)</f>
        <v/>
      </c>
      <c r="C640" s="5" t="str">
        <f>IF(AND(ISNUMBER(Recruiting_Data!N640), ISNUMBER(Recruiting_Data!P640)), Recruiting_Data!N640 - Recruiting_Data!P640, "")</f>
        <v/>
      </c>
      <c r="E640" s="5" t="str">
        <f>IF(Recruiting_Data!R640="Open", TODAY() - Recruiting_Data!P640, "")</f>
        <v/>
      </c>
      <c r="F640" s="8" t="str">
        <f t="shared" si="1"/>
        <v/>
      </c>
      <c r="G640" s="5" t="str">
        <f>IF(A640="", "", IF(COUNTIF(Recruiting_Data!A:A, A640)&gt;1, TRUE, FALSE))</f>
        <v/>
      </c>
      <c r="H640" s="5" t="str">
        <f>IF(A640="", "", IF(OR(AND(Recruiting_Data!N640&lt;&gt;"", Recruiting_Data!J640&lt;&gt;"", Recruiting_Data!N640&lt;Recruiting_Data!J640), AND(Recruiting_Data!M640&lt;&gt;"", Recruiting_Data!L640&lt;&gt;"", Recruiting_Data!M640&lt;Recruiting_Data!L640), AND(Recruiting_Data!L640&lt;&gt;"", Recruiting_Data!K640&lt;&gt;"", Recruiting_Data!L640&lt;Recruiting_Data!K640)), TRUE, FALSE))</f>
        <v/>
      </c>
    </row>
    <row r="641">
      <c r="A641" s="5" t="str">
        <f>IF(Recruiting_Data!A641="", "", Recruiting_Data!A641)</f>
        <v/>
      </c>
      <c r="B641" s="5" t="str">
        <f>IF(Recruiting_Data!B641="", "", Recruiting_Data!B641)</f>
        <v/>
      </c>
      <c r="C641" s="5" t="str">
        <f>IF(AND(ISNUMBER(Recruiting_Data!N641), ISNUMBER(Recruiting_Data!P641)), Recruiting_Data!N641 - Recruiting_Data!P641, "")</f>
        <v/>
      </c>
      <c r="E641" s="5" t="str">
        <f>IF(Recruiting_Data!R641="Open", TODAY() - Recruiting_Data!P641, "")</f>
        <v/>
      </c>
      <c r="F641" s="8" t="str">
        <f t="shared" si="1"/>
        <v/>
      </c>
      <c r="G641" s="5" t="str">
        <f>IF(A641="", "", IF(COUNTIF(Recruiting_Data!A:A, A641)&gt;1, TRUE, FALSE))</f>
        <v/>
      </c>
      <c r="H641" s="5" t="str">
        <f>IF(A641="", "", IF(OR(AND(Recruiting_Data!N641&lt;&gt;"", Recruiting_Data!J641&lt;&gt;"", Recruiting_Data!N641&lt;Recruiting_Data!J641), AND(Recruiting_Data!M641&lt;&gt;"", Recruiting_Data!L641&lt;&gt;"", Recruiting_Data!M641&lt;Recruiting_Data!L641), AND(Recruiting_Data!L641&lt;&gt;"", Recruiting_Data!K641&lt;&gt;"", Recruiting_Data!L641&lt;Recruiting_Data!K641)), TRUE, FALSE))</f>
        <v/>
      </c>
    </row>
    <row r="642">
      <c r="A642" s="5" t="str">
        <f>IF(Recruiting_Data!A642="", "", Recruiting_Data!A642)</f>
        <v/>
      </c>
      <c r="B642" s="5" t="str">
        <f>IF(Recruiting_Data!B642="", "", Recruiting_Data!B642)</f>
        <v/>
      </c>
      <c r="C642" s="5" t="str">
        <f>IF(AND(ISNUMBER(Recruiting_Data!N642), ISNUMBER(Recruiting_Data!P642)), Recruiting_Data!N642 - Recruiting_Data!P642, "")</f>
        <v/>
      </c>
      <c r="E642" s="5" t="str">
        <f>IF(Recruiting_Data!R642="Open", TODAY() - Recruiting_Data!P642, "")</f>
        <v/>
      </c>
      <c r="F642" s="8" t="str">
        <f t="shared" si="1"/>
        <v/>
      </c>
      <c r="G642" s="5" t="str">
        <f>IF(A642="", "", IF(COUNTIF(Recruiting_Data!A:A, A642)&gt;1, TRUE, FALSE))</f>
        <v/>
      </c>
      <c r="H642" s="5" t="str">
        <f>IF(A642="", "", IF(OR(AND(Recruiting_Data!N642&lt;&gt;"", Recruiting_Data!J642&lt;&gt;"", Recruiting_Data!N642&lt;Recruiting_Data!J642), AND(Recruiting_Data!M642&lt;&gt;"", Recruiting_Data!L642&lt;&gt;"", Recruiting_Data!M642&lt;Recruiting_Data!L642), AND(Recruiting_Data!L642&lt;&gt;"", Recruiting_Data!K642&lt;&gt;"", Recruiting_Data!L642&lt;Recruiting_Data!K642)), TRUE, FALSE))</f>
        <v/>
      </c>
    </row>
    <row r="643">
      <c r="A643" s="5" t="str">
        <f>IF(Recruiting_Data!A643="", "", Recruiting_Data!A643)</f>
        <v/>
      </c>
      <c r="B643" s="5" t="str">
        <f>IF(Recruiting_Data!B643="", "", Recruiting_Data!B643)</f>
        <v/>
      </c>
      <c r="C643" s="5" t="str">
        <f>IF(AND(ISNUMBER(Recruiting_Data!N643), ISNUMBER(Recruiting_Data!P643)), Recruiting_Data!N643 - Recruiting_Data!P643, "")</f>
        <v/>
      </c>
      <c r="E643" s="5" t="str">
        <f>IF(Recruiting_Data!R643="Open", TODAY() - Recruiting_Data!P643, "")</f>
        <v/>
      </c>
      <c r="F643" s="8" t="str">
        <f t="shared" si="1"/>
        <v/>
      </c>
      <c r="G643" s="5" t="str">
        <f>IF(A643="", "", IF(COUNTIF(Recruiting_Data!A:A, A643)&gt;1, TRUE, FALSE))</f>
        <v/>
      </c>
      <c r="H643" s="5" t="str">
        <f>IF(A643="", "", IF(OR(AND(Recruiting_Data!N643&lt;&gt;"", Recruiting_Data!J643&lt;&gt;"", Recruiting_Data!N643&lt;Recruiting_Data!J643), AND(Recruiting_Data!M643&lt;&gt;"", Recruiting_Data!L643&lt;&gt;"", Recruiting_Data!M643&lt;Recruiting_Data!L643), AND(Recruiting_Data!L643&lt;&gt;"", Recruiting_Data!K643&lt;&gt;"", Recruiting_Data!L643&lt;Recruiting_Data!K643)), TRUE, FALSE))</f>
        <v/>
      </c>
    </row>
    <row r="644">
      <c r="A644" s="5" t="str">
        <f>IF(Recruiting_Data!A644="", "", Recruiting_Data!A644)</f>
        <v/>
      </c>
      <c r="B644" s="5" t="str">
        <f>IF(Recruiting_Data!B644="", "", Recruiting_Data!B644)</f>
        <v/>
      </c>
      <c r="C644" s="5" t="str">
        <f>IF(AND(ISNUMBER(Recruiting_Data!N644), ISNUMBER(Recruiting_Data!P644)), Recruiting_Data!N644 - Recruiting_Data!P644, "")</f>
        <v/>
      </c>
      <c r="E644" s="5" t="str">
        <f>IF(Recruiting_Data!R644="Open", TODAY() - Recruiting_Data!P644, "")</f>
        <v/>
      </c>
      <c r="F644" s="8" t="str">
        <f t="shared" si="1"/>
        <v/>
      </c>
      <c r="G644" s="5" t="str">
        <f>IF(A644="", "", IF(COUNTIF(Recruiting_Data!A:A, A644)&gt;1, TRUE, FALSE))</f>
        <v/>
      </c>
      <c r="H644" s="5" t="str">
        <f>IF(A644="", "", IF(OR(AND(Recruiting_Data!N644&lt;&gt;"", Recruiting_Data!J644&lt;&gt;"", Recruiting_Data!N644&lt;Recruiting_Data!J644), AND(Recruiting_Data!M644&lt;&gt;"", Recruiting_Data!L644&lt;&gt;"", Recruiting_Data!M644&lt;Recruiting_Data!L644), AND(Recruiting_Data!L644&lt;&gt;"", Recruiting_Data!K644&lt;&gt;"", Recruiting_Data!L644&lt;Recruiting_Data!K644)), TRUE, FALSE))</f>
        <v/>
      </c>
    </row>
    <row r="645">
      <c r="A645" s="5" t="str">
        <f>IF(Recruiting_Data!A645="", "", Recruiting_Data!A645)</f>
        <v/>
      </c>
      <c r="B645" s="5" t="str">
        <f>IF(Recruiting_Data!B645="", "", Recruiting_Data!B645)</f>
        <v/>
      </c>
      <c r="C645" s="5" t="str">
        <f>IF(AND(ISNUMBER(Recruiting_Data!N645), ISNUMBER(Recruiting_Data!P645)), Recruiting_Data!N645 - Recruiting_Data!P645, "")</f>
        <v/>
      </c>
      <c r="E645" s="5" t="str">
        <f>IF(Recruiting_Data!R645="Open", TODAY() - Recruiting_Data!P645, "")</f>
        <v/>
      </c>
      <c r="F645" s="8" t="str">
        <f t="shared" si="1"/>
        <v/>
      </c>
      <c r="G645" s="5" t="str">
        <f>IF(A645="", "", IF(COUNTIF(Recruiting_Data!A:A, A645)&gt;1, TRUE, FALSE))</f>
        <v/>
      </c>
      <c r="H645" s="5" t="str">
        <f>IF(A645="", "", IF(OR(AND(Recruiting_Data!N645&lt;&gt;"", Recruiting_Data!J645&lt;&gt;"", Recruiting_Data!N645&lt;Recruiting_Data!J645), AND(Recruiting_Data!M645&lt;&gt;"", Recruiting_Data!L645&lt;&gt;"", Recruiting_Data!M645&lt;Recruiting_Data!L645), AND(Recruiting_Data!L645&lt;&gt;"", Recruiting_Data!K645&lt;&gt;"", Recruiting_Data!L645&lt;Recruiting_Data!K645)), TRUE, FALSE))</f>
        <v/>
      </c>
    </row>
    <row r="646">
      <c r="A646" s="5" t="str">
        <f>IF(Recruiting_Data!A646="", "", Recruiting_Data!A646)</f>
        <v/>
      </c>
      <c r="B646" s="5" t="str">
        <f>IF(Recruiting_Data!B646="", "", Recruiting_Data!B646)</f>
        <v/>
      </c>
      <c r="C646" s="5" t="str">
        <f>IF(AND(ISNUMBER(Recruiting_Data!N646), ISNUMBER(Recruiting_Data!P646)), Recruiting_Data!N646 - Recruiting_Data!P646, "")</f>
        <v/>
      </c>
      <c r="E646" s="5" t="str">
        <f>IF(Recruiting_Data!R646="Open", TODAY() - Recruiting_Data!P646, "")</f>
        <v/>
      </c>
      <c r="F646" s="8" t="str">
        <f t="shared" si="1"/>
        <v/>
      </c>
      <c r="G646" s="5" t="str">
        <f>IF(A646="", "", IF(COUNTIF(Recruiting_Data!A:A, A646)&gt;1, TRUE, FALSE))</f>
        <v/>
      </c>
      <c r="H646" s="5" t="str">
        <f>IF(A646="", "", IF(OR(AND(Recruiting_Data!N646&lt;&gt;"", Recruiting_Data!J646&lt;&gt;"", Recruiting_Data!N646&lt;Recruiting_Data!J646), AND(Recruiting_Data!M646&lt;&gt;"", Recruiting_Data!L646&lt;&gt;"", Recruiting_Data!M646&lt;Recruiting_Data!L646), AND(Recruiting_Data!L646&lt;&gt;"", Recruiting_Data!K646&lt;&gt;"", Recruiting_Data!L646&lt;Recruiting_Data!K646)), TRUE, FALSE))</f>
        <v/>
      </c>
    </row>
    <row r="647">
      <c r="A647" s="5" t="str">
        <f>IF(Recruiting_Data!A647="", "", Recruiting_Data!A647)</f>
        <v/>
      </c>
      <c r="B647" s="5" t="str">
        <f>IF(Recruiting_Data!B647="", "", Recruiting_Data!B647)</f>
        <v/>
      </c>
      <c r="C647" s="5" t="str">
        <f>IF(AND(ISNUMBER(Recruiting_Data!N647), ISNUMBER(Recruiting_Data!P647)), Recruiting_Data!N647 - Recruiting_Data!P647, "")</f>
        <v/>
      </c>
      <c r="E647" s="5" t="str">
        <f>IF(Recruiting_Data!R647="Open", TODAY() - Recruiting_Data!P647, "")</f>
        <v/>
      </c>
      <c r="F647" s="8" t="str">
        <f t="shared" si="1"/>
        <v/>
      </c>
      <c r="G647" s="5" t="str">
        <f>IF(A647="", "", IF(COUNTIF(Recruiting_Data!A:A, A647)&gt;1, TRUE, FALSE))</f>
        <v/>
      </c>
      <c r="H647" s="5" t="str">
        <f>IF(A647="", "", IF(OR(AND(Recruiting_Data!N647&lt;&gt;"", Recruiting_Data!J647&lt;&gt;"", Recruiting_Data!N647&lt;Recruiting_Data!J647), AND(Recruiting_Data!M647&lt;&gt;"", Recruiting_Data!L647&lt;&gt;"", Recruiting_Data!M647&lt;Recruiting_Data!L647), AND(Recruiting_Data!L647&lt;&gt;"", Recruiting_Data!K647&lt;&gt;"", Recruiting_Data!L647&lt;Recruiting_Data!K647)), TRUE, FALSE))</f>
        <v/>
      </c>
    </row>
    <row r="648">
      <c r="A648" s="5" t="str">
        <f>IF(Recruiting_Data!A648="", "", Recruiting_Data!A648)</f>
        <v/>
      </c>
      <c r="B648" s="5" t="str">
        <f>IF(Recruiting_Data!B648="", "", Recruiting_Data!B648)</f>
        <v/>
      </c>
      <c r="C648" s="5" t="str">
        <f>IF(AND(ISNUMBER(Recruiting_Data!N648), ISNUMBER(Recruiting_Data!P648)), Recruiting_Data!N648 - Recruiting_Data!P648, "")</f>
        <v/>
      </c>
      <c r="E648" s="5" t="str">
        <f>IF(Recruiting_Data!R648="Open", TODAY() - Recruiting_Data!P648, "")</f>
        <v/>
      </c>
      <c r="F648" s="8" t="str">
        <f t="shared" si="1"/>
        <v/>
      </c>
      <c r="G648" s="5" t="str">
        <f>IF(A648="", "", IF(COUNTIF(Recruiting_Data!A:A, A648)&gt;1, TRUE, FALSE))</f>
        <v/>
      </c>
      <c r="H648" s="5" t="str">
        <f>IF(A648="", "", IF(OR(AND(Recruiting_Data!N648&lt;&gt;"", Recruiting_Data!J648&lt;&gt;"", Recruiting_Data!N648&lt;Recruiting_Data!J648), AND(Recruiting_Data!M648&lt;&gt;"", Recruiting_Data!L648&lt;&gt;"", Recruiting_Data!M648&lt;Recruiting_Data!L648), AND(Recruiting_Data!L648&lt;&gt;"", Recruiting_Data!K648&lt;&gt;"", Recruiting_Data!L648&lt;Recruiting_Data!K648)), TRUE, FALSE))</f>
        <v/>
      </c>
    </row>
    <row r="649">
      <c r="A649" s="5" t="str">
        <f>IF(Recruiting_Data!A649="", "", Recruiting_Data!A649)</f>
        <v/>
      </c>
      <c r="B649" s="5" t="str">
        <f>IF(Recruiting_Data!B649="", "", Recruiting_Data!B649)</f>
        <v/>
      </c>
      <c r="C649" s="5" t="str">
        <f>IF(AND(ISNUMBER(Recruiting_Data!N649), ISNUMBER(Recruiting_Data!P649)), Recruiting_Data!N649 - Recruiting_Data!P649, "")</f>
        <v/>
      </c>
      <c r="E649" s="5" t="str">
        <f>IF(Recruiting_Data!R649="Open", TODAY() - Recruiting_Data!P649, "")</f>
        <v/>
      </c>
      <c r="F649" s="8" t="str">
        <f t="shared" si="1"/>
        <v/>
      </c>
      <c r="G649" s="5" t="str">
        <f>IF(A649="", "", IF(COUNTIF(Recruiting_Data!A:A, A649)&gt;1, TRUE, FALSE))</f>
        <v/>
      </c>
      <c r="H649" s="5" t="str">
        <f>IF(A649="", "", IF(OR(AND(Recruiting_Data!N649&lt;&gt;"", Recruiting_Data!J649&lt;&gt;"", Recruiting_Data!N649&lt;Recruiting_Data!J649), AND(Recruiting_Data!M649&lt;&gt;"", Recruiting_Data!L649&lt;&gt;"", Recruiting_Data!M649&lt;Recruiting_Data!L649), AND(Recruiting_Data!L649&lt;&gt;"", Recruiting_Data!K649&lt;&gt;"", Recruiting_Data!L649&lt;Recruiting_Data!K649)), TRUE, FALSE))</f>
        <v/>
      </c>
    </row>
    <row r="650">
      <c r="A650" s="5" t="str">
        <f>IF(Recruiting_Data!A650="", "", Recruiting_Data!A650)</f>
        <v/>
      </c>
      <c r="B650" s="5" t="str">
        <f>IF(Recruiting_Data!B650="", "", Recruiting_Data!B650)</f>
        <v/>
      </c>
      <c r="C650" s="5" t="str">
        <f>IF(AND(ISNUMBER(Recruiting_Data!N650), ISNUMBER(Recruiting_Data!P650)), Recruiting_Data!N650 - Recruiting_Data!P650, "")</f>
        <v/>
      </c>
      <c r="E650" s="5" t="str">
        <f>IF(Recruiting_Data!R650="Open", TODAY() - Recruiting_Data!P650, "")</f>
        <v/>
      </c>
      <c r="F650" s="8" t="str">
        <f t="shared" si="1"/>
        <v/>
      </c>
      <c r="G650" s="5" t="str">
        <f>IF(A650="", "", IF(COUNTIF(Recruiting_Data!A:A, A650)&gt;1, TRUE, FALSE))</f>
        <v/>
      </c>
      <c r="H650" s="5" t="str">
        <f>IF(A650="", "", IF(OR(AND(Recruiting_Data!N650&lt;&gt;"", Recruiting_Data!J650&lt;&gt;"", Recruiting_Data!N650&lt;Recruiting_Data!J650), AND(Recruiting_Data!M650&lt;&gt;"", Recruiting_Data!L650&lt;&gt;"", Recruiting_Data!M650&lt;Recruiting_Data!L650), AND(Recruiting_Data!L650&lt;&gt;"", Recruiting_Data!K650&lt;&gt;"", Recruiting_Data!L650&lt;Recruiting_Data!K650)), TRUE, FALSE))</f>
        <v/>
      </c>
    </row>
    <row r="651">
      <c r="A651" s="5" t="str">
        <f>IF(Recruiting_Data!A651="", "", Recruiting_Data!A651)</f>
        <v/>
      </c>
      <c r="B651" s="5" t="str">
        <f>IF(Recruiting_Data!B651="", "", Recruiting_Data!B651)</f>
        <v/>
      </c>
      <c r="C651" s="5" t="str">
        <f>IF(AND(ISNUMBER(Recruiting_Data!N651), ISNUMBER(Recruiting_Data!P651)), Recruiting_Data!N651 - Recruiting_Data!P651, "")</f>
        <v/>
      </c>
      <c r="E651" s="5" t="str">
        <f>IF(Recruiting_Data!R651="Open", TODAY() - Recruiting_Data!P651, "")</f>
        <v/>
      </c>
      <c r="F651" s="8" t="str">
        <f t="shared" si="1"/>
        <v/>
      </c>
      <c r="G651" s="5" t="str">
        <f>IF(A651="", "", IF(COUNTIF(Recruiting_Data!A:A, A651)&gt;1, TRUE, FALSE))</f>
        <v/>
      </c>
      <c r="H651" s="5" t="str">
        <f>IF(A651="", "", IF(OR(AND(Recruiting_Data!N651&lt;&gt;"", Recruiting_Data!J651&lt;&gt;"", Recruiting_Data!N651&lt;Recruiting_Data!J651), AND(Recruiting_Data!M651&lt;&gt;"", Recruiting_Data!L651&lt;&gt;"", Recruiting_Data!M651&lt;Recruiting_Data!L651), AND(Recruiting_Data!L651&lt;&gt;"", Recruiting_Data!K651&lt;&gt;"", Recruiting_Data!L651&lt;Recruiting_Data!K651)), TRUE, FALSE))</f>
        <v/>
      </c>
    </row>
    <row r="652">
      <c r="A652" s="5" t="str">
        <f>IF(Recruiting_Data!A652="", "", Recruiting_Data!A652)</f>
        <v/>
      </c>
      <c r="B652" s="5" t="str">
        <f>IF(Recruiting_Data!B652="", "", Recruiting_Data!B652)</f>
        <v/>
      </c>
      <c r="C652" s="5" t="str">
        <f>IF(AND(ISNUMBER(Recruiting_Data!N652), ISNUMBER(Recruiting_Data!P652)), Recruiting_Data!N652 - Recruiting_Data!P652, "")</f>
        <v/>
      </c>
      <c r="E652" s="5" t="str">
        <f>IF(Recruiting_Data!R652="Open", TODAY() - Recruiting_Data!P652, "")</f>
        <v/>
      </c>
      <c r="F652" s="8" t="str">
        <f t="shared" si="1"/>
        <v/>
      </c>
      <c r="G652" s="5" t="str">
        <f>IF(A652="", "", IF(COUNTIF(Recruiting_Data!A:A, A652)&gt;1, TRUE, FALSE))</f>
        <v/>
      </c>
      <c r="H652" s="5" t="str">
        <f>IF(A652="", "", IF(OR(AND(Recruiting_Data!N652&lt;&gt;"", Recruiting_Data!J652&lt;&gt;"", Recruiting_Data!N652&lt;Recruiting_Data!J652), AND(Recruiting_Data!M652&lt;&gt;"", Recruiting_Data!L652&lt;&gt;"", Recruiting_Data!M652&lt;Recruiting_Data!L652), AND(Recruiting_Data!L652&lt;&gt;"", Recruiting_Data!K652&lt;&gt;"", Recruiting_Data!L652&lt;Recruiting_Data!K652)), TRUE, FALSE))</f>
        <v/>
      </c>
    </row>
    <row r="653">
      <c r="A653" s="5" t="str">
        <f>IF(Recruiting_Data!A653="", "", Recruiting_Data!A653)</f>
        <v/>
      </c>
      <c r="B653" s="5" t="str">
        <f>IF(Recruiting_Data!B653="", "", Recruiting_Data!B653)</f>
        <v/>
      </c>
      <c r="C653" s="5" t="str">
        <f>IF(AND(ISNUMBER(Recruiting_Data!N653), ISNUMBER(Recruiting_Data!P653)), Recruiting_Data!N653 - Recruiting_Data!P653, "")</f>
        <v/>
      </c>
      <c r="E653" s="5" t="str">
        <f>IF(Recruiting_Data!R653="Open", TODAY() - Recruiting_Data!P653, "")</f>
        <v/>
      </c>
      <c r="F653" s="8" t="str">
        <f t="shared" si="1"/>
        <v/>
      </c>
      <c r="G653" s="5" t="str">
        <f>IF(A653="", "", IF(COUNTIF(Recruiting_Data!A:A, A653)&gt;1, TRUE, FALSE))</f>
        <v/>
      </c>
      <c r="H653" s="5" t="str">
        <f>IF(A653="", "", IF(OR(AND(Recruiting_Data!N653&lt;&gt;"", Recruiting_Data!J653&lt;&gt;"", Recruiting_Data!N653&lt;Recruiting_Data!J653), AND(Recruiting_Data!M653&lt;&gt;"", Recruiting_Data!L653&lt;&gt;"", Recruiting_Data!M653&lt;Recruiting_Data!L653), AND(Recruiting_Data!L653&lt;&gt;"", Recruiting_Data!K653&lt;&gt;"", Recruiting_Data!L653&lt;Recruiting_Data!K653)), TRUE, FALSE))</f>
        <v/>
      </c>
    </row>
    <row r="654">
      <c r="A654" s="5" t="str">
        <f>IF(Recruiting_Data!A654="", "", Recruiting_Data!A654)</f>
        <v/>
      </c>
      <c r="B654" s="5" t="str">
        <f>IF(Recruiting_Data!B654="", "", Recruiting_Data!B654)</f>
        <v/>
      </c>
      <c r="C654" s="5" t="str">
        <f>IF(AND(ISNUMBER(Recruiting_Data!N654), ISNUMBER(Recruiting_Data!P654)), Recruiting_Data!N654 - Recruiting_Data!P654, "")</f>
        <v/>
      </c>
      <c r="E654" s="5" t="str">
        <f>IF(Recruiting_Data!R654="Open", TODAY() - Recruiting_Data!P654, "")</f>
        <v/>
      </c>
      <c r="F654" s="8" t="str">
        <f t="shared" si="1"/>
        <v/>
      </c>
      <c r="G654" s="5" t="str">
        <f>IF(A654="", "", IF(COUNTIF(Recruiting_Data!A:A, A654)&gt;1, TRUE, FALSE))</f>
        <v/>
      </c>
      <c r="H654" s="5" t="str">
        <f>IF(A654="", "", IF(OR(AND(Recruiting_Data!N654&lt;&gt;"", Recruiting_Data!J654&lt;&gt;"", Recruiting_Data!N654&lt;Recruiting_Data!J654), AND(Recruiting_Data!M654&lt;&gt;"", Recruiting_Data!L654&lt;&gt;"", Recruiting_Data!M654&lt;Recruiting_Data!L654), AND(Recruiting_Data!L654&lt;&gt;"", Recruiting_Data!K654&lt;&gt;"", Recruiting_Data!L654&lt;Recruiting_Data!K654)), TRUE, FALSE))</f>
        <v/>
      </c>
    </row>
    <row r="655">
      <c r="A655" s="5" t="str">
        <f>IF(Recruiting_Data!A655="", "", Recruiting_Data!A655)</f>
        <v/>
      </c>
      <c r="B655" s="5" t="str">
        <f>IF(Recruiting_Data!B655="", "", Recruiting_Data!B655)</f>
        <v/>
      </c>
      <c r="C655" s="5" t="str">
        <f>IF(AND(ISNUMBER(Recruiting_Data!N655), ISNUMBER(Recruiting_Data!P655)), Recruiting_Data!N655 - Recruiting_Data!P655, "")</f>
        <v/>
      </c>
      <c r="E655" s="5" t="str">
        <f>IF(Recruiting_Data!R655="Open", TODAY() - Recruiting_Data!P655, "")</f>
        <v/>
      </c>
      <c r="F655" s="8" t="str">
        <f t="shared" si="1"/>
        <v/>
      </c>
      <c r="G655" s="5" t="str">
        <f>IF(A655="", "", IF(COUNTIF(Recruiting_Data!A:A, A655)&gt;1, TRUE, FALSE))</f>
        <v/>
      </c>
      <c r="H655" s="5" t="str">
        <f>IF(A655="", "", IF(OR(AND(Recruiting_Data!N655&lt;&gt;"", Recruiting_Data!J655&lt;&gt;"", Recruiting_Data!N655&lt;Recruiting_Data!J655), AND(Recruiting_Data!M655&lt;&gt;"", Recruiting_Data!L655&lt;&gt;"", Recruiting_Data!M655&lt;Recruiting_Data!L655), AND(Recruiting_Data!L655&lt;&gt;"", Recruiting_Data!K655&lt;&gt;"", Recruiting_Data!L655&lt;Recruiting_Data!K655)), TRUE, FALSE))</f>
        <v/>
      </c>
    </row>
    <row r="656">
      <c r="A656" s="5" t="str">
        <f>IF(Recruiting_Data!A656="", "", Recruiting_Data!A656)</f>
        <v/>
      </c>
      <c r="B656" s="5" t="str">
        <f>IF(Recruiting_Data!B656="", "", Recruiting_Data!B656)</f>
        <v/>
      </c>
      <c r="C656" s="5" t="str">
        <f>IF(AND(ISNUMBER(Recruiting_Data!N656), ISNUMBER(Recruiting_Data!P656)), Recruiting_Data!N656 - Recruiting_Data!P656, "")</f>
        <v/>
      </c>
      <c r="E656" s="5" t="str">
        <f>IF(Recruiting_Data!R656="Open", TODAY() - Recruiting_Data!P656, "")</f>
        <v/>
      </c>
      <c r="F656" s="8" t="str">
        <f t="shared" si="1"/>
        <v/>
      </c>
      <c r="G656" s="5" t="str">
        <f>IF(A656="", "", IF(COUNTIF(Recruiting_Data!A:A, A656)&gt;1, TRUE, FALSE))</f>
        <v/>
      </c>
      <c r="H656" s="5" t="str">
        <f>IF(A656="", "", IF(OR(AND(Recruiting_Data!N656&lt;&gt;"", Recruiting_Data!J656&lt;&gt;"", Recruiting_Data!N656&lt;Recruiting_Data!J656), AND(Recruiting_Data!M656&lt;&gt;"", Recruiting_Data!L656&lt;&gt;"", Recruiting_Data!M656&lt;Recruiting_Data!L656), AND(Recruiting_Data!L656&lt;&gt;"", Recruiting_Data!K656&lt;&gt;"", Recruiting_Data!L656&lt;Recruiting_Data!K656)), TRUE, FALSE))</f>
        <v/>
      </c>
    </row>
    <row r="657">
      <c r="A657" s="5" t="str">
        <f>IF(Recruiting_Data!A657="", "", Recruiting_Data!A657)</f>
        <v/>
      </c>
      <c r="B657" s="5" t="str">
        <f>IF(Recruiting_Data!B657="", "", Recruiting_Data!B657)</f>
        <v/>
      </c>
      <c r="C657" s="5" t="str">
        <f>IF(AND(ISNUMBER(Recruiting_Data!N657), ISNUMBER(Recruiting_Data!P657)), Recruiting_Data!N657 - Recruiting_Data!P657, "")</f>
        <v/>
      </c>
      <c r="E657" s="5" t="str">
        <f>IF(Recruiting_Data!R657="Open", TODAY() - Recruiting_Data!P657, "")</f>
        <v/>
      </c>
      <c r="F657" s="8" t="str">
        <f t="shared" si="1"/>
        <v/>
      </c>
      <c r="G657" s="5" t="str">
        <f>IF(A657="", "", IF(COUNTIF(Recruiting_Data!A:A, A657)&gt;1, TRUE, FALSE))</f>
        <v/>
      </c>
      <c r="H657" s="5" t="str">
        <f>IF(A657="", "", IF(OR(AND(Recruiting_Data!N657&lt;&gt;"", Recruiting_Data!J657&lt;&gt;"", Recruiting_Data!N657&lt;Recruiting_Data!J657), AND(Recruiting_Data!M657&lt;&gt;"", Recruiting_Data!L657&lt;&gt;"", Recruiting_Data!M657&lt;Recruiting_Data!L657), AND(Recruiting_Data!L657&lt;&gt;"", Recruiting_Data!K657&lt;&gt;"", Recruiting_Data!L657&lt;Recruiting_Data!K657)), TRUE, FALSE))</f>
        <v/>
      </c>
    </row>
    <row r="658">
      <c r="A658" s="5" t="str">
        <f>IF(Recruiting_Data!A658="", "", Recruiting_Data!A658)</f>
        <v/>
      </c>
      <c r="B658" s="5" t="str">
        <f>IF(Recruiting_Data!B658="", "", Recruiting_Data!B658)</f>
        <v/>
      </c>
      <c r="C658" s="5" t="str">
        <f>IF(AND(ISNUMBER(Recruiting_Data!N658), ISNUMBER(Recruiting_Data!P658)), Recruiting_Data!N658 - Recruiting_Data!P658, "")</f>
        <v/>
      </c>
      <c r="E658" s="5" t="str">
        <f>IF(Recruiting_Data!R658="Open", TODAY() - Recruiting_Data!P658, "")</f>
        <v/>
      </c>
      <c r="F658" s="8" t="str">
        <f t="shared" si="1"/>
        <v/>
      </c>
      <c r="G658" s="5" t="str">
        <f>IF(A658="", "", IF(COUNTIF(Recruiting_Data!A:A, A658)&gt;1, TRUE, FALSE))</f>
        <v/>
      </c>
      <c r="H658" s="5" t="str">
        <f>IF(A658="", "", IF(OR(AND(Recruiting_Data!N658&lt;&gt;"", Recruiting_Data!J658&lt;&gt;"", Recruiting_Data!N658&lt;Recruiting_Data!J658), AND(Recruiting_Data!M658&lt;&gt;"", Recruiting_Data!L658&lt;&gt;"", Recruiting_Data!M658&lt;Recruiting_Data!L658), AND(Recruiting_Data!L658&lt;&gt;"", Recruiting_Data!K658&lt;&gt;"", Recruiting_Data!L658&lt;Recruiting_Data!K658)), TRUE, FALSE))</f>
        <v/>
      </c>
    </row>
    <row r="659">
      <c r="A659" s="5" t="str">
        <f>IF(Recruiting_Data!A659="", "", Recruiting_Data!A659)</f>
        <v/>
      </c>
      <c r="B659" s="5" t="str">
        <f>IF(Recruiting_Data!B659="", "", Recruiting_Data!B659)</f>
        <v/>
      </c>
      <c r="C659" s="5" t="str">
        <f>IF(AND(ISNUMBER(Recruiting_Data!N659), ISNUMBER(Recruiting_Data!P659)), Recruiting_Data!N659 - Recruiting_Data!P659, "")</f>
        <v/>
      </c>
      <c r="E659" s="5" t="str">
        <f>IF(Recruiting_Data!R659="Open", TODAY() - Recruiting_Data!P659, "")</f>
        <v/>
      </c>
      <c r="F659" s="8" t="str">
        <f t="shared" si="1"/>
        <v/>
      </c>
      <c r="G659" s="5" t="str">
        <f>IF(A659="", "", IF(COUNTIF(Recruiting_Data!A:A, A659)&gt;1, TRUE, FALSE))</f>
        <v/>
      </c>
      <c r="H659" s="5" t="str">
        <f>IF(A659="", "", IF(OR(AND(Recruiting_Data!N659&lt;&gt;"", Recruiting_Data!J659&lt;&gt;"", Recruiting_Data!N659&lt;Recruiting_Data!J659), AND(Recruiting_Data!M659&lt;&gt;"", Recruiting_Data!L659&lt;&gt;"", Recruiting_Data!M659&lt;Recruiting_Data!L659), AND(Recruiting_Data!L659&lt;&gt;"", Recruiting_Data!K659&lt;&gt;"", Recruiting_Data!L659&lt;Recruiting_Data!K659)), TRUE, FALSE))</f>
        <v/>
      </c>
    </row>
    <row r="660">
      <c r="A660" s="5" t="str">
        <f>IF(Recruiting_Data!A660="", "", Recruiting_Data!A660)</f>
        <v/>
      </c>
      <c r="B660" s="5" t="str">
        <f>IF(Recruiting_Data!B660="", "", Recruiting_Data!B660)</f>
        <v/>
      </c>
      <c r="C660" s="5" t="str">
        <f>IF(AND(ISNUMBER(Recruiting_Data!N660), ISNUMBER(Recruiting_Data!P660)), Recruiting_Data!N660 - Recruiting_Data!P660, "")</f>
        <v/>
      </c>
      <c r="E660" s="5" t="str">
        <f>IF(Recruiting_Data!R660="Open", TODAY() - Recruiting_Data!P660, "")</f>
        <v/>
      </c>
      <c r="F660" s="8" t="str">
        <f t="shared" si="1"/>
        <v/>
      </c>
      <c r="G660" s="5" t="str">
        <f>IF(A660="", "", IF(COUNTIF(Recruiting_Data!A:A, A660)&gt;1, TRUE, FALSE))</f>
        <v/>
      </c>
      <c r="H660" s="5" t="str">
        <f>IF(A660="", "", IF(OR(AND(Recruiting_Data!N660&lt;&gt;"", Recruiting_Data!J660&lt;&gt;"", Recruiting_Data!N660&lt;Recruiting_Data!J660), AND(Recruiting_Data!M660&lt;&gt;"", Recruiting_Data!L660&lt;&gt;"", Recruiting_Data!M660&lt;Recruiting_Data!L660), AND(Recruiting_Data!L660&lt;&gt;"", Recruiting_Data!K660&lt;&gt;"", Recruiting_Data!L660&lt;Recruiting_Data!K660)), TRUE, FALSE))</f>
        <v/>
      </c>
    </row>
    <row r="661">
      <c r="A661" s="5" t="str">
        <f>IF(Recruiting_Data!A661="", "", Recruiting_Data!A661)</f>
        <v/>
      </c>
      <c r="B661" s="5" t="str">
        <f>IF(Recruiting_Data!B661="", "", Recruiting_Data!B661)</f>
        <v/>
      </c>
      <c r="C661" s="5" t="str">
        <f>IF(AND(ISNUMBER(Recruiting_Data!N661), ISNUMBER(Recruiting_Data!P661)), Recruiting_Data!N661 - Recruiting_Data!P661, "")</f>
        <v/>
      </c>
      <c r="E661" s="5" t="str">
        <f>IF(Recruiting_Data!R661="Open", TODAY() - Recruiting_Data!P661, "")</f>
        <v/>
      </c>
      <c r="F661" s="8" t="str">
        <f t="shared" si="1"/>
        <v/>
      </c>
      <c r="G661" s="5" t="str">
        <f>IF(A661="", "", IF(COUNTIF(Recruiting_Data!A:A, A661)&gt;1, TRUE, FALSE))</f>
        <v/>
      </c>
      <c r="H661" s="5" t="str">
        <f>IF(A661="", "", IF(OR(AND(Recruiting_Data!N661&lt;&gt;"", Recruiting_Data!J661&lt;&gt;"", Recruiting_Data!N661&lt;Recruiting_Data!J661), AND(Recruiting_Data!M661&lt;&gt;"", Recruiting_Data!L661&lt;&gt;"", Recruiting_Data!M661&lt;Recruiting_Data!L661), AND(Recruiting_Data!L661&lt;&gt;"", Recruiting_Data!K661&lt;&gt;"", Recruiting_Data!L661&lt;Recruiting_Data!K661)), TRUE, FALSE))</f>
        <v/>
      </c>
    </row>
    <row r="662">
      <c r="A662" s="5" t="str">
        <f>IF(Recruiting_Data!A662="", "", Recruiting_Data!A662)</f>
        <v/>
      </c>
      <c r="B662" s="5" t="str">
        <f>IF(Recruiting_Data!B662="", "", Recruiting_Data!B662)</f>
        <v/>
      </c>
      <c r="C662" s="5" t="str">
        <f>IF(AND(ISNUMBER(Recruiting_Data!N662), ISNUMBER(Recruiting_Data!P662)), Recruiting_Data!N662 - Recruiting_Data!P662, "")</f>
        <v/>
      </c>
      <c r="E662" s="5" t="str">
        <f>IF(Recruiting_Data!R662="Open", TODAY() - Recruiting_Data!P662, "")</f>
        <v/>
      </c>
      <c r="F662" s="8" t="str">
        <f t="shared" si="1"/>
        <v/>
      </c>
      <c r="G662" s="5" t="str">
        <f>IF(A662="", "", IF(COUNTIF(Recruiting_Data!A:A, A662)&gt;1, TRUE, FALSE))</f>
        <v/>
      </c>
      <c r="H662" s="5" t="str">
        <f>IF(A662="", "", IF(OR(AND(Recruiting_Data!N662&lt;&gt;"", Recruiting_Data!J662&lt;&gt;"", Recruiting_Data!N662&lt;Recruiting_Data!J662), AND(Recruiting_Data!M662&lt;&gt;"", Recruiting_Data!L662&lt;&gt;"", Recruiting_Data!M662&lt;Recruiting_Data!L662), AND(Recruiting_Data!L662&lt;&gt;"", Recruiting_Data!K662&lt;&gt;"", Recruiting_Data!L662&lt;Recruiting_Data!K662)), TRUE, FALSE))</f>
        <v/>
      </c>
    </row>
    <row r="663">
      <c r="A663" s="5" t="str">
        <f>IF(Recruiting_Data!A663="", "", Recruiting_Data!A663)</f>
        <v/>
      </c>
      <c r="B663" s="5" t="str">
        <f>IF(Recruiting_Data!B663="", "", Recruiting_Data!B663)</f>
        <v/>
      </c>
      <c r="C663" s="5" t="str">
        <f>IF(AND(ISNUMBER(Recruiting_Data!N663), ISNUMBER(Recruiting_Data!P663)), Recruiting_Data!N663 - Recruiting_Data!P663, "")</f>
        <v/>
      </c>
      <c r="E663" s="5" t="str">
        <f>IF(Recruiting_Data!R663="Open", TODAY() - Recruiting_Data!P663, "")</f>
        <v/>
      </c>
      <c r="F663" s="8" t="str">
        <f t="shared" si="1"/>
        <v/>
      </c>
      <c r="G663" s="5" t="str">
        <f>IF(A663="", "", IF(COUNTIF(Recruiting_Data!A:A, A663)&gt;1, TRUE, FALSE))</f>
        <v/>
      </c>
      <c r="H663" s="5" t="str">
        <f>IF(A663="", "", IF(OR(AND(Recruiting_Data!N663&lt;&gt;"", Recruiting_Data!J663&lt;&gt;"", Recruiting_Data!N663&lt;Recruiting_Data!J663), AND(Recruiting_Data!M663&lt;&gt;"", Recruiting_Data!L663&lt;&gt;"", Recruiting_Data!M663&lt;Recruiting_Data!L663), AND(Recruiting_Data!L663&lt;&gt;"", Recruiting_Data!K663&lt;&gt;"", Recruiting_Data!L663&lt;Recruiting_Data!K663)), TRUE, FALSE))</f>
        <v/>
      </c>
    </row>
    <row r="664">
      <c r="A664" s="5" t="str">
        <f>IF(Recruiting_Data!A664="", "", Recruiting_Data!A664)</f>
        <v/>
      </c>
      <c r="B664" s="5" t="str">
        <f>IF(Recruiting_Data!B664="", "", Recruiting_Data!B664)</f>
        <v/>
      </c>
      <c r="C664" s="5" t="str">
        <f>IF(AND(ISNUMBER(Recruiting_Data!N664), ISNUMBER(Recruiting_Data!P664)), Recruiting_Data!N664 - Recruiting_Data!P664, "")</f>
        <v/>
      </c>
      <c r="E664" s="5" t="str">
        <f>IF(Recruiting_Data!R664="Open", TODAY() - Recruiting_Data!P664, "")</f>
        <v/>
      </c>
      <c r="F664" s="8" t="str">
        <f t="shared" si="1"/>
        <v/>
      </c>
      <c r="G664" s="5" t="str">
        <f>IF(A664="", "", IF(COUNTIF(Recruiting_Data!A:A, A664)&gt;1, TRUE, FALSE))</f>
        <v/>
      </c>
      <c r="H664" s="5" t="str">
        <f>IF(A664="", "", IF(OR(AND(Recruiting_Data!N664&lt;&gt;"", Recruiting_Data!J664&lt;&gt;"", Recruiting_Data!N664&lt;Recruiting_Data!J664), AND(Recruiting_Data!M664&lt;&gt;"", Recruiting_Data!L664&lt;&gt;"", Recruiting_Data!M664&lt;Recruiting_Data!L664), AND(Recruiting_Data!L664&lt;&gt;"", Recruiting_Data!K664&lt;&gt;"", Recruiting_Data!L664&lt;Recruiting_Data!K664)), TRUE, FALSE))</f>
        <v/>
      </c>
    </row>
    <row r="665">
      <c r="A665" s="5" t="str">
        <f>IF(Recruiting_Data!A665="", "", Recruiting_Data!A665)</f>
        <v/>
      </c>
      <c r="B665" s="5" t="str">
        <f>IF(Recruiting_Data!B665="", "", Recruiting_Data!B665)</f>
        <v/>
      </c>
      <c r="C665" s="5" t="str">
        <f>IF(AND(ISNUMBER(Recruiting_Data!N665), ISNUMBER(Recruiting_Data!P665)), Recruiting_Data!N665 - Recruiting_Data!P665, "")</f>
        <v/>
      </c>
      <c r="E665" s="5" t="str">
        <f>IF(Recruiting_Data!R665="Open", TODAY() - Recruiting_Data!P665, "")</f>
        <v/>
      </c>
      <c r="F665" s="8" t="str">
        <f t="shared" si="1"/>
        <v/>
      </c>
      <c r="G665" s="5" t="str">
        <f>IF(A665="", "", IF(COUNTIF(Recruiting_Data!A:A, A665)&gt;1, TRUE, FALSE))</f>
        <v/>
      </c>
      <c r="H665" s="5" t="str">
        <f>IF(A665="", "", IF(OR(AND(Recruiting_Data!N665&lt;&gt;"", Recruiting_Data!J665&lt;&gt;"", Recruiting_Data!N665&lt;Recruiting_Data!J665), AND(Recruiting_Data!M665&lt;&gt;"", Recruiting_Data!L665&lt;&gt;"", Recruiting_Data!M665&lt;Recruiting_Data!L665), AND(Recruiting_Data!L665&lt;&gt;"", Recruiting_Data!K665&lt;&gt;"", Recruiting_Data!L665&lt;Recruiting_Data!K665)), TRUE, FALSE))</f>
        <v/>
      </c>
    </row>
    <row r="666">
      <c r="A666" s="5" t="str">
        <f>IF(Recruiting_Data!A666="", "", Recruiting_Data!A666)</f>
        <v/>
      </c>
      <c r="B666" s="5" t="str">
        <f>IF(Recruiting_Data!B666="", "", Recruiting_Data!B666)</f>
        <v/>
      </c>
      <c r="C666" s="5" t="str">
        <f>IF(AND(ISNUMBER(Recruiting_Data!N666), ISNUMBER(Recruiting_Data!P666)), Recruiting_Data!N666 - Recruiting_Data!P666, "")</f>
        <v/>
      </c>
      <c r="E666" s="5" t="str">
        <f>IF(Recruiting_Data!R666="Open", TODAY() - Recruiting_Data!P666, "")</f>
        <v/>
      </c>
      <c r="F666" s="8" t="str">
        <f t="shared" si="1"/>
        <v/>
      </c>
      <c r="G666" s="5" t="str">
        <f>IF(A666="", "", IF(COUNTIF(Recruiting_Data!A:A, A666)&gt;1, TRUE, FALSE))</f>
        <v/>
      </c>
      <c r="H666" s="5" t="str">
        <f>IF(A666="", "", IF(OR(AND(Recruiting_Data!N666&lt;&gt;"", Recruiting_Data!J666&lt;&gt;"", Recruiting_Data!N666&lt;Recruiting_Data!J666), AND(Recruiting_Data!M666&lt;&gt;"", Recruiting_Data!L666&lt;&gt;"", Recruiting_Data!M666&lt;Recruiting_Data!L666), AND(Recruiting_Data!L666&lt;&gt;"", Recruiting_Data!K666&lt;&gt;"", Recruiting_Data!L666&lt;Recruiting_Data!K666)), TRUE, FALSE))</f>
        <v/>
      </c>
    </row>
    <row r="667">
      <c r="A667" s="5" t="str">
        <f>IF(Recruiting_Data!A667="", "", Recruiting_Data!A667)</f>
        <v/>
      </c>
      <c r="B667" s="5" t="str">
        <f>IF(Recruiting_Data!B667="", "", Recruiting_Data!B667)</f>
        <v/>
      </c>
      <c r="C667" s="5" t="str">
        <f>IF(AND(ISNUMBER(Recruiting_Data!N667), ISNUMBER(Recruiting_Data!P667)), Recruiting_Data!N667 - Recruiting_Data!P667, "")</f>
        <v/>
      </c>
      <c r="E667" s="5" t="str">
        <f>IF(Recruiting_Data!R667="Open", TODAY() - Recruiting_Data!P667, "")</f>
        <v/>
      </c>
      <c r="F667" s="8" t="str">
        <f t="shared" si="1"/>
        <v/>
      </c>
      <c r="G667" s="5" t="str">
        <f>IF(A667="", "", IF(COUNTIF(Recruiting_Data!A:A, A667)&gt;1, TRUE, FALSE))</f>
        <v/>
      </c>
      <c r="H667" s="5" t="str">
        <f>IF(A667="", "", IF(OR(AND(Recruiting_Data!N667&lt;&gt;"", Recruiting_Data!J667&lt;&gt;"", Recruiting_Data!N667&lt;Recruiting_Data!J667), AND(Recruiting_Data!M667&lt;&gt;"", Recruiting_Data!L667&lt;&gt;"", Recruiting_Data!M667&lt;Recruiting_Data!L667), AND(Recruiting_Data!L667&lt;&gt;"", Recruiting_Data!K667&lt;&gt;"", Recruiting_Data!L667&lt;Recruiting_Data!K667)), TRUE, FALSE))</f>
        <v/>
      </c>
    </row>
    <row r="668">
      <c r="A668" s="5" t="str">
        <f>IF(Recruiting_Data!A668="", "", Recruiting_Data!A668)</f>
        <v/>
      </c>
      <c r="B668" s="5" t="str">
        <f>IF(Recruiting_Data!B668="", "", Recruiting_Data!B668)</f>
        <v/>
      </c>
      <c r="C668" s="5" t="str">
        <f>IF(AND(ISNUMBER(Recruiting_Data!N668), ISNUMBER(Recruiting_Data!P668)), Recruiting_Data!N668 - Recruiting_Data!P668, "")</f>
        <v/>
      </c>
      <c r="E668" s="5" t="str">
        <f>IF(Recruiting_Data!R668="Open", TODAY() - Recruiting_Data!P668, "")</f>
        <v/>
      </c>
      <c r="F668" s="8" t="str">
        <f t="shared" si="1"/>
        <v/>
      </c>
      <c r="G668" s="5" t="str">
        <f>IF(A668="", "", IF(COUNTIF(Recruiting_Data!A:A, A668)&gt;1, TRUE, FALSE))</f>
        <v/>
      </c>
      <c r="H668" s="5" t="str">
        <f>IF(A668="", "", IF(OR(AND(Recruiting_Data!N668&lt;&gt;"", Recruiting_Data!J668&lt;&gt;"", Recruiting_Data!N668&lt;Recruiting_Data!J668), AND(Recruiting_Data!M668&lt;&gt;"", Recruiting_Data!L668&lt;&gt;"", Recruiting_Data!M668&lt;Recruiting_Data!L668), AND(Recruiting_Data!L668&lt;&gt;"", Recruiting_Data!K668&lt;&gt;"", Recruiting_Data!L668&lt;Recruiting_Data!K668)), TRUE, FALSE))</f>
        <v/>
      </c>
    </row>
    <row r="669">
      <c r="A669" s="5" t="str">
        <f>IF(Recruiting_Data!A669="", "", Recruiting_Data!A669)</f>
        <v/>
      </c>
      <c r="B669" s="5" t="str">
        <f>IF(Recruiting_Data!B669="", "", Recruiting_Data!B669)</f>
        <v/>
      </c>
      <c r="C669" s="5" t="str">
        <f>IF(AND(ISNUMBER(Recruiting_Data!N669), ISNUMBER(Recruiting_Data!P669)), Recruiting_Data!N669 - Recruiting_Data!P669, "")</f>
        <v/>
      </c>
      <c r="E669" s="5" t="str">
        <f>IF(Recruiting_Data!R669="Open", TODAY() - Recruiting_Data!P669, "")</f>
        <v/>
      </c>
      <c r="F669" s="8" t="str">
        <f t="shared" si="1"/>
        <v/>
      </c>
      <c r="G669" s="5" t="str">
        <f>IF(A669="", "", IF(COUNTIF(Recruiting_Data!A:A, A669)&gt;1, TRUE, FALSE))</f>
        <v/>
      </c>
      <c r="H669" s="5" t="str">
        <f>IF(A669="", "", IF(OR(AND(Recruiting_Data!N669&lt;&gt;"", Recruiting_Data!J669&lt;&gt;"", Recruiting_Data!N669&lt;Recruiting_Data!J669), AND(Recruiting_Data!M669&lt;&gt;"", Recruiting_Data!L669&lt;&gt;"", Recruiting_Data!M669&lt;Recruiting_Data!L669), AND(Recruiting_Data!L669&lt;&gt;"", Recruiting_Data!K669&lt;&gt;"", Recruiting_Data!L669&lt;Recruiting_Data!K669)), TRUE, FALSE))</f>
        <v/>
      </c>
    </row>
    <row r="670">
      <c r="A670" s="5" t="str">
        <f>IF(Recruiting_Data!A670="", "", Recruiting_Data!A670)</f>
        <v/>
      </c>
      <c r="B670" s="5" t="str">
        <f>IF(Recruiting_Data!B670="", "", Recruiting_Data!B670)</f>
        <v/>
      </c>
      <c r="C670" s="5" t="str">
        <f>IF(AND(ISNUMBER(Recruiting_Data!N670), ISNUMBER(Recruiting_Data!P670)), Recruiting_Data!N670 - Recruiting_Data!P670, "")</f>
        <v/>
      </c>
      <c r="E670" s="5" t="str">
        <f>IF(Recruiting_Data!R670="Open", TODAY() - Recruiting_Data!P670, "")</f>
        <v/>
      </c>
      <c r="F670" s="8" t="str">
        <f t="shared" si="1"/>
        <v/>
      </c>
      <c r="G670" s="5" t="str">
        <f>IF(A670="", "", IF(COUNTIF(Recruiting_Data!A:A, A670)&gt;1, TRUE, FALSE))</f>
        <v/>
      </c>
      <c r="H670" s="5" t="str">
        <f>IF(A670="", "", IF(OR(AND(Recruiting_Data!N670&lt;&gt;"", Recruiting_Data!J670&lt;&gt;"", Recruiting_Data!N670&lt;Recruiting_Data!J670), AND(Recruiting_Data!M670&lt;&gt;"", Recruiting_Data!L670&lt;&gt;"", Recruiting_Data!M670&lt;Recruiting_Data!L670), AND(Recruiting_Data!L670&lt;&gt;"", Recruiting_Data!K670&lt;&gt;"", Recruiting_Data!L670&lt;Recruiting_Data!K670)), TRUE, FALSE))</f>
        <v/>
      </c>
    </row>
    <row r="671">
      <c r="A671" s="5" t="str">
        <f>IF(Recruiting_Data!A671="", "", Recruiting_Data!A671)</f>
        <v/>
      </c>
      <c r="B671" s="5" t="str">
        <f>IF(Recruiting_Data!B671="", "", Recruiting_Data!B671)</f>
        <v/>
      </c>
      <c r="C671" s="5" t="str">
        <f>IF(AND(ISNUMBER(Recruiting_Data!N671), ISNUMBER(Recruiting_Data!P671)), Recruiting_Data!N671 - Recruiting_Data!P671, "")</f>
        <v/>
      </c>
      <c r="E671" s="5" t="str">
        <f>IF(Recruiting_Data!R671="Open", TODAY() - Recruiting_Data!P671, "")</f>
        <v/>
      </c>
      <c r="F671" s="8" t="str">
        <f t="shared" si="1"/>
        <v/>
      </c>
      <c r="G671" s="5" t="str">
        <f>IF(A671="", "", IF(COUNTIF(Recruiting_Data!A:A, A671)&gt;1, TRUE, FALSE))</f>
        <v/>
      </c>
      <c r="H671" s="5" t="str">
        <f>IF(A671="", "", IF(OR(AND(Recruiting_Data!N671&lt;&gt;"", Recruiting_Data!J671&lt;&gt;"", Recruiting_Data!N671&lt;Recruiting_Data!J671), AND(Recruiting_Data!M671&lt;&gt;"", Recruiting_Data!L671&lt;&gt;"", Recruiting_Data!M671&lt;Recruiting_Data!L671), AND(Recruiting_Data!L671&lt;&gt;"", Recruiting_Data!K671&lt;&gt;"", Recruiting_Data!L671&lt;Recruiting_Data!K671)), TRUE, FALSE))</f>
        <v/>
      </c>
    </row>
    <row r="672">
      <c r="A672" s="5" t="str">
        <f>IF(Recruiting_Data!A672="", "", Recruiting_Data!A672)</f>
        <v/>
      </c>
      <c r="B672" s="5" t="str">
        <f>IF(Recruiting_Data!B672="", "", Recruiting_Data!B672)</f>
        <v/>
      </c>
      <c r="C672" s="5" t="str">
        <f>IF(AND(ISNUMBER(Recruiting_Data!N672), ISNUMBER(Recruiting_Data!P672)), Recruiting_Data!N672 - Recruiting_Data!P672, "")</f>
        <v/>
      </c>
      <c r="E672" s="5" t="str">
        <f>IF(Recruiting_Data!R672="Open", TODAY() - Recruiting_Data!P672, "")</f>
        <v/>
      </c>
      <c r="F672" s="8" t="str">
        <f t="shared" si="1"/>
        <v/>
      </c>
      <c r="G672" s="5" t="str">
        <f>IF(A672="", "", IF(COUNTIF(Recruiting_Data!A:A, A672)&gt;1, TRUE, FALSE))</f>
        <v/>
      </c>
      <c r="H672" s="5" t="str">
        <f>IF(A672="", "", IF(OR(AND(Recruiting_Data!N672&lt;&gt;"", Recruiting_Data!J672&lt;&gt;"", Recruiting_Data!N672&lt;Recruiting_Data!J672), AND(Recruiting_Data!M672&lt;&gt;"", Recruiting_Data!L672&lt;&gt;"", Recruiting_Data!M672&lt;Recruiting_Data!L672), AND(Recruiting_Data!L672&lt;&gt;"", Recruiting_Data!K672&lt;&gt;"", Recruiting_Data!L672&lt;Recruiting_Data!K672)), TRUE, FALSE))</f>
        <v/>
      </c>
    </row>
    <row r="673">
      <c r="A673" s="5" t="str">
        <f>IF(Recruiting_Data!A673="", "", Recruiting_Data!A673)</f>
        <v/>
      </c>
      <c r="B673" s="5" t="str">
        <f>IF(Recruiting_Data!B673="", "", Recruiting_Data!B673)</f>
        <v/>
      </c>
      <c r="C673" s="5" t="str">
        <f>IF(AND(ISNUMBER(Recruiting_Data!N673), ISNUMBER(Recruiting_Data!P673)), Recruiting_Data!N673 - Recruiting_Data!P673, "")</f>
        <v/>
      </c>
      <c r="E673" s="5" t="str">
        <f>IF(Recruiting_Data!R673="Open", TODAY() - Recruiting_Data!P673, "")</f>
        <v/>
      </c>
      <c r="F673" s="8" t="str">
        <f t="shared" si="1"/>
        <v/>
      </c>
      <c r="G673" s="5" t="str">
        <f>IF(A673="", "", IF(COUNTIF(Recruiting_Data!A:A, A673)&gt;1, TRUE, FALSE))</f>
        <v/>
      </c>
      <c r="H673" s="5" t="str">
        <f>IF(A673="", "", IF(OR(AND(Recruiting_Data!N673&lt;&gt;"", Recruiting_Data!J673&lt;&gt;"", Recruiting_Data!N673&lt;Recruiting_Data!J673), AND(Recruiting_Data!M673&lt;&gt;"", Recruiting_Data!L673&lt;&gt;"", Recruiting_Data!M673&lt;Recruiting_Data!L673), AND(Recruiting_Data!L673&lt;&gt;"", Recruiting_Data!K673&lt;&gt;"", Recruiting_Data!L673&lt;Recruiting_Data!K673)), TRUE, FALSE))</f>
        <v/>
      </c>
    </row>
    <row r="674">
      <c r="A674" s="5" t="str">
        <f>IF(Recruiting_Data!A674="", "", Recruiting_Data!A674)</f>
        <v/>
      </c>
      <c r="B674" s="5" t="str">
        <f>IF(Recruiting_Data!B674="", "", Recruiting_Data!B674)</f>
        <v/>
      </c>
      <c r="C674" s="5" t="str">
        <f>IF(AND(ISNUMBER(Recruiting_Data!N674), ISNUMBER(Recruiting_Data!P674)), Recruiting_Data!N674 - Recruiting_Data!P674, "")</f>
        <v/>
      </c>
      <c r="E674" s="5" t="str">
        <f>IF(Recruiting_Data!R674="Open", TODAY() - Recruiting_Data!P674, "")</f>
        <v/>
      </c>
      <c r="F674" s="8" t="str">
        <f t="shared" si="1"/>
        <v/>
      </c>
      <c r="G674" s="5" t="str">
        <f>IF(A674="", "", IF(COUNTIF(Recruiting_Data!A:A, A674)&gt;1, TRUE, FALSE))</f>
        <v/>
      </c>
      <c r="H674" s="5" t="str">
        <f>IF(A674="", "", IF(OR(AND(Recruiting_Data!N674&lt;&gt;"", Recruiting_Data!J674&lt;&gt;"", Recruiting_Data!N674&lt;Recruiting_Data!J674), AND(Recruiting_Data!M674&lt;&gt;"", Recruiting_Data!L674&lt;&gt;"", Recruiting_Data!M674&lt;Recruiting_Data!L674), AND(Recruiting_Data!L674&lt;&gt;"", Recruiting_Data!K674&lt;&gt;"", Recruiting_Data!L674&lt;Recruiting_Data!K674)), TRUE, FALSE))</f>
        <v/>
      </c>
    </row>
    <row r="675">
      <c r="A675" s="5" t="str">
        <f>IF(Recruiting_Data!A675="", "", Recruiting_Data!A675)</f>
        <v/>
      </c>
      <c r="B675" s="5" t="str">
        <f>IF(Recruiting_Data!B675="", "", Recruiting_Data!B675)</f>
        <v/>
      </c>
      <c r="C675" s="5" t="str">
        <f>IF(AND(ISNUMBER(Recruiting_Data!N675), ISNUMBER(Recruiting_Data!P675)), Recruiting_Data!N675 - Recruiting_Data!P675, "")</f>
        <v/>
      </c>
      <c r="E675" s="5" t="str">
        <f>IF(Recruiting_Data!R675="Open", TODAY() - Recruiting_Data!P675, "")</f>
        <v/>
      </c>
      <c r="F675" s="8" t="str">
        <f t="shared" si="1"/>
        <v/>
      </c>
      <c r="G675" s="5" t="str">
        <f>IF(A675="", "", IF(COUNTIF(Recruiting_Data!A:A, A675)&gt;1, TRUE, FALSE))</f>
        <v/>
      </c>
      <c r="H675" s="5" t="str">
        <f>IF(A675="", "", IF(OR(AND(Recruiting_Data!N675&lt;&gt;"", Recruiting_Data!J675&lt;&gt;"", Recruiting_Data!N675&lt;Recruiting_Data!J675), AND(Recruiting_Data!M675&lt;&gt;"", Recruiting_Data!L675&lt;&gt;"", Recruiting_Data!M675&lt;Recruiting_Data!L675), AND(Recruiting_Data!L675&lt;&gt;"", Recruiting_Data!K675&lt;&gt;"", Recruiting_Data!L675&lt;Recruiting_Data!K675)), TRUE, FALSE))</f>
        <v/>
      </c>
    </row>
    <row r="676">
      <c r="A676" s="5" t="str">
        <f>IF(Recruiting_Data!A676="", "", Recruiting_Data!A676)</f>
        <v/>
      </c>
      <c r="B676" s="5" t="str">
        <f>IF(Recruiting_Data!B676="", "", Recruiting_Data!B676)</f>
        <v/>
      </c>
      <c r="C676" s="5" t="str">
        <f>IF(AND(ISNUMBER(Recruiting_Data!N676), ISNUMBER(Recruiting_Data!P676)), Recruiting_Data!N676 - Recruiting_Data!P676, "")</f>
        <v/>
      </c>
      <c r="E676" s="5" t="str">
        <f>IF(Recruiting_Data!R676="Open", TODAY() - Recruiting_Data!P676, "")</f>
        <v/>
      </c>
      <c r="F676" s="8" t="str">
        <f t="shared" si="1"/>
        <v/>
      </c>
      <c r="G676" s="5" t="str">
        <f>IF(A676="", "", IF(COUNTIF(Recruiting_Data!A:A, A676)&gt;1, TRUE, FALSE))</f>
        <v/>
      </c>
      <c r="H676" s="5" t="str">
        <f>IF(A676="", "", IF(OR(AND(Recruiting_Data!N676&lt;&gt;"", Recruiting_Data!J676&lt;&gt;"", Recruiting_Data!N676&lt;Recruiting_Data!J676), AND(Recruiting_Data!M676&lt;&gt;"", Recruiting_Data!L676&lt;&gt;"", Recruiting_Data!M676&lt;Recruiting_Data!L676), AND(Recruiting_Data!L676&lt;&gt;"", Recruiting_Data!K676&lt;&gt;"", Recruiting_Data!L676&lt;Recruiting_Data!K676)), TRUE, FALSE))</f>
        <v/>
      </c>
    </row>
    <row r="677">
      <c r="A677" s="5" t="str">
        <f>IF(Recruiting_Data!A677="", "", Recruiting_Data!A677)</f>
        <v/>
      </c>
      <c r="B677" s="5" t="str">
        <f>IF(Recruiting_Data!B677="", "", Recruiting_Data!B677)</f>
        <v/>
      </c>
      <c r="C677" s="5" t="str">
        <f>IF(AND(ISNUMBER(Recruiting_Data!N677), ISNUMBER(Recruiting_Data!P677)), Recruiting_Data!N677 - Recruiting_Data!P677, "")</f>
        <v/>
      </c>
      <c r="E677" s="5" t="str">
        <f>IF(Recruiting_Data!R677="Open", TODAY() - Recruiting_Data!P677, "")</f>
        <v/>
      </c>
      <c r="F677" s="8" t="str">
        <f t="shared" si="1"/>
        <v/>
      </c>
      <c r="G677" s="5" t="str">
        <f>IF(A677="", "", IF(COUNTIF(Recruiting_Data!A:A, A677)&gt;1, TRUE, FALSE))</f>
        <v/>
      </c>
      <c r="H677" s="5" t="str">
        <f>IF(A677="", "", IF(OR(AND(Recruiting_Data!N677&lt;&gt;"", Recruiting_Data!J677&lt;&gt;"", Recruiting_Data!N677&lt;Recruiting_Data!J677), AND(Recruiting_Data!M677&lt;&gt;"", Recruiting_Data!L677&lt;&gt;"", Recruiting_Data!M677&lt;Recruiting_Data!L677), AND(Recruiting_Data!L677&lt;&gt;"", Recruiting_Data!K677&lt;&gt;"", Recruiting_Data!L677&lt;Recruiting_Data!K677)), TRUE, FALSE))</f>
        <v/>
      </c>
    </row>
    <row r="678">
      <c r="A678" s="5" t="str">
        <f>IF(Recruiting_Data!A678="", "", Recruiting_Data!A678)</f>
        <v/>
      </c>
      <c r="B678" s="5" t="str">
        <f>IF(Recruiting_Data!B678="", "", Recruiting_Data!B678)</f>
        <v/>
      </c>
      <c r="C678" s="5" t="str">
        <f>IF(AND(ISNUMBER(Recruiting_Data!N678), ISNUMBER(Recruiting_Data!P678)), Recruiting_Data!N678 - Recruiting_Data!P678, "")</f>
        <v/>
      </c>
      <c r="E678" s="5" t="str">
        <f>IF(Recruiting_Data!R678="Open", TODAY() - Recruiting_Data!P678, "")</f>
        <v/>
      </c>
      <c r="F678" s="8" t="str">
        <f t="shared" si="1"/>
        <v/>
      </c>
      <c r="G678" s="5" t="str">
        <f>IF(A678="", "", IF(COUNTIF(Recruiting_Data!A:A, A678)&gt;1, TRUE, FALSE))</f>
        <v/>
      </c>
      <c r="H678" s="5" t="str">
        <f>IF(A678="", "", IF(OR(AND(Recruiting_Data!N678&lt;&gt;"", Recruiting_Data!J678&lt;&gt;"", Recruiting_Data!N678&lt;Recruiting_Data!J678), AND(Recruiting_Data!M678&lt;&gt;"", Recruiting_Data!L678&lt;&gt;"", Recruiting_Data!M678&lt;Recruiting_Data!L678), AND(Recruiting_Data!L678&lt;&gt;"", Recruiting_Data!K678&lt;&gt;"", Recruiting_Data!L678&lt;Recruiting_Data!K678)), TRUE, FALSE))</f>
        <v/>
      </c>
    </row>
    <row r="679">
      <c r="A679" s="5" t="str">
        <f>IF(Recruiting_Data!A679="", "", Recruiting_Data!A679)</f>
        <v/>
      </c>
      <c r="B679" s="5" t="str">
        <f>IF(Recruiting_Data!B679="", "", Recruiting_Data!B679)</f>
        <v/>
      </c>
      <c r="C679" s="5" t="str">
        <f>IF(AND(ISNUMBER(Recruiting_Data!N679), ISNUMBER(Recruiting_Data!P679)), Recruiting_Data!N679 - Recruiting_Data!P679, "")</f>
        <v/>
      </c>
      <c r="E679" s="5" t="str">
        <f>IF(Recruiting_Data!R679="Open", TODAY() - Recruiting_Data!P679, "")</f>
        <v/>
      </c>
      <c r="F679" s="8" t="str">
        <f t="shared" si="1"/>
        <v/>
      </c>
      <c r="G679" s="5" t="str">
        <f>IF(A679="", "", IF(COUNTIF(Recruiting_Data!A:A, A679)&gt;1, TRUE, FALSE))</f>
        <v/>
      </c>
      <c r="H679" s="5" t="str">
        <f>IF(A679="", "", IF(OR(AND(Recruiting_Data!N679&lt;&gt;"", Recruiting_Data!J679&lt;&gt;"", Recruiting_Data!N679&lt;Recruiting_Data!J679), AND(Recruiting_Data!M679&lt;&gt;"", Recruiting_Data!L679&lt;&gt;"", Recruiting_Data!M679&lt;Recruiting_Data!L679), AND(Recruiting_Data!L679&lt;&gt;"", Recruiting_Data!K679&lt;&gt;"", Recruiting_Data!L679&lt;Recruiting_Data!K679)), TRUE, FALSE))</f>
        <v/>
      </c>
    </row>
    <row r="680">
      <c r="A680" s="5" t="str">
        <f>IF(Recruiting_Data!A680="", "", Recruiting_Data!A680)</f>
        <v/>
      </c>
      <c r="B680" s="5" t="str">
        <f>IF(Recruiting_Data!B680="", "", Recruiting_Data!B680)</f>
        <v/>
      </c>
      <c r="C680" s="5" t="str">
        <f>IF(AND(ISNUMBER(Recruiting_Data!N680), ISNUMBER(Recruiting_Data!P680)), Recruiting_Data!N680 - Recruiting_Data!P680, "")</f>
        <v/>
      </c>
      <c r="E680" s="5" t="str">
        <f>IF(Recruiting_Data!R680="Open", TODAY() - Recruiting_Data!P680, "")</f>
        <v/>
      </c>
      <c r="F680" s="8" t="str">
        <f t="shared" si="1"/>
        <v/>
      </c>
      <c r="G680" s="5" t="str">
        <f>IF(A680="", "", IF(COUNTIF(Recruiting_Data!A:A, A680)&gt;1, TRUE, FALSE))</f>
        <v/>
      </c>
      <c r="H680" s="5" t="str">
        <f>IF(A680="", "", IF(OR(AND(Recruiting_Data!N680&lt;&gt;"", Recruiting_Data!J680&lt;&gt;"", Recruiting_Data!N680&lt;Recruiting_Data!J680), AND(Recruiting_Data!M680&lt;&gt;"", Recruiting_Data!L680&lt;&gt;"", Recruiting_Data!M680&lt;Recruiting_Data!L680), AND(Recruiting_Data!L680&lt;&gt;"", Recruiting_Data!K680&lt;&gt;"", Recruiting_Data!L680&lt;Recruiting_Data!K680)), TRUE, FALSE))</f>
        <v/>
      </c>
    </row>
    <row r="681">
      <c r="A681" s="5" t="str">
        <f>IF(Recruiting_Data!A681="", "", Recruiting_Data!A681)</f>
        <v/>
      </c>
      <c r="B681" s="5" t="str">
        <f>IF(Recruiting_Data!B681="", "", Recruiting_Data!B681)</f>
        <v/>
      </c>
      <c r="C681" s="5" t="str">
        <f>IF(AND(ISNUMBER(Recruiting_Data!N681), ISNUMBER(Recruiting_Data!P681)), Recruiting_Data!N681 - Recruiting_Data!P681, "")</f>
        <v/>
      </c>
      <c r="E681" s="5" t="str">
        <f>IF(Recruiting_Data!R681="Open", TODAY() - Recruiting_Data!P681, "")</f>
        <v/>
      </c>
      <c r="F681" s="8" t="str">
        <f t="shared" si="1"/>
        <v/>
      </c>
      <c r="G681" s="5" t="str">
        <f>IF(A681="", "", IF(COUNTIF(Recruiting_Data!A:A, A681)&gt;1, TRUE, FALSE))</f>
        <v/>
      </c>
      <c r="H681" s="5" t="str">
        <f>IF(A681="", "", IF(OR(AND(Recruiting_Data!N681&lt;&gt;"", Recruiting_Data!J681&lt;&gt;"", Recruiting_Data!N681&lt;Recruiting_Data!J681), AND(Recruiting_Data!M681&lt;&gt;"", Recruiting_Data!L681&lt;&gt;"", Recruiting_Data!M681&lt;Recruiting_Data!L681), AND(Recruiting_Data!L681&lt;&gt;"", Recruiting_Data!K681&lt;&gt;"", Recruiting_Data!L681&lt;Recruiting_Data!K681)), TRUE, FALSE))</f>
        <v/>
      </c>
    </row>
    <row r="682">
      <c r="A682" s="5" t="str">
        <f>IF(Recruiting_Data!A682="", "", Recruiting_Data!A682)</f>
        <v/>
      </c>
      <c r="B682" s="5" t="str">
        <f>IF(Recruiting_Data!B682="", "", Recruiting_Data!B682)</f>
        <v/>
      </c>
      <c r="C682" s="5" t="str">
        <f>IF(AND(ISNUMBER(Recruiting_Data!N682), ISNUMBER(Recruiting_Data!P682)), Recruiting_Data!N682 - Recruiting_Data!P682, "")</f>
        <v/>
      </c>
      <c r="E682" s="5" t="str">
        <f>IF(Recruiting_Data!R682="Open", TODAY() - Recruiting_Data!P682, "")</f>
        <v/>
      </c>
      <c r="F682" s="8" t="str">
        <f t="shared" si="1"/>
        <v/>
      </c>
      <c r="G682" s="5" t="str">
        <f>IF(A682="", "", IF(COUNTIF(Recruiting_Data!A:A, A682)&gt;1, TRUE, FALSE))</f>
        <v/>
      </c>
      <c r="H682" s="5" t="str">
        <f>IF(A682="", "", IF(OR(AND(Recruiting_Data!N682&lt;&gt;"", Recruiting_Data!J682&lt;&gt;"", Recruiting_Data!N682&lt;Recruiting_Data!J682), AND(Recruiting_Data!M682&lt;&gt;"", Recruiting_Data!L682&lt;&gt;"", Recruiting_Data!M682&lt;Recruiting_Data!L682), AND(Recruiting_Data!L682&lt;&gt;"", Recruiting_Data!K682&lt;&gt;"", Recruiting_Data!L682&lt;Recruiting_Data!K682)), TRUE, FALSE))</f>
        <v/>
      </c>
    </row>
    <row r="683">
      <c r="A683" s="5" t="str">
        <f>IF(Recruiting_Data!A683="", "", Recruiting_Data!A683)</f>
        <v/>
      </c>
      <c r="B683" s="5" t="str">
        <f>IF(Recruiting_Data!B683="", "", Recruiting_Data!B683)</f>
        <v/>
      </c>
      <c r="C683" s="5" t="str">
        <f>IF(AND(ISNUMBER(Recruiting_Data!N683), ISNUMBER(Recruiting_Data!P683)), Recruiting_Data!N683 - Recruiting_Data!P683, "")</f>
        <v/>
      </c>
      <c r="E683" s="5" t="str">
        <f>IF(Recruiting_Data!R683="Open", TODAY() - Recruiting_Data!P683, "")</f>
        <v/>
      </c>
      <c r="F683" s="8" t="str">
        <f t="shared" si="1"/>
        <v/>
      </c>
      <c r="G683" s="5" t="str">
        <f>IF(A683="", "", IF(COUNTIF(Recruiting_Data!A:A, A683)&gt;1, TRUE, FALSE))</f>
        <v/>
      </c>
      <c r="H683" s="5" t="str">
        <f>IF(A683="", "", IF(OR(AND(Recruiting_Data!N683&lt;&gt;"", Recruiting_Data!J683&lt;&gt;"", Recruiting_Data!N683&lt;Recruiting_Data!J683), AND(Recruiting_Data!M683&lt;&gt;"", Recruiting_Data!L683&lt;&gt;"", Recruiting_Data!M683&lt;Recruiting_Data!L683), AND(Recruiting_Data!L683&lt;&gt;"", Recruiting_Data!K683&lt;&gt;"", Recruiting_Data!L683&lt;Recruiting_Data!K683)), TRUE, FALSE))</f>
        <v/>
      </c>
    </row>
    <row r="684">
      <c r="A684" s="5" t="str">
        <f>IF(Recruiting_Data!A684="", "", Recruiting_Data!A684)</f>
        <v/>
      </c>
      <c r="B684" s="5" t="str">
        <f>IF(Recruiting_Data!B684="", "", Recruiting_Data!B684)</f>
        <v/>
      </c>
      <c r="C684" s="5" t="str">
        <f>IF(AND(ISNUMBER(Recruiting_Data!N684), ISNUMBER(Recruiting_Data!P684)), Recruiting_Data!N684 - Recruiting_Data!P684, "")</f>
        <v/>
      </c>
      <c r="E684" s="5" t="str">
        <f>IF(Recruiting_Data!R684="Open", TODAY() - Recruiting_Data!P684, "")</f>
        <v/>
      </c>
      <c r="F684" s="8" t="str">
        <f t="shared" si="1"/>
        <v/>
      </c>
      <c r="G684" s="5" t="str">
        <f>IF(A684="", "", IF(COUNTIF(Recruiting_Data!A:A, A684)&gt;1, TRUE, FALSE))</f>
        <v/>
      </c>
      <c r="H684" s="5" t="str">
        <f>IF(A684="", "", IF(OR(AND(Recruiting_Data!N684&lt;&gt;"", Recruiting_Data!J684&lt;&gt;"", Recruiting_Data!N684&lt;Recruiting_Data!J684), AND(Recruiting_Data!M684&lt;&gt;"", Recruiting_Data!L684&lt;&gt;"", Recruiting_Data!M684&lt;Recruiting_Data!L684), AND(Recruiting_Data!L684&lt;&gt;"", Recruiting_Data!K684&lt;&gt;"", Recruiting_Data!L684&lt;Recruiting_Data!K684)), TRUE, FALSE))</f>
        <v/>
      </c>
    </row>
    <row r="685">
      <c r="A685" s="5" t="str">
        <f>IF(Recruiting_Data!A685="", "", Recruiting_Data!A685)</f>
        <v/>
      </c>
      <c r="B685" s="5" t="str">
        <f>IF(Recruiting_Data!B685="", "", Recruiting_Data!B685)</f>
        <v/>
      </c>
      <c r="C685" s="5" t="str">
        <f>IF(AND(ISNUMBER(Recruiting_Data!N685), ISNUMBER(Recruiting_Data!P685)), Recruiting_Data!N685 - Recruiting_Data!P685, "")</f>
        <v/>
      </c>
      <c r="E685" s="5" t="str">
        <f>IF(Recruiting_Data!R685="Open", TODAY() - Recruiting_Data!P685, "")</f>
        <v/>
      </c>
      <c r="F685" s="8" t="str">
        <f t="shared" si="1"/>
        <v/>
      </c>
      <c r="G685" s="5" t="str">
        <f>IF(A685="", "", IF(COUNTIF(Recruiting_Data!A:A, A685)&gt;1, TRUE, FALSE))</f>
        <v/>
      </c>
      <c r="H685" s="5" t="str">
        <f>IF(A685="", "", IF(OR(AND(Recruiting_Data!N685&lt;&gt;"", Recruiting_Data!J685&lt;&gt;"", Recruiting_Data!N685&lt;Recruiting_Data!J685), AND(Recruiting_Data!M685&lt;&gt;"", Recruiting_Data!L685&lt;&gt;"", Recruiting_Data!M685&lt;Recruiting_Data!L685), AND(Recruiting_Data!L685&lt;&gt;"", Recruiting_Data!K685&lt;&gt;"", Recruiting_Data!L685&lt;Recruiting_Data!K685)), TRUE, FALSE))</f>
        <v/>
      </c>
    </row>
    <row r="686">
      <c r="A686" s="5" t="str">
        <f>IF(Recruiting_Data!A686="", "", Recruiting_Data!A686)</f>
        <v/>
      </c>
      <c r="B686" s="5" t="str">
        <f>IF(Recruiting_Data!B686="", "", Recruiting_Data!B686)</f>
        <v/>
      </c>
      <c r="C686" s="5" t="str">
        <f>IF(AND(ISNUMBER(Recruiting_Data!N686), ISNUMBER(Recruiting_Data!P686)), Recruiting_Data!N686 - Recruiting_Data!P686, "")</f>
        <v/>
      </c>
      <c r="E686" s="5" t="str">
        <f>IF(Recruiting_Data!R686="Open", TODAY() - Recruiting_Data!P686, "")</f>
        <v/>
      </c>
      <c r="F686" s="8" t="str">
        <f t="shared" si="1"/>
        <v/>
      </c>
      <c r="G686" s="5" t="str">
        <f>IF(A686="", "", IF(COUNTIF(Recruiting_Data!A:A, A686)&gt;1, TRUE, FALSE))</f>
        <v/>
      </c>
      <c r="H686" s="5" t="str">
        <f>IF(A686="", "", IF(OR(AND(Recruiting_Data!N686&lt;&gt;"", Recruiting_Data!J686&lt;&gt;"", Recruiting_Data!N686&lt;Recruiting_Data!J686), AND(Recruiting_Data!M686&lt;&gt;"", Recruiting_Data!L686&lt;&gt;"", Recruiting_Data!M686&lt;Recruiting_Data!L686), AND(Recruiting_Data!L686&lt;&gt;"", Recruiting_Data!K686&lt;&gt;"", Recruiting_Data!L686&lt;Recruiting_Data!K686)), TRUE, FALSE))</f>
        <v/>
      </c>
    </row>
    <row r="687">
      <c r="A687" s="5" t="str">
        <f>IF(Recruiting_Data!A687="", "", Recruiting_Data!A687)</f>
        <v/>
      </c>
      <c r="B687" s="5" t="str">
        <f>IF(Recruiting_Data!B687="", "", Recruiting_Data!B687)</f>
        <v/>
      </c>
      <c r="C687" s="5" t="str">
        <f>IF(AND(ISNUMBER(Recruiting_Data!N687), ISNUMBER(Recruiting_Data!P687)), Recruiting_Data!N687 - Recruiting_Data!P687, "")</f>
        <v/>
      </c>
      <c r="E687" s="5" t="str">
        <f>IF(Recruiting_Data!R687="Open", TODAY() - Recruiting_Data!P687, "")</f>
        <v/>
      </c>
      <c r="F687" s="8" t="str">
        <f t="shared" si="1"/>
        <v/>
      </c>
      <c r="G687" s="5" t="str">
        <f>IF(A687="", "", IF(COUNTIF(Recruiting_Data!A:A, A687)&gt;1, TRUE, FALSE))</f>
        <v/>
      </c>
      <c r="H687" s="5" t="str">
        <f>IF(A687="", "", IF(OR(AND(Recruiting_Data!N687&lt;&gt;"", Recruiting_Data!J687&lt;&gt;"", Recruiting_Data!N687&lt;Recruiting_Data!J687), AND(Recruiting_Data!M687&lt;&gt;"", Recruiting_Data!L687&lt;&gt;"", Recruiting_Data!M687&lt;Recruiting_Data!L687), AND(Recruiting_Data!L687&lt;&gt;"", Recruiting_Data!K687&lt;&gt;"", Recruiting_Data!L687&lt;Recruiting_Data!K687)), TRUE, FALSE))</f>
        <v/>
      </c>
    </row>
    <row r="688">
      <c r="A688" s="5" t="str">
        <f>IF(Recruiting_Data!A688="", "", Recruiting_Data!A688)</f>
        <v/>
      </c>
      <c r="B688" s="5" t="str">
        <f>IF(Recruiting_Data!B688="", "", Recruiting_Data!B688)</f>
        <v/>
      </c>
      <c r="C688" s="5" t="str">
        <f>IF(AND(ISNUMBER(Recruiting_Data!N688), ISNUMBER(Recruiting_Data!P688)), Recruiting_Data!N688 - Recruiting_Data!P688, "")</f>
        <v/>
      </c>
      <c r="E688" s="5" t="str">
        <f>IF(Recruiting_Data!R688="Open", TODAY() - Recruiting_Data!P688, "")</f>
        <v/>
      </c>
      <c r="F688" s="8" t="str">
        <f t="shared" si="1"/>
        <v/>
      </c>
      <c r="G688" s="5" t="str">
        <f>IF(A688="", "", IF(COUNTIF(Recruiting_Data!A:A, A688)&gt;1, TRUE, FALSE))</f>
        <v/>
      </c>
      <c r="H688" s="5" t="str">
        <f>IF(A688="", "", IF(OR(AND(Recruiting_Data!N688&lt;&gt;"", Recruiting_Data!J688&lt;&gt;"", Recruiting_Data!N688&lt;Recruiting_Data!J688), AND(Recruiting_Data!M688&lt;&gt;"", Recruiting_Data!L688&lt;&gt;"", Recruiting_Data!M688&lt;Recruiting_Data!L688), AND(Recruiting_Data!L688&lt;&gt;"", Recruiting_Data!K688&lt;&gt;"", Recruiting_Data!L688&lt;Recruiting_Data!K688)), TRUE, FALSE))</f>
        <v/>
      </c>
    </row>
    <row r="689">
      <c r="A689" s="5" t="str">
        <f>IF(Recruiting_Data!A689="", "", Recruiting_Data!A689)</f>
        <v/>
      </c>
      <c r="B689" s="5" t="str">
        <f>IF(Recruiting_Data!B689="", "", Recruiting_Data!B689)</f>
        <v/>
      </c>
      <c r="C689" s="5" t="str">
        <f>IF(AND(ISNUMBER(Recruiting_Data!N689), ISNUMBER(Recruiting_Data!P689)), Recruiting_Data!N689 - Recruiting_Data!P689, "")</f>
        <v/>
      </c>
      <c r="E689" s="5" t="str">
        <f>IF(Recruiting_Data!R689="Open", TODAY() - Recruiting_Data!P689, "")</f>
        <v/>
      </c>
      <c r="F689" s="8" t="str">
        <f t="shared" si="1"/>
        <v/>
      </c>
      <c r="G689" s="5" t="str">
        <f>IF(A689="", "", IF(COUNTIF(Recruiting_Data!A:A, A689)&gt;1, TRUE, FALSE))</f>
        <v/>
      </c>
      <c r="H689" s="5" t="str">
        <f>IF(A689="", "", IF(OR(AND(Recruiting_Data!N689&lt;&gt;"", Recruiting_Data!J689&lt;&gt;"", Recruiting_Data!N689&lt;Recruiting_Data!J689), AND(Recruiting_Data!M689&lt;&gt;"", Recruiting_Data!L689&lt;&gt;"", Recruiting_Data!M689&lt;Recruiting_Data!L689), AND(Recruiting_Data!L689&lt;&gt;"", Recruiting_Data!K689&lt;&gt;"", Recruiting_Data!L689&lt;Recruiting_Data!K689)), TRUE, FALSE))</f>
        <v/>
      </c>
    </row>
    <row r="690">
      <c r="A690" s="5" t="str">
        <f>IF(Recruiting_Data!A690="", "", Recruiting_Data!A690)</f>
        <v/>
      </c>
      <c r="B690" s="5" t="str">
        <f>IF(Recruiting_Data!B690="", "", Recruiting_Data!B690)</f>
        <v/>
      </c>
      <c r="C690" s="5" t="str">
        <f>IF(AND(ISNUMBER(Recruiting_Data!N690), ISNUMBER(Recruiting_Data!P690)), Recruiting_Data!N690 - Recruiting_Data!P690, "")</f>
        <v/>
      </c>
      <c r="E690" s="5" t="str">
        <f>IF(Recruiting_Data!R690="Open", TODAY() - Recruiting_Data!P690, "")</f>
        <v/>
      </c>
      <c r="F690" s="8" t="str">
        <f t="shared" si="1"/>
        <v/>
      </c>
      <c r="G690" s="5" t="str">
        <f>IF(A690="", "", IF(COUNTIF(Recruiting_Data!A:A, A690)&gt;1, TRUE, FALSE))</f>
        <v/>
      </c>
      <c r="H690" s="5" t="str">
        <f>IF(A690="", "", IF(OR(AND(Recruiting_Data!N690&lt;&gt;"", Recruiting_Data!J690&lt;&gt;"", Recruiting_Data!N690&lt;Recruiting_Data!J690), AND(Recruiting_Data!M690&lt;&gt;"", Recruiting_Data!L690&lt;&gt;"", Recruiting_Data!M690&lt;Recruiting_Data!L690), AND(Recruiting_Data!L690&lt;&gt;"", Recruiting_Data!K690&lt;&gt;"", Recruiting_Data!L690&lt;Recruiting_Data!K690)), TRUE, FALSE))</f>
        <v/>
      </c>
    </row>
    <row r="691">
      <c r="A691" s="5" t="str">
        <f>IF(Recruiting_Data!A691="", "", Recruiting_Data!A691)</f>
        <v/>
      </c>
      <c r="B691" s="5" t="str">
        <f>IF(Recruiting_Data!B691="", "", Recruiting_Data!B691)</f>
        <v/>
      </c>
      <c r="C691" s="5" t="str">
        <f>IF(AND(ISNUMBER(Recruiting_Data!N691), ISNUMBER(Recruiting_Data!P691)), Recruiting_Data!N691 - Recruiting_Data!P691, "")</f>
        <v/>
      </c>
      <c r="E691" s="5" t="str">
        <f>IF(Recruiting_Data!R691="Open", TODAY() - Recruiting_Data!P691, "")</f>
        <v/>
      </c>
      <c r="F691" s="8" t="str">
        <f t="shared" si="1"/>
        <v/>
      </c>
      <c r="G691" s="5" t="str">
        <f>IF(A691="", "", IF(COUNTIF(Recruiting_Data!A:A, A691)&gt;1, TRUE, FALSE))</f>
        <v/>
      </c>
      <c r="H691" s="5" t="str">
        <f>IF(A691="", "", IF(OR(AND(Recruiting_Data!N691&lt;&gt;"", Recruiting_Data!J691&lt;&gt;"", Recruiting_Data!N691&lt;Recruiting_Data!J691), AND(Recruiting_Data!M691&lt;&gt;"", Recruiting_Data!L691&lt;&gt;"", Recruiting_Data!M691&lt;Recruiting_Data!L691), AND(Recruiting_Data!L691&lt;&gt;"", Recruiting_Data!K691&lt;&gt;"", Recruiting_Data!L691&lt;Recruiting_Data!K691)), TRUE, FALSE))</f>
        <v/>
      </c>
    </row>
    <row r="692">
      <c r="A692" s="5" t="str">
        <f>IF(Recruiting_Data!A692="", "", Recruiting_Data!A692)</f>
        <v/>
      </c>
      <c r="B692" s="5" t="str">
        <f>IF(Recruiting_Data!B692="", "", Recruiting_Data!B692)</f>
        <v/>
      </c>
      <c r="C692" s="5" t="str">
        <f>IF(AND(ISNUMBER(Recruiting_Data!N692), ISNUMBER(Recruiting_Data!P692)), Recruiting_Data!N692 - Recruiting_Data!P692, "")</f>
        <v/>
      </c>
      <c r="E692" s="5" t="str">
        <f>IF(Recruiting_Data!R692="Open", TODAY() - Recruiting_Data!P692, "")</f>
        <v/>
      </c>
      <c r="F692" s="8" t="str">
        <f t="shared" si="1"/>
        <v/>
      </c>
      <c r="G692" s="5" t="str">
        <f>IF(A692="", "", IF(COUNTIF(Recruiting_Data!A:A, A692)&gt;1, TRUE, FALSE))</f>
        <v/>
      </c>
      <c r="H692" s="5" t="str">
        <f>IF(A692="", "", IF(OR(AND(Recruiting_Data!N692&lt;&gt;"", Recruiting_Data!J692&lt;&gt;"", Recruiting_Data!N692&lt;Recruiting_Data!J692), AND(Recruiting_Data!M692&lt;&gt;"", Recruiting_Data!L692&lt;&gt;"", Recruiting_Data!M692&lt;Recruiting_Data!L692), AND(Recruiting_Data!L692&lt;&gt;"", Recruiting_Data!K692&lt;&gt;"", Recruiting_Data!L692&lt;Recruiting_Data!K692)), TRUE, FALSE))</f>
        <v/>
      </c>
    </row>
    <row r="693">
      <c r="A693" s="5" t="str">
        <f>IF(Recruiting_Data!A693="", "", Recruiting_Data!A693)</f>
        <v/>
      </c>
      <c r="B693" s="5" t="str">
        <f>IF(Recruiting_Data!B693="", "", Recruiting_Data!B693)</f>
        <v/>
      </c>
      <c r="C693" s="5" t="str">
        <f>IF(AND(ISNUMBER(Recruiting_Data!N693), ISNUMBER(Recruiting_Data!P693)), Recruiting_Data!N693 - Recruiting_Data!P693, "")</f>
        <v/>
      </c>
      <c r="E693" s="5" t="str">
        <f>IF(Recruiting_Data!R693="Open", TODAY() - Recruiting_Data!P693, "")</f>
        <v/>
      </c>
      <c r="F693" s="8" t="str">
        <f t="shared" si="1"/>
        <v/>
      </c>
      <c r="G693" s="5" t="str">
        <f>IF(A693="", "", IF(COUNTIF(Recruiting_Data!A:A, A693)&gt;1, TRUE, FALSE))</f>
        <v/>
      </c>
      <c r="H693" s="5" t="str">
        <f>IF(A693="", "", IF(OR(AND(Recruiting_Data!N693&lt;&gt;"", Recruiting_Data!J693&lt;&gt;"", Recruiting_Data!N693&lt;Recruiting_Data!J693), AND(Recruiting_Data!M693&lt;&gt;"", Recruiting_Data!L693&lt;&gt;"", Recruiting_Data!M693&lt;Recruiting_Data!L693), AND(Recruiting_Data!L693&lt;&gt;"", Recruiting_Data!K693&lt;&gt;"", Recruiting_Data!L693&lt;Recruiting_Data!K693)), TRUE, FALSE))</f>
        <v/>
      </c>
    </row>
    <row r="694">
      <c r="A694" s="5" t="str">
        <f>IF(Recruiting_Data!A694="", "", Recruiting_Data!A694)</f>
        <v/>
      </c>
      <c r="B694" s="5" t="str">
        <f>IF(Recruiting_Data!B694="", "", Recruiting_Data!B694)</f>
        <v/>
      </c>
      <c r="C694" s="5" t="str">
        <f>IF(AND(ISNUMBER(Recruiting_Data!N694), ISNUMBER(Recruiting_Data!P694)), Recruiting_Data!N694 - Recruiting_Data!P694, "")</f>
        <v/>
      </c>
      <c r="E694" s="5" t="str">
        <f>IF(Recruiting_Data!R694="Open", TODAY() - Recruiting_Data!P694, "")</f>
        <v/>
      </c>
      <c r="F694" s="8" t="str">
        <f t="shared" si="1"/>
        <v/>
      </c>
      <c r="G694" s="5" t="str">
        <f>IF(A694="", "", IF(COUNTIF(Recruiting_Data!A:A, A694)&gt;1, TRUE, FALSE))</f>
        <v/>
      </c>
      <c r="H694" s="5" t="str">
        <f>IF(A694="", "", IF(OR(AND(Recruiting_Data!N694&lt;&gt;"", Recruiting_Data!J694&lt;&gt;"", Recruiting_Data!N694&lt;Recruiting_Data!J694), AND(Recruiting_Data!M694&lt;&gt;"", Recruiting_Data!L694&lt;&gt;"", Recruiting_Data!M694&lt;Recruiting_Data!L694), AND(Recruiting_Data!L694&lt;&gt;"", Recruiting_Data!K694&lt;&gt;"", Recruiting_Data!L694&lt;Recruiting_Data!K694)), TRUE, FALSE))</f>
        <v/>
      </c>
    </row>
    <row r="695">
      <c r="A695" s="5" t="str">
        <f>IF(Recruiting_Data!A695="", "", Recruiting_Data!A695)</f>
        <v/>
      </c>
      <c r="B695" s="5" t="str">
        <f>IF(Recruiting_Data!B695="", "", Recruiting_Data!B695)</f>
        <v/>
      </c>
      <c r="C695" s="5" t="str">
        <f>IF(AND(ISNUMBER(Recruiting_Data!N695), ISNUMBER(Recruiting_Data!P695)), Recruiting_Data!N695 - Recruiting_Data!P695, "")</f>
        <v/>
      </c>
      <c r="E695" s="5" t="str">
        <f>IF(Recruiting_Data!R695="Open", TODAY() - Recruiting_Data!P695, "")</f>
        <v/>
      </c>
      <c r="F695" s="8" t="str">
        <f t="shared" si="1"/>
        <v/>
      </c>
      <c r="G695" s="5" t="str">
        <f>IF(A695="", "", IF(COUNTIF(Recruiting_Data!A:A, A695)&gt;1, TRUE, FALSE))</f>
        <v/>
      </c>
      <c r="H695" s="5" t="str">
        <f>IF(A695="", "", IF(OR(AND(Recruiting_Data!N695&lt;&gt;"", Recruiting_Data!J695&lt;&gt;"", Recruiting_Data!N695&lt;Recruiting_Data!J695), AND(Recruiting_Data!M695&lt;&gt;"", Recruiting_Data!L695&lt;&gt;"", Recruiting_Data!M695&lt;Recruiting_Data!L695), AND(Recruiting_Data!L695&lt;&gt;"", Recruiting_Data!K695&lt;&gt;"", Recruiting_Data!L695&lt;Recruiting_Data!K695)), TRUE, FALSE))</f>
        <v/>
      </c>
    </row>
    <row r="696">
      <c r="A696" s="5" t="str">
        <f>IF(Recruiting_Data!A696="", "", Recruiting_Data!A696)</f>
        <v/>
      </c>
      <c r="B696" s="5" t="str">
        <f>IF(Recruiting_Data!B696="", "", Recruiting_Data!B696)</f>
        <v/>
      </c>
      <c r="C696" s="5" t="str">
        <f>IF(AND(ISNUMBER(Recruiting_Data!N696), ISNUMBER(Recruiting_Data!P696)), Recruiting_Data!N696 - Recruiting_Data!P696, "")</f>
        <v/>
      </c>
      <c r="E696" s="5" t="str">
        <f>IF(Recruiting_Data!R696="Open", TODAY() - Recruiting_Data!P696, "")</f>
        <v/>
      </c>
      <c r="F696" s="8" t="str">
        <f t="shared" si="1"/>
        <v/>
      </c>
      <c r="G696" s="5" t="str">
        <f>IF(A696="", "", IF(COUNTIF(Recruiting_Data!A:A, A696)&gt;1, TRUE, FALSE))</f>
        <v/>
      </c>
      <c r="H696" s="5" t="str">
        <f>IF(A696="", "", IF(OR(AND(Recruiting_Data!N696&lt;&gt;"", Recruiting_Data!J696&lt;&gt;"", Recruiting_Data!N696&lt;Recruiting_Data!J696), AND(Recruiting_Data!M696&lt;&gt;"", Recruiting_Data!L696&lt;&gt;"", Recruiting_Data!M696&lt;Recruiting_Data!L696), AND(Recruiting_Data!L696&lt;&gt;"", Recruiting_Data!K696&lt;&gt;"", Recruiting_Data!L696&lt;Recruiting_Data!K696)), TRUE, FALSE))</f>
        <v/>
      </c>
    </row>
    <row r="697">
      <c r="A697" s="5" t="str">
        <f>IF(Recruiting_Data!A697="", "", Recruiting_Data!A697)</f>
        <v/>
      </c>
      <c r="B697" s="5" t="str">
        <f>IF(Recruiting_Data!B697="", "", Recruiting_Data!B697)</f>
        <v/>
      </c>
      <c r="C697" s="5" t="str">
        <f>IF(AND(ISNUMBER(Recruiting_Data!N697), ISNUMBER(Recruiting_Data!P697)), Recruiting_Data!N697 - Recruiting_Data!P697, "")</f>
        <v/>
      </c>
      <c r="E697" s="5" t="str">
        <f>IF(Recruiting_Data!R697="Open", TODAY() - Recruiting_Data!P697, "")</f>
        <v/>
      </c>
      <c r="F697" s="8" t="str">
        <f t="shared" si="1"/>
        <v/>
      </c>
      <c r="G697" s="5" t="str">
        <f>IF(A697="", "", IF(COUNTIF(Recruiting_Data!A:A, A697)&gt;1, TRUE, FALSE))</f>
        <v/>
      </c>
      <c r="H697" s="5" t="str">
        <f>IF(A697="", "", IF(OR(AND(Recruiting_Data!N697&lt;&gt;"", Recruiting_Data!J697&lt;&gt;"", Recruiting_Data!N697&lt;Recruiting_Data!J697), AND(Recruiting_Data!M697&lt;&gt;"", Recruiting_Data!L697&lt;&gt;"", Recruiting_Data!M697&lt;Recruiting_Data!L697), AND(Recruiting_Data!L697&lt;&gt;"", Recruiting_Data!K697&lt;&gt;"", Recruiting_Data!L697&lt;Recruiting_Data!K697)), TRUE, FALSE))</f>
        <v/>
      </c>
    </row>
    <row r="698">
      <c r="A698" s="5" t="str">
        <f>IF(Recruiting_Data!A698="", "", Recruiting_Data!A698)</f>
        <v/>
      </c>
      <c r="B698" s="5" t="str">
        <f>IF(Recruiting_Data!B698="", "", Recruiting_Data!B698)</f>
        <v/>
      </c>
      <c r="C698" s="5" t="str">
        <f>IF(AND(ISNUMBER(Recruiting_Data!N698), ISNUMBER(Recruiting_Data!P698)), Recruiting_Data!N698 - Recruiting_Data!P698, "")</f>
        <v/>
      </c>
      <c r="E698" s="5" t="str">
        <f>IF(Recruiting_Data!R698="Open", TODAY() - Recruiting_Data!P698, "")</f>
        <v/>
      </c>
      <c r="F698" s="8" t="str">
        <f t="shared" si="1"/>
        <v/>
      </c>
      <c r="G698" s="5" t="str">
        <f>IF(A698="", "", IF(COUNTIF(Recruiting_Data!A:A, A698)&gt;1, TRUE, FALSE))</f>
        <v/>
      </c>
      <c r="H698" s="5" t="str">
        <f>IF(A698="", "", IF(OR(AND(Recruiting_Data!N698&lt;&gt;"", Recruiting_Data!J698&lt;&gt;"", Recruiting_Data!N698&lt;Recruiting_Data!J698), AND(Recruiting_Data!M698&lt;&gt;"", Recruiting_Data!L698&lt;&gt;"", Recruiting_Data!M698&lt;Recruiting_Data!L698), AND(Recruiting_Data!L698&lt;&gt;"", Recruiting_Data!K698&lt;&gt;"", Recruiting_Data!L698&lt;Recruiting_Data!K698)), TRUE, FALSE))</f>
        <v/>
      </c>
    </row>
    <row r="699">
      <c r="A699" s="5" t="str">
        <f>IF(Recruiting_Data!A699="", "", Recruiting_Data!A699)</f>
        <v/>
      </c>
      <c r="B699" s="5" t="str">
        <f>IF(Recruiting_Data!B699="", "", Recruiting_Data!B699)</f>
        <v/>
      </c>
      <c r="C699" s="5" t="str">
        <f>IF(AND(ISNUMBER(Recruiting_Data!N699), ISNUMBER(Recruiting_Data!P699)), Recruiting_Data!N699 - Recruiting_Data!P699, "")</f>
        <v/>
      </c>
      <c r="E699" s="5" t="str">
        <f>IF(Recruiting_Data!R699="Open", TODAY() - Recruiting_Data!P699, "")</f>
        <v/>
      </c>
      <c r="F699" s="8" t="str">
        <f t="shared" si="1"/>
        <v/>
      </c>
      <c r="G699" s="5" t="str">
        <f>IF(A699="", "", IF(COUNTIF(Recruiting_Data!A:A, A699)&gt;1, TRUE, FALSE))</f>
        <v/>
      </c>
      <c r="H699" s="5" t="str">
        <f>IF(A699="", "", IF(OR(AND(Recruiting_Data!N699&lt;&gt;"", Recruiting_Data!J699&lt;&gt;"", Recruiting_Data!N699&lt;Recruiting_Data!J699), AND(Recruiting_Data!M699&lt;&gt;"", Recruiting_Data!L699&lt;&gt;"", Recruiting_Data!M699&lt;Recruiting_Data!L699), AND(Recruiting_Data!L699&lt;&gt;"", Recruiting_Data!K699&lt;&gt;"", Recruiting_Data!L699&lt;Recruiting_Data!K699)), TRUE, FALSE))</f>
        <v/>
      </c>
    </row>
    <row r="700">
      <c r="A700" s="5" t="str">
        <f>IF(Recruiting_Data!A700="", "", Recruiting_Data!A700)</f>
        <v/>
      </c>
      <c r="B700" s="5" t="str">
        <f>IF(Recruiting_Data!B700="", "", Recruiting_Data!B700)</f>
        <v/>
      </c>
      <c r="C700" s="5" t="str">
        <f>IF(AND(ISNUMBER(Recruiting_Data!N700), ISNUMBER(Recruiting_Data!P700)), Recruiting_Data!N700 - Recruiting_Data!P700, "")</f>
        <v/>
      </c>
      <c r="E700" s="5" t="str">
        <f>IF(Recruiting_Data!R700="Open", TODAY() - Recruiting_Data!P700, "")</f>
        <v/>
      </c>
      <c r="F700" s="8" t="str">
        <f t="shared" si="1"/>
        <v/>
      </c>
      <c r="G700" s="5" t="str">
        <f>IF(A700="", "", IF(COUNTIF(Recruiting_Data!A:A, A700)&gt;1, TRUE, FALSE))</f>
        <v/>
      </c>
      <c r="H700" s="5" t="str">
        <f>IF(A700="", "", IF(OR(AND(Recruiting_Data!N700&lt;&gt;"", Recruiting_Data!J700&lt;&gt;"", Recruiting_Data!N700&lt;Recruiting_Data!J700), AND(Recruiting_Data!M700&lt;&gt;"", Recruiting_Data!L700&lt;&gt;"", Recruiting_Data!M700&lt;Recruiting_Data!L700), AND(Recruiting_Data!L700&lt;&gt;"", Recruiting_Data!K700&lt;&gt;"", Recruiting_Data!L700&lt;Recruiting_Data!K700)), TRUE, FALSE))</f>
        <v/>
      </c>
    </row>
    <row r="701">
      <c r="A701" s="5" t="str">
        <f>IF(Recruiting_Data!A701="", "", Recruiting_Data!A701)</f>
        <v/>
      </c>
      <c r="B701" s="5" t="str">
        <f>IF(Recruiting_Data!B701="", "", Recruiting_Data!B701)</f>
        <v/>
      </c>
      <c r="C701" s="5" t="str">
        <f>IF(AND(ISNUMBER(Recruiting_Data!N701), ISNUMBER(Recruiting_Data!P701)), Recruiting_Data!N701 - Recruiting_Data!P701, "")</f>
        <v/>
      </c>
      <c r="E701" s="5" t="str">
        <f>IF(Recruiting_Data!R701="Open", TODAY() - Recruiting_Data!P701, "")</f>
        <v/>
      </c>
      <c r="F701" s="8" t="str">
        <f t="shared" si="1"/>
        <v/>
      </c>
      <c r="G701" s="5" t="str">
        <f>IF(A701="", "", IF(COUNTIF(Recruiting_Data!A:A, A701)&gt;1, TRUE, FALSE))</f>
        <v/>
      </c>
      <c r="H701" s="5" t="str">
        <f>IF(A701="", "", IF(OR(AND(Recruiting_Data!N701&lt;&gt;"", Recruiting_Data!J701&lt;&gt;"", Recruiting_Data!N701&lt;Recruiting_Data!J701), AND(Recruiting_Data!M701&lt;&gt;"", Recruiting_Data!L701&lt;&gt;"", Recruiting_Data!M701&lt;Recruiting_Data!L701), AND(Recruiting_Data!L701&lt;&gt;"", Recruiting_Data!K701&lt;&gt;"", Recruiting_Data!L701&lt;Recruiting_Data!K701)), TRUE, FALSE))</f>
        <v/>
      </c>
    </row>
    <row r="702">
      <c r="A702" s="5" t="str">
        <f>IF(Recruiting_Data!A702="", "", Recruiting_Data!A702)</f>
        <v/>
      </c>
      <c r="B702" s="5" t="str">
        <f>IF(Recruiting_Data!B702="", "", Recruiting_Data!B702)</f>
        <v/>
      </c>
      <c r="C702" s="5" t="str">
        <f>IF(AND(ISNUMBER(Recruiting_Data!N702), ISNUMBER(Recruiting_Data!P702)), Recruiting_Data!N702 - Recruiting_Data!P702, "")</f>
        <v/>
      </c>
      <c r="E702" s="5" t="str">
        <f>IF(Recruiting_Data!R702="Open", TODAY() - Recruiting_Data!P702, "")</f>
        <v/>
      </c>
      <c r="F702" s="8" t="str">
        <f t="shared" si="1"/>
        <v/>
      </c>
      <c r="G702" s="5" t="str">
        <f>IF(A702="", "", IF(COUNTIF(Recruiting_Data!A:A, A702)&gt;1, TRUE, FALSE))</f>
        <v/>
      </c>
      <c r="H702" s="5" t="str">
        <f>IF(A702="", "", IF(OR(AND(Recruiting_Data!N702&lt;&gt;"", Recruiting_Data!J702&lt;&gt;"", Recruiting_Data!N702&lt;Recruiting_Data!J702), AND(Recruiting_Data!M702&lt;&gt;"", Recruiting_Data!L702&lt;&gt;"", Recruiting_Data!M702&lt;Recruiting_Data!L702), AND(Recruiting_Data!L702&lt;&gt;"", Recruiting_Data!K702&lt;&gt;"", Recruiting_Data!L702&lt;Recruiting_Data!K702)), TRUE, FALSE))</f>
        <v/>
      </c>
    </row>
    <row r="703">
      <c r="A703" s="5" t="str">
        <f>IF(Recruiting_Data!A703="", "", Recruiting_Data!A703)</f>
        <v/>
      </c>
      <c r="B703" s="5" t="str">
        <f>IF(Recruiting_Data!B703="", "", Recruiting_Data!B703)</f>
        <v/>
      </c>
      <c r="C703" s="5" t="str">
        <f>IF(AND(ISNUMBER(Recruiting_Data!N703), ISNUMBER(Recruiting_Data!P703)), Recruiting_Data!N703 - Recruiting_Data!P703, "")</f>
        <v/>
      </c>
      <c r="E703" s="5" t="str">
        <f>IF(Recruiting_Data!R703="Open", TODAY() - Recruiting_Data!P703, "")</f>
        <v/>
      </c>
      <c r="F703" s="8" t="str">
        <f t="shared" si="1"/>
        <v/>
      </c>
      <c r="G703" s="5" t="str">
        <f>IF(A703="", "", IF(COUNTIF(Recruiting_Data!A:A, A703)&gt;1, TRUE, FALSE))</f>
        <v/>
      </c>
      <c r="H703" s="5" t="str">
        <f>IF(A703="", "", IF(OR(AND(Recruiting_Data!N703&lt;&gt;"", Recruiting_Data!J703&lt;&gt;"", Recruiting_Data!N703&lt;Recruiting_Data!J703), AND(Recruiting_Data!M703&lt;&gt;"", Recruiting_Data!L703&lt;&gt;"", Recruiting_Data!M703&lt;Recruiting_Data!L703), AND(Recruiting_Data!L703&lt;&gt;"", Recruiting_Data!K703&lt;&gt;"", Recruiting_Data!L703&lt;Recruiting_Data!K703)), TRUE, FALSE))</f>
        <v/>
      </c>
    </row>
    <row r="704">
      <c r="A704" s="5" t="str">
        <f>IF(Recruiting_Data!A704="", "", Recruiting_Data!A704)</f>
        <v/>
      </c>
      <c r="B704" s="5" t="str">
        <f>IF(Recruiting_Data!B704="", "", Recruiting_Data!B704)</f>
        <v/>
      </c>
      <c r="C704" s="5" t="str">
        <f>IF(AND(ISNUMBER(Recruiting_Data!N704), ISNUMBER(Recruiting_Data!P704)), Recruiting_Data!N704 - Recruiting_Data!P704, "")</f>
        <v/>
      </c>
      <c r="E704" s="5" t="str">
        <f>IF(Recruiting_Data!R704="Open", TODAY() - Recruiting_Data!P704, "")</f>
        <v/>
      </c>
      <c r="F704" s="8" t="str">
        <f t="shared" si="1"/>
        <v/>
      </c>
      <c r="G704" s="5" t="str">
        <f>IF(A704="", "", IF(COUNTIF(Recruiting_Data!A:A, A704)&gt;1, TRUE, FALSE))</f>
        <v/>
      </c>
      <c r="H704" s="5" t="str">
        <f>IF(A704="", "", IF(OR(AND(Recruiting_Data!N704&lt;&gt;"", Recruiting_Data!J704&lt;&gt;"", Recruiting_Data!N704&lt;Recruiting_Data!J704), AND(Recruiting_Data!M704&lt;&gt;"", Recruiting_Data!L704&lt;&gt;"", Recruiting_Data!M704&lt;Recruiting_Data!L704), AND(Recruiting_Data!L704&lt;&gt;"", Recruiting_Data!K704&lt;&gt;"", Recruiting_Data!L704&lt;Recruiting_Data!K704)), TRUE, FALSE))</f>
        <v/>
      </c>
    </row>
    <row r="705">
      <c r="A705" s="5" t="str">
        <f>IF(Recruiting_Data!A705="", "", Recruiting_Data!A705)</f>
        <v/>
      </c>
      <c r="B705" s="5" t="str">
        <f>IF(Recruiting_Data!B705="", "", Recruiting_Data!B705)</f>
        <v/>
      </c>
      <c r="C705" s="5" t="str">
        <f>IF(AND(ISNUMBER(Recruiting_Data!N705), ISNUMBER(Recruiting_Data!P705)), Recruiting_Data!N705 - Recruiting_Data!P705, "")</f>
        <v/>
      </c>
      <c r="E705" s="5" t="str">
        <f>IF(Recruiting_Data!R705="Open", TODAY() - Recruiting_Data!P705, "")</f>
        <v/>
      </c>
      <c r="F705" s="8" t="str">
        <f t="shared" si="1"/>
        <v/>
      </c>
      <c r="G705" s="5" t="str">
        <f>IF(A705="", "", IF(COUNTIF(Recruiting_Data!A:A, A705)&gt;1, TRUE, FALSE))</f>
        <v/>
      </c>
      <c r="H705" s="5" t="str">
        <f>IF(A705="", "", IF(OR(AND(Recruiting_Data!N705&lt;&gt;"", Recruiting_Data!J705&lt;&gt;"", Recruiting_Data!N705&lt;Recruiting_Data!J705), AND(Recruiting_Data!M705&lt;&gt;"", Recruiting_Data!L705&lt;&gt;"", Recruiting_Data!M705&lt;Recruiting_Data!L705), AND(Recruiting_Data!L705&lt;&gt;"", Recruiting_Data!K705&lt;&gt;"", Recruiting_Data!L705&lt;Recruiting_Data!K705)), TRUE, FALSE))</f>
        <v/>
      </c>
    </row>
    <row r="706">
      <c r="A706" s="5" t="str">
        <f>IF(Recruiting_Data!A706="", "", Recruiting_Data!A706)</f>
        <v/>
      </c>
      <c r="B706" s="5" t="str">
        <f>IF(Recruiting_Data!B706="", "", Recruiting_Data!B706)</f>
        <v/>
      </c>
      <c r="C706" s="5" t="str">
        <f>IF(AND(ISNUMBER(Recruiting_Data!N706), ISNUMBER(Recruiting_Data!P706)), Recruiting_Data!N706 - Recruiting_Data!P706, "")</f>
        <v/>
      </c>
      <c r="E706" s="5" t="str">
        <f>IF(Recruiting_Data!R706="Open", TODAY() - Recruiting_Data!P706, "")</f>
        <v/>
      </c>
      <c r="F706" s="8" t="str">
        <f t="shared" si="1"/>
        <v/>
      </c>
      <c r="G706" s="5" t="str">
        <f>IF(A706="", "", IF(COUNTIF(Recruiting_Data!A:A, A706)&gt;1, TRUE, FALSE))</f>
        <v/>
      </c>
      <c r="H706" s="5" t="str">
        <f>IF(A706="", "", IF(OR(AND(Recruiting_Data!N706&lt;&gt;"", Recruiting_Data!J706&lt;&gt;"", Recruiting_Data!N706&lt;Recruiting_Data!J706), AND(Recruiting_Data!M706&lt;&gt;"", Recruiting_Data!L706&lt;&gt;"", Recruiting_Data!M706&lt;Recruiting_Data!L706), AND(Recruiting_Data!L706&lt;&gt;"", Recruiting_Data!K706&lt;&gt;"", Recruiting_Data!L706&lt;Recruiting_Data!K706)), TRUE, FALSE))</f>
        <v/>
      </c>
    </row>
    <row r="707">
      <c r="A707" s="5" t="str">
        <f>IF(Recruiting_Data!A707="", "", Recruiting_Data!A707)</f>
        <v/>
      </c>
      <c r="B707" s="5" t="str">
        <f>IF(Recruiting_Data!B707="", "", Recruiting_Data!B707)</f>
        <v/>
      </c>
      <c r="C707" s="5" t="str">
        <f>IF(AND(ISNUMBER(Recruiting_Data!N707), ISNUMBER(Recruiting_Data!P707)), Recruiting_Data!N707 - Recruiting_Data!P707, "")</f>
        <v/>
      </c>
      <c r="E707" s="5" t="str">
        <f>IF(Recruiting_Data!R707="Open", TODAY() - Recruiting_Data!P707, "")</f>
        <v/>
      </c>
      <c r="F707" s="8" t="str">
        <f t="shared" si="1"/>
        <v/>
      </c>
      <c r="G707" s="5" t="str">
        <f>IF(A707="", "", IF(COUNTIF(Recruiting_Data!A:A, A707)&gt;1, TRUE, FALSE))</f>
        <v/>
      </c>
      <c r="H707" s="5" t="str">
        <f>IF(A707="", "", IF(OR(AND(Recruiting_Data!N707&lt;&gt;"", Recruiting_Data!J707&lt;&gt;"", Recruiting_Data!N707&lt;Recruiting_Data!J707), AND(Recruiting_Data!M707&lt;&gt;"", Recruiting_Data!L707&lt;&gt;"", Recruiting_Data!M707&lt;Recruiting_Data!L707), AND(Recruiting_Data!L707&lt;&gt;"", Recruiting_Data!K707&lt;&gt;"", Recruiting_Data!L707&lt;Recruiting_Data!K707)), TRUE, FALSE))</f>
        <v/>
      </c>
    </row>
    <row r="708">
      <c r="A708" s="5" t="str">
        <f>IF(Recruiting_Data!A708="", "", Recruiting_Data!A708)</f>
        <v/>
      </c>
      <c r="B708" s="5" t="str">
        <f>IF(Recruiting_Data!B708="", "", Recruiting_Data!B708)</f>
        <v/>
      </c>
      <c r="C708" s="5" t="str">
        <f>IF(AND(ISNUMBER(Recruiting_Data!N708), ISNUMBER(Recruiting_Data!P708)), Recruiting_Data!N708 - Recruiting_Data!P708, "")</f>
        <v/>
      </c>
      <c r="E708" s="5" t="str">
        <f>IF(Recruiting_Data!R708="Open", TODAY() - Recruiting_Data!P708, "")</f>
        <v/>
      </c>
      <c r="F708" s="8" t="str">
        <f t="shared" si="1"/>
        <v/>
      </c>
      <c r="G708" s="5" t="str">
        <f>IF(A708="", "", IF(COUNTIF(Recruiting_Data!A:A, A708)&gt;1, TRUE, FALSE))</f>
        <v/>
      </c>
      <c r="H708" s="5" t="str">
        <f>IF(A708="", "", IF(OR(AND(Recruiting_Data!N708&lt;&gt;"", Recruiting_Data!J708&lt;&gt;"", Recruiting_Data!N708&lt;Recruiting_Data!J708), AND(Recruiting_Data!M708&lt;&gt;"", Recruiting_Data!L708&lt;&gt;"", Recruiting_Data!M708&lt;Recruiting_Data!L708), AND(Recruiting_Data!L708&lt;&gt;"", Recruiting_Data!K708&lt;&gt;"", Recruiting_Data!L708&lt;Recruiting_Data!K708)), TRUE, FALSE))</f>
        <v/>
      </c>
    </row>
    <row r="709">
      <c r="A709" s="5" t="str">
        <f>IF(Recruiting_Data!A709="", "", Recruiting_Data!A709)</f>
        <v/>
      </c>
      <c r="B709" s="5" t="str">
        <f>IF(Recruiting_Data!B709="", "", Recruiting_Data!B709)</f>
        <v/>
      </c>
      <c r="C709" s="5" t="str">
        <f>IF(AND(ISNUMBER(Recruiting_Data!N709), ISNUMBER(Recruiting_Data!P709)), Recruiting_Data!N709 - Recruiting_Data!P709, "")</f>
        <v/>
      </c>
      <c r="E709" s="5" t="str">
        <f>IF(Recruiting_Data!R709="Open", TODAY() - Recruiting_Data!P709, "")</f>
        <v/>
      </c>
      <c r="F709" s="8" t="str">
        <f t="shared" si="1"/>
        <v/>
      </c>
      <c r="G709" s="5" t="str">
        <f>IF(A709="", "", IF(COUNTIF(Recruiting_Data!A:A, A709)&gt;1, TRUE, FALSE))</f>
        <v/>
      </c>
      <c r="H709" s="5" t="str">
        <f>IF(A709="", "", IF(OR(AND(Recruiting_Data!N709&lt;&gt;"", Recruiting_Data!J709&lt;&gt;"", Recruiting_Data!N709&lt;Recruiting_Data!J709), AND(Recruiting_Data!M709&lt;&gt;"", Recruiting_Data!L709&lt;&gt;"", Recruiting_Data!M709&lt;Recruiting_Data!L709), AND(Recruiting_Data!L709&lt;&gt;"", Recruiting_Data!K709&lt;&gt;"", Recruiting_Data!L709&lt;Recruiting_Data!K709)), TRUE, FALSE))</f>
        <v/>
      </c>
    </row>
    <row r="710">
      <c r="A710" s="5" t="str">
        <f>IF(Recruiting_Data!A710="", "", Recruiting_Data!A710)</f>
        <v/>
      </c>
      <c r="B710" s="5" t="str">
        <f>IF(Recruiting_Data!B710="", "", Recruiting_Data!B710)</f>
        <v/>
      </c>
      <c r="C710" s="5" t="str">
        <f>IF(AND(ISNUMBER(Recruiting_Data!N710), ISNUMBER(Recruiting_Data!P710)), Recruiting_Data!N710 - Recruiting_Data!P710, "")</f>
        <v/>
      </c>
      <c r="E710" s="5" t="str">
        <f>IF(Recruiting_Data!R710="Open", TODAY() - Recruiting_Data!P710, "")</f>
        <v/>
      </c>
      <c r="F710" s="8" t="str">
        <f t="shared" si="1"/>
        <v/>
      </c>
      <c r="G710" s="5" t="str">
        <f>IF(A710="", "", IF(COUNTIF(Recruiting_Data!A:A, A710)&gt;1, TRUE, FALSE))</f>
        <v/>
      </c>
      <c r="H710" s="5" t="str">
        <f>IF(A710="", "", IF(OR(AND(Recruiting_Data!N710&lt;&gt;"", Recruiting_Data!J710&lt;&gt;"", Recruiting_Data!N710&lt;Recruiting_Data!J710), AND(Recruiting_Data!M710&lt;&gt;"", Recruiting_Data!L710&lt;&gt;"", Recruiting_Data!M710&lt;Recruiting_Data!L710), AND(Recruiting_Data!L710&lt;&gt;"", Recruiting_Data!K710&lt;&gt;"", Recruiting_Data!L710&lt;Recruiting_Data!K710)), TRUE, FALSE))</f>
        <v/>
      </c>
    </row>
    <row r="711">
      <c r="A711" s="5" t="str">
        <f>IF(Recruiting_Data!A711="", "", Recruiting_Data!A711)</f>
        <v/>
      </c>
      <c r="B711" s="5" t="str">
        <f>IF(Recruiting_Data!B711="", "", Recruiting_Data!B711)</f>
        <v/>
      </c>
      <c r="C711" s="5" t="str">
        <f>IF(AND(ISNUMBER(Recruiting_Data!N711), ISNUMBER(Recruiting_Data!P711)), Recruiting_Data!N711 - Recruiting_Data!P711, "")</f>
        <v/>
      </c>
      <c r="E711" s="5" t="str">
        <f>IF(Recruiting_Data!R711="Open", TODAY() - Recruiting_Data!P711, "")</f>
        <v/>
      </c>
      <c r="F711" s="8" t="str">
        <f t="shared" si="1"/>
        <v/>
      </c>
      <c r="G711" s="5" t="str">
        <f>IF(A711="", "", IF(COUNTIF(Recruiting_Data!A:A, A711)&gt;1, TRUE, FALSE))</f>
        <v/>
      </c>
      <c r="H711" s="5" t="str">
        <f>IF(A711="", "", IF(OR(AND(Recruiting_Data!N711&lt;&gt;"", Recruiting_Data!J711&lt;&gt;"", Recruiting_Data!N711&lt;Recruiting_Data!J711), AND(Recruiting_Data!M711&lt;&gt;"", Recruiting_Data!L711&lt;&gt;"", Recruiting_Data!M711&lt;Recruiting_Data!L711), AND(Recruiting_Data!L711&lt;&gt;"", Recruiting_Data!K711&lt;&gt;"", Recruiting_Data!L711&lt;Recruiting_Data!K711)), TRUE, FALSE))</f>
        <v/>
      </c>
    </row>
    <row r="712">
      <c r="A712" s="5" t="str">
        <f>IF(Recruiting_Data!A712="", "", Recruiting_Data!A712)</f>
        <v/>
      </c>
      <c r="B712" s="5" t="str">
        <f>IF(Recruiting_Data!B712="", "", Recruiting_Data!B712)</f>
        <v/>
      </c>
      <c r="C712" s="5" t="str">
        <f>IF(AND(ISNUMBER(Recruiting_Data!N712), ISNUMBER(Recruiting_Data!P712)), Recruiting_Data!N712 - Recruiting_Data!P712, "")</f>
        <v/>
      </c>
      <c r="E712" s="5" t="str">
        <f>IF(Recruiting_Data!R712="Open", TODAY() - Recruiting_Data!P712, "")</f>
        <v/>
      </c>
      <c r="F712" s="8" t="str">
        <f t="shared" si="1"/>
        <v/>
      </c>
      <c r="G712" s="5" t="str">
        <f>IF(A712="", "", IF(COUNTIF(Recruiting_Data!A:A, A712)&gt;1, TRUE, FALSE))</f>
        <v/>
      </c>
      <c r="H712" s="5" t="str">
        <f>IF(A712="", "", IF(OR(AND(Recruiting_Data!N712&lt;&gt;"", Recruiting_Data!J712&lt;&gt;"", Recruiting_Data!N712&lt;Recruiting_Data!J712), AND(Recruiting_Data!M712&lt;&gt;"", Recruiting_Data!L712&lt;&gt;"", Recruiting_Data!M712&lt;Recruiting_Data!L712), AND(Recruiting_Data!L712&lt;&gt;"", Recruiting_Data!K712&lt;&gt;"", Recruiting_Data!L712&lt;Recruiting_Data!K712)), TRUE, FALSE))</f>
        <v/>
      </c>
    </row>
    <row r="713">
      <c r="A713" s="5" t="str">
        <f>IF(Recruiting_Data!A713="", "", Recruiting_Data!A713)</f>
        <v/>
      </c>
      <c r="B713" s="5" t="str">
        <f>IF(Recruiting_Data!B713="", "", Recruiting_Data!B713)</f>
        <v/>
      </c>
      <c r="C713" s="5" t="str">
        <f>IF(AND(ISNUMBER(Recruiting_Data!N713), ISNUMBER(Recruiting_Data!P713)), Recruiting_Data!N713 - Recruiting_Data!P713, "")</f>
        <v/>
      </c>
      <c r="E713" s="5" t="str">
        <f>IF(Recruiting_Data!R713="Open", TODAY() - Recruiting_Data!P713, "")</f>
        <v/>
      </c>
      <c r="F713" s="8" t="str">
        <f t="shared" si="1"/>
        <v/>
      </c>
      <c r="G713" s="5" t="str">
        <f>IF(A713="", "", IF(COUNTIF(Recruiting_Data!A:A, A713)&gt;1, TRUE, FALSE))</f>
        <v/>
      </c>
      <c r="H713" s="5" t="str">
        <f>IF(A713="", "", IF(OR(AND(Recruiting_Data!N713&lt;&gt;"", Recruiting_Data!J713&lt;&gt;"", Recruiting_Data!N713&lt;Recruiting_Data!J713), AND(Recruiting_Data!M713&lt;&gt;"", Recruiting_Data!L713&lt;&gt;"", Recruiting_Data!M713&lt;Recruiting_Data!L713), AND(Recruiting_Data!L713&lt;&gt;"", Recruiting_Data!K713&lt;&gt;"", Recruiting_Data!L713&lt;Recruiting_Data!K713)), TRUE, FALSE))</f>
        <v/>
      </c>
    </row>
    <row r="714">
      <c r="A714" s="5" t="str">
        <f>IF(Recruiting_Data!A714="", "", Recruiting_Data!A714)</f>
        <v/>
      </c>
      <c r="B714" s="5" t="str">
        <f>IF(Recruiting_Data!B714="", "", Recruiting_Data!B714)</f>
        <v/>
      </c>
      <c r="C714" s="5" t="str">
        <f>IF(AND(ISNUMBER(Recruiting_Data!N714), ISNUMBER(Recruiting_Data!P714)), Recruiting_Data!N714 - Recruiting_Data!P714, "")</f>
        <v/>
      </c>
      <c r="E714" s="5" t="str">
        <f>IF(Recruiting_Data!R714="Open", TODAY() - Recruiting_Data!P714, "")</f>
        <v/>
      </c>
      <c r="F714" s="8" t="str">
        <f t="shared" si="1"/>
        <v/>
      </c>
      <c r="G714" s="5" t="str">
        <f>IF(A714="", "", IF(COUNTIF(Recruiting_Data!A:A, A714)&gt;1, TRUE, FALSE))</f>
        <v/>
      </c>
      <c r="H714" s="5" t="str">
        <f>IF(A714="", "", IF(OR(AND(Recruiting_Data!N714&lt;&gt;"", Recruiting_Data!J714&lt;&gt;"", Recruiting_Data!N714&lt;Recruiting_Data!J714), AND(Recruiting_Data!M714&lt;&gt;"", Recruiting_Data!L714&lt;&gt;"", Recruiting_Data!M714&lt;Recruiting_Data!L714), AND(Recruiting_Data!L714&lt;&gt;"", Recruiting_Data!K714&lt;&gt;"", Recruiting_Data!L714&lt;Recruiting_Data!K714)), TRUE, FALSE))</f>
        <v/>
      </c>
    </row>
    <row r="715">
      <c r="A715" s="5" t="str">
        <f>IF(Recruiting_Data!A715="", "", Recruiting_Data!A715)</f>
        <v/>
      </c>
      <c r="B715" s="5" t="str">
        <f>IF(Recruiting_Data!B715="", "", Recruiting_Data!B715)</f>
        <v/>
      </c>
      <c r="C715" s="5" t="str">
        <f>IF(AND(ISNUMBER(Recruiting_Data!N715), ISNUMBER(Recruiting_Data!P715)), Recruiting_Data!N715 - Recruiting_Data!P715, "")</f>
        <v/>
      </c>
      <c r="E715" s="5" t="str">
        <f>IF(Recruiting_Data!R715="Open", TODAY() - Recruiting_Data!P715, "")</f>
        <v/>
      </c>
      <c r="F715" s="8" t="str">
        <f t="shared" si="1"/>
        <v/>
      </c>
      <c r="G715" s="5" t="str">
        <f>IF(A715="", "", IF(COUNTIF(Recruiting_Data!A:A, A715)&gt;1, TRUE, FALSE))</f>
        <v/>
      </c>
      <c r="H715" s="5" t="str">
        <f>IF(A715="", "", IF(OR(AND(Recruiting_Data!N715&lt;&gt;"", Recruiting_Data!J715&lt;&gt;"", Recruiting_Data!N715&lt;Recruiting_Data!J715), AND(Recruiting_Data!M715&lt;&gt;"", Recruiting_Data!L715&lt;&gt;"", Recruiting_Data!M715&lt;Recruiting_Data!L715), AND(Recruiting_Data!L715&lt;&gt;"", Recruiting_Data!K715&lt;&gt;"", Recruiting_Data!L715&lt;Recruiting_Data!K715)), TRUE, FALSE))</f>
        <v/>
      </c>
    </row>
    <row r="716">
      <c r="A716" s="5" t="str">
        <f>IF(Recruiting_Data!A716="", "", Recruiting_Data!A716)</f>
        <v/>
      </c>
      <c r="B716" s="5" t="str">
        <f>IF(Recruiting_Data!B716="", "", Recruiting_Data!B716)</f>
        <v/>
      </c>
      <c r="C716" s="5" t="str">
        <f>IF(AND(ISNUMBER(Recruiting_Data!N716), ISNUMBER(Recruiting_Data!P716)), Recruiting_Data!N716 - Recruiting_Data!P716, "")</f>
        <v/>
      </c>
      <c r="E716" s="5" t="str">
        <f>IF(Recruiting_Data!R716="Open", TODAY() - Recruiting_Data!P716, "")</f>
        <v/>
      </c>
      <c r="F716" s="8" t="str">
        <f t="shared" si="1"/>
        <v/>
      </c>
      <c r="G716" s="5" t="str">
        <f>IF(A716="", "", IF(COUNTIF(Recruiting_Data!A:A, A716)&gt;1, TRUE, FALSE))</f>
        <v/>
      </c>
      <c r="H716" s="5" t="str">
        <f>IF(A716="", "", IF(OR(AND(Recruiting_Data!N716&lt;&gt;"", Recruiting_Data!J716&lt;&gt;"", Recruiting_Data!N716&lt;Recruiting_Data!J716), AND(Recruiting_Data!M716&lt;&gt;"", Recruiting_Data!L716&lt;&gt;"", Recruiting_Data!M716&lt;Recruiting_Data!L716), AND(Recruiting_Data!L716&lt;&gt;"", Recruiting_Data!K716&lt;&gt;"", Recruiting_Data!L716&lt;Recruiting_Data!K716)), TRUE, FALSE))</f>
        <v/>
      </c>
    </row>
    <row r="717">
      <c r="A717" s="5" t="str">
        <f>IF(Recruiting_Data!A717="", "", Recruiting_Data!A717)</f>
        <v/>
      </c>
      <c r="B717" s="5" t="str">
        <f>IF(Recruiting_Data!B717="", "", Recruiting_Data!B717)</f>
        <v/>
      </c>
      <c r="C717" s="5" t="str">
        <f>IF(AND(ISNUMBER(Recruiting_Data!N717), ISNUMBER(Recruiting_Data!P717)), Recruiting_Data!N717 - Recruiting_Data!P717, "")</f>
        <v/>
      </c>
      <c r="E717" s="5" t="str">
        <f>IF(Recruiting_Data!R717="Open", TODAY() - Recruiting_Data!P717, "")</f>
        <v/>
      </c>
      <c r="F717" s="8" t="str">
        <f t="shared" si="1"/>
        <v/>
      </c>
      <c r="G717" s="5" t="str">
        <f>IF(A717="", "", IF(COUNTIF(Recruiting_Data!A:A, A717)&gt;1, TRUE, FALSE))</f>
        <v/>
      </c>
      <c r="H717" s="5" t="str">
        <f>IF(A717="", "", IF(OR(AND(Recruiting_Data!N717&lt;&gt;"", Recruiting_Data!J717&lt;&gt;"", Recruiting_Data!N717&lt;Recruiting_Data!J717), AND(Recruiting_Data!M717&lt;&gt;"", Recruiting_Data!L717&lt;&gt;"", Recruiting_Data!M717&lt;Recruiting_Data!L717), AND(Recruiting_Data!L717&lt;&gt;"", Recruiting_Data!K717&lt;&gt;"", Recruiting_Data!L717&lt;Recruiting_Data!K717)), TRUE, FALSE))</f>
        <v/>
      </c>
    </row>
    <row r="718">
      <c r="A718" s="5" t="str">
        <f>IF(Recruiting_Data!A718="", "", Recruiting_Data!A718)</f>
        <v/>
      </c>
      <c r="B718" s="5" t="str">
        <f>IF(Recruiting_Data!B718="", "", Recruiting_Data!B718)</f>
        <v/>
      </c>
      <c r="C718" s="5" t="str">
        <f>IF(AND(ISNUMBER(Recruiting_Data!N718), ISNUMBER(Recruiting_Data!P718)), Recruiting_Data!N718 - Recruiting_Data!P718, "")</f>
        <v/>
      </c>
      <c r="E718" s="5" t="str">
        <f>IF(Recruiting_Data!R718="Open", TODAY() - Recruiting_Data!P718, "")</f>
        <v/>
      </c>
      <c r="F718" s="8" t="str">
        <f t="shared" si="1"/>
        <v/>
      </c>
      <c r="G718" s="5" t="str">
        <f>IF(A718="", "", IF(COUNTIF(Recruiting_Data!A:A, A718)&gt;1, TRUE, FALSE))</f>
        <v/>
      </c>
      <c r="H718" s="5" t="str">
        <f>IF(A718="", "", IF(OR(AND(Recruiting_Data!N718&lt;&gt;"", Recruiting_Data!J718&lt;&gt;"", Recruiting_Data!N718&lt;Recruiting_Data!J718), AND(Recruiting_Data!M718&lt;&gt;"", Recruiting_Data!L718&lt;&gt;"", Recruiting_Data!M718&lt;Recruiting_Data!L718), AND(Recruiting_Data!L718&lt;&gt;"", Recruiting_Data!K718&lt;&gt;"", Recruiting_Data!L718&lt;Recruiting_Data!K718)), TRUE, FALSE))</f>
        <v/>
      </c>
    </row>
    <row r="719">
      <c r="A719" s="5" t="str">
        <f>IF(Recruiting_Data!A719="", "", Recruiting_Data!A719)</f>
        <v/>
      </c>
      <c r="B719" s="5" t="str">
        <f>IF(Recruiting_Data!B719="", "", Recruiting_Data!B719)</f>
        <v/>
      </c>
      <c r="C719" s="5" t="str">
        <f>IF(AND(ISNUMBER(Recruiting_Data!N719), ISNUMBER(Recruiting_Data!P719)), Recruiting_Data!N719 - Recruiting_Data!P719, "")</f>
        <v/>
      </c>
      <c r="E719" s="5" t="str">
        <f>IF(Recruiting_Data!R719="Open", TODAY() - Recruiting_Data!P719, "")</f>
        <v/>
      </c>
      <c r="F719" s="8" t="str">
        <f t="shared" si="1"/>
        <v/>
      </c>
      <c r="G719" s="5" t="str">
        <f>IF(A719="", "", IF(COUNTIF(Recruiting_Data!A:A, A719)&gt;1, TRUE, FALSE))</f>
        <v/>
      </c>
      <c r="H719" s="5" t="str">
        <f>IF(A719="", "", IF(OR(AND(Recruiting_Data!N719&lt;&gt;"", Recruiting_Data!J719&lt;&gt;"", Recruiting_Data!N719&lt;Recruiting_Data!J719), AND(Recruiting_Data!M719&lt;&gt;"", Recruiting_Data!L719&lt;&gt;"", Recruiting_Data!M719&lt;Recruiting_Data!L719), AND(Recruiting_Data!L719&lt;&gt;"", Recruiting_Data!K719&lt;&gt;"", Recruiting_Data!L719&lt;Recruiting_Data!K719)), TRUE, FALSE))</f>
        <v/>
      </c>
    </row>
    <row r="720">
      <c r="A720" s="5" t="str">
        <f>IF(Recruiting_Data!A720="", "", Recruiting_Data!A720)</f>
        <v/>
      </c>
      <c r="B720" s="5" t="str">
        <f>IF(Recruiting_Data!B720="", "", Recruiting_Data!B720)</f>
        <v/>
      </c>
      <c r="C720" s="5" t="str">
        <f>IF(AND(ISNUMBER(Recruiting_Data!N720), ISNUMBER(Recruiting_Data!P720)), Recruiting_Data!N720 - Recruiting_Data!P720, "")</f>
        <v/>
      </c>
      <c r="E720" s="5" t="str">
        <f>IF(Recruiting_Data!R720="Open", TODAY() - Recruiting_Data!P720, "")</f>
        <v/>
      </c>
      <c r="F720" s="8" t="str">
        <f t="shared" si="1"/>
        <v/>
      </c>
      <c r="G720" s="5" t="str">
        <f>IF(A720="", "", IF(COUNTIF(Recruiting_Data!A:A, A720)&gt;1, TRUE, FALSE))</f>
        <v/>
      </c>
      <c r="H720" s="5" t="str">
        <f>IF(A720="", "", IF(OR(AND(Recruiting_Data!N720&lt;&gt;"", Recruiting_Data!J720&lt;&gt;"", Recruiting_Data!N720&lt;Recruiting_Data!J720), AND(Recruiting_Data!M720&lt;&gt;"", Recruiting_Data!L720&lt;&gt;"", Recruiting_Data!M720&lt;Recruiting_Data!L720), AND(Recruiting_Data!L720&lt;&gt;"", Recruiting_Data!K720&lt;&gt;"", Recruiting_Data!L720&lt;Recruiting_Data!K720)), TRUE, FALSE))</f>
        <v/>
      </c>
    </row>
    <row r="721">
      <c r="A721" s="5" t="str">
        <f>IF(Recruiting_Data!A721="", "", Recruiting_Data!A721)</f>
        <v/>
      </c>
      <c r="B721" s="5" t="str">
        <f>IF(Recruiting_Data!B721="", "", Recruiting_Data!B721)</f>
        <v/>
      </c>
      <c r="C721" s="5" t="str">
        <f>IF(AND(ISNUMBER(Recruiting_Data!N721), ISNUMBER(Recruiting_Data!P721)), Recruiting_Data!N721 - Recruiting_Data!P721, "")</f>
        <v/>
      </c>
      <c r="E721" s="5" t="str">
        <f>IF(Recruiting_Data!R721="Open", TODAY() - Recruiting_Data!P721, "")</f>
        <v/>
      </c>
      <c r="F721" s="8" t="str">
        <f t="shared" si="1"/>
        <v/>
      </c>
      <c r="G721" s="5" t="str">
        <f>IF(A721="", "", IF(COUNTIF(Recruiting_Data!A:A, A721)&gt;1, TRUE, FALSE))</f>
        <v/>
      </c>
      <c r="H721" s="5" t="str">
        <f>IF(A721="", "", IF(OR(AND(Recruiting_Data!N721&lt;&gt;"", Recruiting_Data!J721&lt;&gt;"", Recruiting_Data!N721&lt;Recruiting_Data!J721), AND(Recruiting_Data!M721&lt;&gt;"", Recruiting_Data!L721&lt;&gt;"", Recruiting_Data!M721&lt;Recruiting_Data!L721), AND(Recruiting_Data!L721&lt;&gt;"", Recruiting_Data!K721&lt;&gt;"", Recruiting_Data!L721&lt;Recruiting_Data!K721)), TRUE, FALSE))</f>
        <v/>
      </c>
    </row>
    <row r="722">
      <c r="A722" s="5" t="str">
        <f>IF(Recruiting_Data!A722="", "", Recruiting_Data!A722)</f>
        <v/>
      </c>
      <c r="B722" s="5" t="str">
        <f>IF(Recruiting_Data!B722="", "", Recruiting_Data!B722)</f>
        <v/>
      </c>
      <c r="C722" s="5" t="str">
        <f>IF(AND(ISNUMBER(Recruiting_Data!N722), ISNUMBER(Recruiting_Data!P722)), Recruiting_Data!N722 - Recruiting_Data!P722, "")</f>
        <v/>
      </c>
      <c r="E722" s="5" t="str">
        <f>IF(Recruiting_Data!R722="Open", TODAY() - Recruiting_Data!P722, "")</f>
        <v/>
      </c>
      <c r="F722" s="8" t="str">
        <f t="shared" si="1"/>
        <v/>
      </c>
      <c r="G722" s="5" t="str">
        <f>IF(A722="", "", IF(COUNTIF(Recruiting_Data!A:A, A722)&gt;1, TRUE, FALSE))</f>
        <v/>
      </c>
      <c r="H722" s="5" t="str">
        <f>IF(A722="", "", IF(OR(AND(Recruiting_Data!N722&lt;&gt;"", Recruiting_Data!J722&lt;&gt;"", Recruiting_Data!N722&lt;Recruiting_Data!J722), AND(Recruiting_Data!M722&lt;&gt;"", Recruiting_Data!L722&lt;&gt;"", Recruiting_Data!M722&lt;Recruiting_Data!L722), AND(Recruiting_Data!L722&lt;&gt;"", Recruiting_Data!K722&lt;&gt;"", Recruiting_Data!L722&lt;Recruiting_Data!K722)), TRUE, FALSE))</f>
        <v/>
      </c>
    </row>
    <row r="723">
      <c r="A723" s="5" t="str">
        <f>IF(Recruiting_Data!A723="", "", Recruiting_Data!A723)</f>
        <v/>
      </c>
      <c r="B723" s="5" t="str">
        <f>IF(Recruiting_Data!B723="", "", Recruiting_Data!B723)</f>
        <v/>
      </c>
      <c r="C723" s="5" t="str">
        <f>IF(AND(ISNUMBER(Recruiting_Data!N723), ISNUMBER(Recruiting_Data!P723)), Recruiting_Data!N723 - Recruiting_Data!P723, "")</f>
        <v/>
      </c>
      <c r="E723" s="5" t="str">
        <f>IF(Recruiting_Data!R723="Open", TODAY() - Recruiting_Data!P723, "")</f>
        <v/>
      </c>
      <c r="F723" s="8" t="str">
        <f t="shared" si="1"/>
        <v/>
      </c>
      <c r="G723" s="5" t="str">
        <f>IF(A723="", "", IF(COUNTIF(Recruiting_Data!A:A, A723)&gt;1, TRUE, FALSE))</f>
        <v/>
      </c>
      <c r="H723" s="5" t="str">
        <f>IF(A723="", "", IF(OR(AND(Recruiting_Data!N723&lt;&gt;"", Recruiting_Data!J723&lt;&gt;"", Recruiting_Data!N723&lt;Recruiting_Data!J723), AND(Recruiting_Data!M723&lt;&gt;"", Recruiting_Data!L723&lt;&gt;"", Recruiting_Data!M723&lt;Recruiting_Data!L723), AND(Recruiting_Data!L723&lt;&gt;"", Recruiting_Data!K723&lt;&gt;"", Recruiting_Data!L723&lt;Recruiting_Data!K723)), TRUE, FALSE))</f>
        <v/>
      </c>
    </row>
    <row r="724">
      <c r="A724" s="5" t="str">
        <f>IF(Recruiting_Data!A724="", "", Recruiting_Data!A724)</f>
        <v/>
      </c>
      <c r="B724" s="5" t="str">
        <f>IF(Recruiting_Data!B724="", "", Recruiting_Data!B724)</f>
        <v/>
      </c>
      <c r="C724" s="5" t="str">
        <f>IF(AND(ISNUMBER(Recruiting_Data!N724), ISNUMBER(Recruiting_Data!P724)), Recruiting_Data!N724 - Recruiting_Data!P724, "")</f>
        <v/>
      </c>
      <c r="E724" s="5" t="str">
        <f>IF(Recruiting_Data!R724="Open", TODAY() - Recruiting_Data!P724, "")</f>
        <v/>
      </c>
      <c r="F724" s="8" t="str">
        <f t="shared" si="1"/>
        <v/>
      </c>
      <c r="G724" s="5" t="str">
        <f>IF(A724="", "", IF(COUNTIF(Recruiting_Data!A:A, A724)&gt;1, TRUE, FALSE))</f>
        <v/>
      </c>
      <c r="H724" s="5" t="str">
        <f>IF(A724="", "", IF(OR(AND(Recruiting_Data!N724&lt;&gt;"", Recruiting_Data!J724&lt;&gt;"", Recruiting_Data!N724&lt;Recruiting_Data!J724), AND(Recruiting_Data!M724&lt;&gt;"", Recruiting_Data!L724&lt;&gt;"", Recruiting_Data!M724&lt;Recruiting_Data!L724), AND(Recruiting_Data!L724&lt;&gt;"", Recruiting_Data!K724&lt;&gt;"", Recruiting_Data!L724&lt;Recruiting_Data!K724)), TRUE, FALSE))</f>
        <v/>
      </c>
    </row>
    <row r="725">
      <c r="A725" s="5" t="str">
        <f>IF(Recruiting_Data!A725="", "", Recruiting_Data!A725)</f>
        <v/>
      </c>
      <c r="B725" s="5" t="str">
        <f>IF(Recruiting_Data!B725="", "", Recruiting_Data!B725)</f>
        <v/>
      </c>
      <c r="C725" s="5" t="str">
        <f>IF(AND(ISNUMBER(Recruiting_Data!N725), ISNUMBER(Recruiting_Data!P725)), Recruiting_Data!N725 - Recruiting_Data!P725, "")</f>
        <v/>
      </c>
      <c r="E725" s="5" t="str">
        <f>IF(Recruiting_Data!R725="Open", TODAY() - Recruiting_Data!P725, "")</f>
        <v/>
      </c>
      <c r="F725" s="8" t="str">
        <f t="shared" si="1"/>
        <v/>
      </c>
      <c r="G725" s="5" t="str">
        <f>IF(A725="", "", IF(COUNTIF(Recruiting_Data!A:A, A725)&gt;1, TRUE, FALSE))</f>
        <v/>
      </c>
      <c r="H725" s="5" t="str">
        <f>IF(A725="", "", IF(OR(AND(Recruiting_Data!N725&lt;&gt;"", Recruiting_Data!J725&lt;&gt;"", Recruiting_Data!N725&lt;Recruiting_Data!J725), AND(Recruiting_Data!M725&lt;&gt;"", Recruiting_Data!L725&lt;&gt;"", Recruiting_Data!M725&lt;Recruiting_Data!L725), AND(Recruiting_Data!L725&lt;&gt;"", Recruiting_Data!K725&lt;&gt;"", Recruiting_Data!L725&lt;Recruiting_Data!K725)), TRUE, FALSE))</f>
        <v/>
      </c>
    </row>
    <row r="726">
      <c r="A726" s="5" t="str">
        <f>IF(Recruiting_Data!A726="", "", Recruiting_Data!A726)</f>
        <v/>
      </c>
      <c r="B726" s="5" t="str">
        <f>IF(Recruiting_Data!B726="", "", Recruiting_Data!B726)</f>
        <v/>
      </c>
      <c r="C726" s="5" t="str">
        <f>IF(AND(ISNUMBER(Recruiting_Data!N726), ISNUMBER(Recruiting_Data!P726)), Recruiting_Data!N726 - Recruiting_Data!P726, "")</f>
        <v/>
      </c>
      <c r="E726" s="5" t="str">
        <f>IF(Recruiting_Data!R726="Open", TODAY() - Recruiting_Data!P726, "")</f>
        <v/>
      </c>
      <c r="F726" s="8" t="str">
        <f t="shared" si="1"/>
        <v/>
      </c>
      <c r="G726" s="5" t="str">
        <f>IF(A726="", "", IF(COUNTIF(Recruiting_Data!A:A, A726)&gt;1, TRUE, FALSE))</f>
        <v/>
      </c>
      <c r="H726" s="5" t="str">
        <f>IF(A726="", "", IF(OR(AND(Recruiting_Data!N726&lt;&gt;"", Recruiting_Data!J726&lt;&gt;"", Recruiting_Data!N726&lt;Recruiting_Data!J726), AND(Recruiting_Data!M726&lt;&gt;"", Recruiting_Data!L726&lt;&gt;"", Recruiting_Data!M726&lt;Recruiting_Data!L726), AND(Recruiting_Data!L726&lt;&gt;"", Recruiting_Data!K726&lt;&gt;"", Recruiting_Data!L726&lt;Recruiting_Data!K726)), TRUE, FALSE))</f>
        <v/>
      </c>
    </row>
    <row r="727">
      <c r="A727" s="5" t="str">
        <f>IF(Recruiting_Data!A727="", "", Recruiting_Data!A727)</f>
        <v/>
      </c>
      <c r="B727" s="5" t="str">
        <f>IF(Recruiting_Data!B727="", "", Recruiting_Data!B727)</f>
        <v/>
      </c>
      <c r="C727" s="5" t="str">
        <f>IF(AND(ISNUMBER(Recruiting_Data!N727), ISNUMBER(Recruiting_Data!P727)), Recruiting_Data!N727 - Recruiting_Data!P727, "")</f>
        <v/>
      </c>
      <c r="E727" s="5" t="str">
        <f>IF(Recruiting_Data!R727="Open", TODAY() - Recruiting_Data!P727, "")</f>
        <v/>
      </c>
      <c r="F727" s="8" t="str">
        <f t="shared" si="1"/>
        <v/>
      </c>
      <c r="G727" s="5" t="str">
        <f>IF(A727="", "", IF(COUNTIF(Recruiting_Data!A:A, A727)&gt;1, TRUE, FALSE))</f>
        <v/>
      </c>
      <c r="H727" s="5" t="str">
        <f>IF(A727="", "", IF(OR(AND(Recruiting_Data!N727&lt;&gt;"", Recruiting_Data!J727&lt;&gt;"", Recruiting_Data!N727&lt;Recruiting_Data!J727), AND(Recruiting_Data!M727&lt;&gt;"", Recruiting_Data!L727&lt;&gt;"", Recruiting_Data!M727&lt;Recruiting_Data!L727), AND(Recruiting_Data!L727&lt;&gt;"", Recruiting_Data!K727&lt;&gt;"", Recruiting_Data!L727&lt;Recruiting_Data!K727)), TRUE, FALSE))</f>
        <v/>
      </c>
    </row>
    <row r="728">
      <c r="A728" s="5" t="str">
        <f>IF(Recruiting_Data!A728="", "", Recruiting_Data!A728)</f>
        <v/>
      </c>
      <c r="B728" s="5" t="str">
        <f>IF(Recruiting_Data!B728="", "", Recruiting_Data!B728)</f>
        <v/>
      </c>
      <c r="C728" s="5" t="str">
        <f>IF(AND(ISNUMBER(Recruiting_Data!N728), ISNUMBER(Recruiting_Data!P728)), Recruiting_Data!N728 - Recruiting_Data!P728, "")</f>
        <v/>
      </c>
      <c r="E728" s="5" t="str">
        <f>IF(Recruiting_Data!R728="Open", TODAY() - Recruiting_Data!P728, "")</f>
        <v/>
      </c>
      <c r="F728" s="8" t="str">
        <f t="shared" si="1"/>
        <v/>
      </c>
      <c r="G728" s="5" t="str">
        <f>IF(A728="", "", IF(COUNTIF(Recruiting_Data!A:A, A728)&gt;1, TRUE, FALSE))</f>
        <v/>
      </c>
      <c r="H728" s="5" t="str">
        <f>IF(A728="", "", IF(OR(AND(Recruiting_Data!N728&lt;&gt;"", Recruiting_Data!J728&lt;&gt;"", Recruiting_Data!N728&lt;Recruiting_Data!J728), AND(Recruiting_Data!M728&lt;&gt;"", Recruiting_Data!L728&lt;&gt;"", Recruiting_Data!M728&lt;Recruiting_Data!L728), AND(Recruiting_Data!L728&lt;&gt;"", Recruiting_Data!K728&lt;&gt;"", Recruiting_Data!L728&lt;Recruiting_Data!K728)), TRUE, FALSE))</f>
        <v/>
      </c>
    </row>
    <row r="729">
      <c r="A729" s="5" t="str">
        <f>IF(Recruiting_Data!A729="", "", Recruiting_Data!A729)</f>
        <v/>
      </c>
      <c r="B729" s="5" t="str">
        <f>IF(Recruiting_Data!B729="", "", Recruiting_Data!B729)</f>
        <v/>
      </c>
      <c r="C729" s="5" t="str">
        <f>IF(AND(ISNUMBER(Recruiting_Data!N729), ISNUMBER(Recruiting_Data!P729)), Recruiting_Data!N729 - Recruiting_Data!P729, "")</f>
        <v/>
      </c>
      <c r="E729" s="5" t="str">
        <f>IF(Recruiting_Data!R729="Open", TODAY() - Recruiting_Data!P729, "")</f>
        <v/>
      </c>
      <c r="F729" s="8" t="str">
        <f t="shared" si="1"/>
        <v/>
      </c>
      <c r="G729" s="5" t="str">
        <f>IF(A729="", "", IF(COUNTIF(Recruiting_Data!A:A, A729)&gt;1, TRUE, FALSE))</f>
        <v/>
      </c>
      <c r="H729" s="5" t="str">
        <f>IF(A729="", "", IF(OR(AND(Recruiting_Data!N729&lt;&gt;"", Recruiting_Data!J729&lt;&gt;"", Recruiting_Data!N729&lt;Recruiting_Data!J729), AND(Recruiting_Data!M729&lt;&gt;"", Recruiting_Data!L729&lt;&gt;"", Recruiting_Data!M729&lt;Recruiting_Data!L729), AND(Recruiting_Data!L729&lt;&gt;"", Recruiting_Data!K729&lt;&gt;"", Recruiting_Data!L729&lt;Recruiting_Data!K729)), TRUE, FALSE))</f>
        <v/>
      </c>
    </row>
    <row r="730">
      <c r="A730" s="5" t="str">
        <f>IF(Recruiting_Data!A730="", "", Recruiting_Data!A730)</f>
        <v/>
      </c>
      <c r="B730" s="5" t="str">
        <f>IF(Recruiting_Data!B730="", "", Recruiting_Data!B730)</f>
        <v/>
      </c>
      <c r="C730" s="5" t="str">
        <f>IF(AND(ISNUMBER(Recruiting_Data!N730), ISNUMBER(Recruiting_Data!P730)), Recruiting_Data!N730 - Recruiting_Data!P730, "")</f>
        <v/>
      </c>
      <c r="E730" s="5" t="str">
        <f>IF(Recruiting_Data!R730="Open", TODAY() - Recruiting_Data!P730, "")</f>
        <v/>
      </c>
      <c r="F730" s="8" t="str">
        <f t="shared" si="1"/>
        <v/>
      </c>
      <c r="G730" s="5" t="str">
        <f>IF(A730="", "", IF(COUNTIF(Recruiting_Data!A:A, A730)&gt;1, TRUE, FALSE))</f>
        <v/>
      </c>
      <c r="H730" s="5" t="str">
        <f>IF(A730="", "", IF(OR(AND(Recruiting_Data!N730&lt;&gt;"", Recruiting_Data!J730&lt;&gt;"", Recruiting_Data!N730&lt;Recruiting_Data!J730), AND(Recruiting_Data!M730&lt;&gt;"", Recruiting_Data!L730&lt;&gt;"", Recruiting_Data!M730&lt;Recruiting_Data!L730), AND(Recruiting_Data!L730&lt;&gt;"", Recruiting_Data!K730&lt;&gt;"", Recruiting_Data!L730&lt;Recruiting_Data!K730)), TRUE, FALSE))</f>
        <v/>
      </c>
    </row>
    <row r="731">
      <c r="A731" s="5" t="str">
        <f>IF(Recruiting_Data!A731="", "", Recruiting_Data!A731)</f>
        <v/>
      </c>
      <c r="B731" s="5" t="str">
        <f>IF(Recruiting_Data!B731="", "", Recruiting_Data!B731)</f>
        <v/>
      </c>
      <c r="C731" s="5" t="str">
        <f>IF(AND(ISNUMBER(Recruiting_Data!N731), ISNUMBER(Recruiting_Data!P731)), Recruiting_Data!N731 - Recruiting_Data!P731, "")</f>
        <v/>
      </c>
      <c r="E731" s="5" t="str">
        <f>IF(Recruiting_Data!R731="Open", TODAY() - Recruiting_Data!P731, "")</f>
        <v/>
      </c>
      <c r="F731" s="8" t="str">
        <f t="shared" si="1"/>
        <v/>
      </c>
      <c r="G731" s="5" t="str">
        <f>IF(A731="", "", IF(COUNTIF(Recruiting_Data!A:A, A731)&gt;1, TRUE, FALSE))</f>
        <v/>
      </c>
      <c r="H731" s="5" t="str">
        <f>IF(A731="", "", IF(OR(AND(Recruiting_Data!N731&lt;&gt;"", Recruiting_Data!J731&lt;&gt;"", Recruiting_Data!N731&lt;Recruiting_Data!J731), AND(Recruiting_Data!M731&lt;&gt;"", Recruiting_Data!L731&lt;&gt;"", Recruiting_Data!M731&lt;Recruiting_Data!L731), AND(Recruiting_Data!L731&lt;&gt;"", Recruiting_Data!K731&lt;&gt;"", Recruiting_Data!L731&lt;Recruiting_Data!K731)), TRUE, FALSE))</f>
        <v/>
      </c>
    </row>
    <row r="732">
      <c r="A732" s="5" t="str">
        <f>IF(Recruiting_Data!A732="", "", Recruiting_Data!A732)</f>
        <v/>
      </c>
      <c r="B732" s="5" t="str">
        <f>IF(Recruiting_Data!B732="", "", Recruiting_Data!B732)</f>
        <v/>
      </c>
      <c r="C732" s="5" t="str">
        <f>IF(AND(ISNUMBER(Recruiting_Data!N732), ISNUMBER(Recruiting_Data!P732)), Recruiting_Data!N732 - Recruiting_Data!P732, "")</f>
        <v/>
      </c>
      <c r="E732" s="5" t="str">
        <f>IF(Recruiting_Data!R732="Open", TODAY() - Recruiting_Data!P732, "")</f>
        <v/>
      </c>
      <c r="F732" s="8" t="str">
        <f t="shared" si="1"/>
        <v/>
      </c>
      <c r="G732" s="5" t="str">
        <f>IF(A732="", "", IF(COUNTIF(Recruiting_Data!A:A, A732)&gt;1, TRUE, FALSE))</f>
        <v/>
      </c>
      <c r="H732" s="5" t="str">
        <f>IF(A732="", "", IF(OR(AND(Recruiting_Data!N732&lt;&gt;"", Recruiting_Data!J732&lt;&gt;"", Recruiting_Data!N732&lt;Recruiting_Data!J732), AND(Recruiting_Data!M732&lt;&gt;"", Recruiting_Data!L732&lt;&gt;"", Recruiting_Data!M732&lt;Recruiting_Data!L732), AND(Recruiting_Data!L732&lt;&gt;"", Recruiting_Data!K732&lt;&gt;"", Recruiting_Data!L732&lt;Recruiting_Data!K732)), TRUE, FALSE))</f>
        <v/>
      </c>
    </row>
    <row r="733">
      <c r="A733" s="5" t="str">
        <f>IF(Recruiting_Data!A733="", "", Recruiting_Data!A733)</f>
        <v/>
      </c>
      <c r="B733" s="5" t="str">
        <f>IF(Recruiting_Data!B733="", "", Recruiting_Data!B733)</f>
        <v/>
      </c>
      <c r="C733" s="5" t="str">
        <f>IF(AND(ISNUMBER(Recruiting_Data!N733), ISNUMBER(Recruiting_Data!P733)), Recruiting_Data!N733 - Recruiting_Data!P733, "")</f>
        <v/>
      </c>
      <c r="E733" s="5" t="str">
        <f>IF(Recruiting_Data!R733="Open", TODAY() - Recruiting_Data!P733, "")</f>
        <v/>
      </c>
      <c r="F733" s="8" t="str">
        <f t="shared" si="1"/>
        <v/>
      </c>
      <c r="G733" s="5" t="str">
        <f>IF(A733="", "", IF(COUNTIF(Recruiting_Data!A:A, A733)&gt;1, TRUE, FALSE))</f>
        <v/>
      </c>
      <c r="H733" s="5" t="str">
        <f>IF(A733="", "", IF(OR(AND(Recruiting_Data!N733&lt;&gt;"", Recruiting_Data!J733&lt;&gt;"", Recruiting_Data!N733&lt;Recruiting_Data!J733), AND(Recruiting_Data!M733&lt;&gt;"", Recruiting_Data!L733&lt;&gt;"", Recruiting_Data!M733&lt;Recruiting_Data!L733), AND(Recruiting_Data!L733&lt;&gt;"", Recruiting_Data!K733&lt;&gt;"", Recruiting_Data!L733&lt;Recruiting_Data!K733)), TRUE, FALSE))</f>
        <v/>
      </c>
    </row>
    <row r="734">
      <c r="A734" s="5" t="str">
        <f>IF(Recruiting_Data!A734="", "", Recruiting_Data!A734)</f>
        <v/>
      </c>
      <c r="B734" s="5" t="str">
        <f>IF(Recruiting_Data!B734="", "", Recruiting_Data!B734)</f>
        <v/>
      </c>
      <c r="C734" s="5" t="str">
        <f>IF(AND(ISNUMBER(Recruiting_Data!N734), ISNUMBER(Recruiting_Data!P734)), Recruiting_Data!N734 - Recruiting_Data!P734, "")</f>
        <v/>
      </c>
      <c r="E734" s="5" t="str">
        <f>IF(Recruiting_Data!R734="Open", TODAY() - Recruiting_Data!P734, "")</f>
        <v/>
      </c>
      <c r="F734" s="8" t="str">
        <f t="shared" si="1"/>
        <v/>
      </c>
      <c r="G734" s="5" t="str">
        <f>IF(A734="", "", IF(COUNTIF(Recruiting_Data!A:A, A734)&gt;1, TRUE, FALSE))</f>
        <v/>
      </c>
      <c r="H734" s="5" t="str">
        <f>IF(A734="", "", IF(OR(AND(Recruiting_Data!N734&lt;&gt;"", Recruiting_Data!J734&lt;&gt;"", Recruiting_Data!N734&lt;Recruiting_Data!J734), AND(Recruiting_Data!M734&lt;&gt;"", Recruiting_Data!L734&lt;&gt;"", Recruiting_Data!M734&lt;Recruiting_Data!L734), AND(Recruiting_Data!L734&lt;&gt;"", Recruiting_Data!K734&lt;&gt;"", Recruiting_Data!L734&lt;Recruiting_Data!K734)), TRUE, FALSE))</f>
        <v/>
      </c>
    </row>
    <row r="735">
      <c r="A735" s="5" t="str">
        <f>IF(Recruiting_Data!A735="", "", Recruiting_Data!A735)</f>
        <v/>
      </c>
      <c r="B735" s="5" t="str">
        <f>IF(Recruiting_Data!B735="", "", Recruiting_Data!B735)</f>
        <v/>
      </c>
      <c r="C735" s="5" t="str">
        <f>IF(AND(ISNUMBER(Recruiting_Data!N735), ISNUMBER(Recruiting_Data!P735)), Recruiting_Data!N735 - Recruiting_Data!P735, "")</f>
        <v/>
      </c>
      <c r="E735" s="5" t="str">
        <f>IF(Recruiting_Data!R735="Open", TODAY() - Recruiting_Data!P735, "")</f>
        <v/>
      </c>
      <c r="F735" s="8" t="str">
        <f t="shared" si="1"/>
        <v/>
      </c>
      <c r="G735" s="5" t="str">
        <f>IF(A735="", "", IF(COUNTIF(Recruiting_Data!A:A, A735)&gt;1, TRUE, FALSE))</f>
        <v/>
      </c>
      <c r="H735" s="5" t="str">
        <f>IF(A735="", "", IF(OR(AND(Recruiting_Data!N735&lt;&gt;"", Recruiting_Data!J735&lt;&gt;"", Recruiting_Data!N735&lt;Recruiting_Data!J735), AND(Recruiting_Data!M735&lt;&gt;"", Recruiting_Data!L735&lt;&gt;"", Recruiting_Data!M735&lt;Recruiting_Data!L735), AND(Recruiting_Data!L735&lt;&gt;"", Recruiting_Data!K735&lt;&gt;"", Recruiting_Data!L735&lt;Recruiting_Data!K735)), TRUE, FALSE))</f>
        <v/>
      </c>
    </row>
    <row r="736">
      <c r="A736" s="5" t="str">
        <f>IF(Recruiting_Data!A736="", "", Recruiting_Data!A736)</f>
        <v/>
      </c>
      <c r="B736" s="5" t="str">
        <f>IF(Recruiting_Data!B736="", "", Recruiting_Data!B736)</f>
        <v/>
      </c>
      <c r="C736" s="5" t="str">
        <f>IF(AND(ISNUMBER(Recruiting_Data!N736), ISNUMBER(Recruiting_Data!P736)), Recruiting_Data!N736 - Recruiting_Data!P736, "")</f>
        <v/>
      </c>
      <c r="E736" s="5" t="str">
        <f>IF(Recruiting_Data!R736="Open", TODAY() - Recruiting_Data!P736, "")</f>
        <v/>
      </c>
      <c r="F736" s="8" t="str">
        <f t="shared" si="1"/>
        <v/>
      </c>
      <c r="G736" s="5" t="str">
        <f>IF(A736="", "", IF(COUNTIF(Recruiting_Data!A:A, A736)&gt;1, TRUE, FALSE))</f>
        <v/>
      </c>
      <c r="H736" s="5" t="str">
        <f>IF(A736="", "", IF(OR(AND(Recruiting_Data!N736&lt;&gt;"", Recruiting_Data!J736&lt;&gt;"", Recruiting_Data!N736&lt;Recruiting_Data!J736), AND(Recruiting_Data!M736&lt;&gt;"", Recruiting_Data!L736&lt;&gt;"", Recruiting_Data!M736&lt;Recruiting_Data!L736), AND(Recruiting_Data!L736&lt;&gt;"", Recruiting_Data!K736&lt;&gt;"", Recruiting_Data!L736&lt;Recruiting_Data!K736)), TRUE, FALSE))</f>
        <v/>
      </c>
    </row>
    <row r="737">
      <c r="A737" s="5" t="str">
        <f>IF(Recruiting_Data!A737="", "", Recruiting_Data!A737)</f>
        <v/>
      </c>
      <c r="B737" s="5" t="str">
        <f>IF(Recruiting_Data!B737="", "", Recruiting_Data!B737)</f>
        <v/>
      </c>
      <c r="C737" s="5" t="str">
        <f>IF(AND(ISNUMBER(Recruiting_Data!N737), ISNUMBER(Recruiting_Data!P737)), Recruiting_Data!N737 - Recruiting_Data!P737, "")</f>
        <v/>
      </c>
      <c r="E737" s="5" t="str">
        <f>IF(Recruiting_Data!R737="Open", TODAY() - Recruiting_Data!P737, "")</f>
        <v/>
      </c>
      <c r="F737" s="8" t="str">
        <f t="shared" si="1"/>
        <v/>
      </c>
      <c r="G737" s="5" t="str">
        <f>IF(A737="", "", IF(COUNTIF(Recruiting_Data!A:A, A737)&gt;1, TRUE, FALSE))</f>
        <v/>
      </c>
      <c r="H737" s="5" t="str">
        <f>IF(A737="", "", IF(OR(AND(Recruiting_Data!N737&lt;&gt;"", Recruiting_Data!J737&lt;&gt;"", Recruiting_Data!N737&lt;Recruiting_Data!J737), AND(Recruiting_Data!M737&lt;&gt;"", Recruiting_Data!L737&lt;&gt;"", Recruiting_Data!M737&lt;Recruiting_Data!L737), AND(Recruiting_Data!L737&lt;&gt;"", Recruiting_Data!K737&lt;&gt;"", Recruiting_Data!L737&lt;Recruiting_Data!K737)), TRUE, FALSE))</f>
        <v/>
      </c>
    </row>
    <row r="738">
      <c r="A738" s="5" t="str">
        <f>IF(Recruiting_Data!A738="", "", Recruiting_Data!A738)</f>
        <v/>
      </c>
      <c r="B738" s="5" t="str">
        <f>IF(Recruiting_Data!B738="", "", Recruiting_Data!B738)</f>
        <v/>
      </c>
      <c r="C738" s="5" t="str">
        <f>IF(AND(ISNUMBER(Recruiting_Data!N738), ISNUMBER(Recruiting_Data!P738)), Recruiting_Data!N738 - Recruiting_Data!P738, "")</f>
        <v/>
      </c>
      <c r="E738" s="5" t="str">
        <f>IF(Recruiting_Data!R738="Open", TODAY() - Recruiting_Data!P738, "")</f>
        <v/>
      </c>
      <c r="F738" s="8" t="str">
        <f t="shared" si="1"/>
        <v/>
      </c>
      <c r="G738" s="5" t="str">
        <f>IF(A738="", "", IF(COUNTIF(Recruiting_Data!A:A, A738)&gt;1, TRUE, FALSE))</f>
        <v/>
      </c>
      <c r="H738" s="5" t="str">
        <f>IF(A738="", "", IF(OR(AND(Recruiting_Data!N738&lt;&gt;"", Recruiting_Data!J738&lt;&gt;"", Recruiting_Data!N738&lt;Recruiting_Data!J738), AND(Recruiting_Data!M738&lt;&gt;"", Recruiting_Data!L738&lt;&gt;"", Recruiting_Data!M738&lt;Recruiting_Data!L738), AND(Recruiting_Data!L738&lt;&gt;"", Recruiting_Data!K738&lt;&gt;"", Recruiting_Data!L738&lt;Recruiting_Data!K738)), TRUE, FALSE))</f>
        <v/>
      </c>
    </row>
    <row r="739">
      <c r="A739" s="5" t="str">
        <f>IF(Recruiting_Data!A739="", "", Recruiting_Data!A739)</f>
        <v/>
      </c>
      <c r="B739" s="5" t="str">
        <f>IF(Recruiting_Data!B739="", "", Recruiting_Data!B739)</f>
        <v/>
      </c>
      <c r="C739" s="5" t="str">
        <f>IF(AND(ISNUMBER(Recruiting_Data!N739), ISNUMBER(Recruiting_Data!P739)), Recruiting_Data!N739 - Recruiting_Data!P739, "")</f>
        <v/>
      </c>
      <c r="E739" s="5" t="str">
        <f>IF(Recruiting_Data!R739="Open", TODAY() - Recruiting_Data!P739, "")</f>
        <v/>
      </c>
      <c r="F739" s="8" t="str">
        <f t="shared" si="1"/>
        <v/>
      </c>
      <c r="G739" s="5" t="str">
        <f>IF(A739="", "", IF(COUNTIF(Recruiting_Data!A:A, A739)&gt;1, TRUE, FALSE))</f>
        <v/>
      </c>
      <c r="H739" s="5" t="str">
        <f>IF(A739="", "", IF(OR(AND(Recruiting_Data!N739&lt;&gt;"", Recruiting_Data!J739&lt;&gt;"", Recruiting_Data!N739&lt;Recruiting_Data!J739), AND(Recruiting_Data!M739&lt;&gt;"", Recruiting_Data!L739&lt;&gt;"", Recruiting_Data!M739&lt;Recruiting_Data!L739), AND(Recruiting_Data!L739&lt;&gt;"", Recruiting_Data!K739&lt;&gt;"", Recruiting_Data!L739&lt;Recruiting_Data!K739)), TRUE, FALSE))</f>
        <v/>
      </c>
    </row>
    <row r="740">
      <c r="A740" s="5" t="str">
        <f>IF(Recruiting_Data!A740="", "", Recruiting_Data!A740)</f>
        <v/>
      </c>
      <c r="B740" s="5" t="str">
        <f>IF(Recruiting_Data!B740="", "", Recruiting_Data!B740)</f>
        <v/>
      </c>
      <c r="C740" s="5" t="str">
        <f>IF(AND(ISNUMBER(Recruiting_Data!N740), ISNUMBER(Recruiting_Data!P740)), Recruiting_Data!N740 - Recruiting_Data!P740, "")</f>
        <v/>
      </c>
      <c r="E740" s="5" t="str">
        <f>IF(Recruiting_Data!R740="Open", TODAY() - Recruiting_Data!P740, "")</f>
        <v/>
      </c>
      <c r="F740" s="8" t="str">
        <f t="shared" si="1"/>
        <v/>
      </c>
      <c r="G740" s="5" t="str">
        <f>IF(A740="", "", IF(COUNTIF(Recruiting_Data!A:A, A740)&gt;1, TRUE, FALSE))</f>
        <v/>
      </c>
      <c r="H740" s="5" t="str">
        <f>IF(A740="", "", IF(OR(AND(Recruiting_Data!N740&lt;&gt;"", Recruiting_Data!J740&lt;&gt;"", Recruiting_Data!N740&lt;Recruiting_Data!J740), AND(Recruiting_Data!M740&lt;&gt;"", Recruiting_Data!L740&lt;&gt;"", Recruiting_Data!M740&lt;Recruiting_Data!L740), AND(Recruiting_Data!L740&lt;&gt;"", Recruiting_Data!K740&lt;&gt;"", Recruiting_Data!L740&lt;Recruiting_Data!K740)), TRUE, FALSE))</f>
        <v/>
      </c>
    </row>
    <row r="741">
      <c r="A741" s="5" t="str">
        <f>IF(Recruiting_Data!A741="", "", Recruiting_Data!A741)</f>
        <v/>
      </c>
      <c r="B741" s="5" t="str">
        <f>IF(Recruiting_Data!B741="", "", Recruiting_Data!B741)</f>
        <v/>
      </c>
      <c r="C741" s="5" t="str">
        <f>IF(AND(ISNUMBER(Recruiting_Data!N741), ISNUMBER(Recruiting_Data!P741)), Recruiting_Data!N741 - Recruiting_Data!P741, "")</f>
        <v/>
      </c>
      <c r="E741" s="5" t="str">
        <f>IF(Recruiting_Data!R741="Open", TODAY() - Recruiting_Data!P741, "")</f>
        <v/>
      </c>
      <c r="F741" s="8" t="str">
        <f t="shared" si="1"/>
        <v/>
      </c>
      <c r="G741" s="5" t="str">
        <f>IF(A741="", "", IF(COUNTIF(Recruiting_Data!A:A, A741)&gt;1, TRUE, FALSE))</f>
        <v/>
      </c>
      <c r="H741" s="5" t="str">
        <f>IF(A741="", "", IF(OR(AND(Recruiting_Data!N741&lt;&gt;"", Recruiting_Data!J741&lt;&gt;"", Recruiting_Data!N741&lt;Recruiting_Data!J741), AND(Recruiting_Data!M741&lt;&gt;"", Recruiting_Data!L741&lt;&gt;"", Recruiting_Data!M741&lt;Recruiting_Data!L741), AND(Recruiting_Data!L741&lt;&gt;"", Recruiting_Data!K741&lt;&gt;"", Recruiting_Data!L741&lt;Recruiting_Data!K741)), TRUE, FALSE))</f>
        <v/>
      </c>
    </row>
    <row r="742">
      <c r="A742" s="5" t="str">
        <f>IF(Recruiting_Data!A742="", "", Recruiting_Data!A742)</f>
        <v/>
      </c>
      <c r="B742" s="5" t="str">
        <f>IF(Recruiting_Data!B742="", "", Recruiting_Data!B742)</f>
        <v/>
      </c>
      <c r="C742" s="5" t="str">
        <f>IF(AND(ISNUMBER(Recruiting_Data!N742), ISNUMBER(Recruiting_Data!P742)), Recruiting_Data!N742 - Recruiting_Data!P742, "")</f>
        <v/>
      </c>
      <c r="E742" s="5" t="str">
        <f>IF(Recruiting_Data!R742="Open", TODAY() - Recruiting_Data!P742, "")</f>
        <v/>
      </c>
      <c r="F742" s="8" t="str">
        <f t="shared" si="1"/>
        <v/>
      </c>
      <c r="G742" s="5" t="str">
        <f>IF(A742="", "", IF(COUNTIF(Recruiting_Data!A:A, A742)&gt;1, TRUE, FALSE))</f>
        <v/>
      </c>
      <c r="H742" s="5" t="str">
        <f>IF(A742="", "", IF(OR(AND(Recruiting_Data!N742&lt;&gt;"", Recruiting_Data!J742&lt;&gt;"", Recruiting_Data!N742&lt;Recruiting_Data!J742), AND(Recruiting_Data!M742&lt;&gt;"", Recruiting_Data!L742&lt;&gt;"", Recruiting_Data!M742&lt;Recruiting_Data!L742), AND(Recruiting_Data!L742&lt;&gt;"", Recruiting_Data!K742&lt;&gt;"", Recruiting_Data!L742&lt;Recruiting_Data!K742)), TRUE, FALSE))</f>
        <v/>
      </c>
    </row>
    <row r="743">
      <c r="A743" s="5" t="str">
        <f>IF(Recruiting_Data!A743="", "", Recruiting_Data!A743)</f>
        <v/>
      </c>
      <c r="B743" s="5" t="str">
        <f>IF(Recruiting_Data!B743="", "", Recruiting_Data!B743)</f>
        <v/>
      </c>
      <c r="C743" s="5" t="str">
        <f>IF(AND(ISNUMBER(Recruiting_Data!N743), ISNUMBER(Recruiting_Data!P743)), Recruiting_Data!N743 - Recruiting_Data!P743, "")</f>
        <v/>
      </c>
      <c r="E743" s="5" t="str">
        <f>IF(Recruiting_Data!R743="Open", TODAY() - Recruiting_Data!P743, "")</f>
        <v/>
      </c>
      <c r="F743" s="8" t="str">
        <f t="shared" si="1"/>
        <v/>
      </c>
      <c r="G743" s="5" t="str">
        <f>IF(A743="", "", IF(COUNTIF(Recruiting_Data!A:A, A743)&gt;1, TRUE, FALSE))</f>
        <v/>
      </c>
      <c r="H743" s="5" t="str">
        <f>IF(A743="", "", IF(OR(AND(Recruiting_Data!N743&lt;&gt;"", Recruiting_Data!J743&lt;&gt;"", Recruiting_Data!N743&lt;Recruiting_Data!J743), AND(Recruiting_Data!M743&lt;&gt;"", Recruiting_Data!L743&lt;&gt;"", Recruiting_Data!M743&lt;Recruiting_Data!L743), AND(Recruiting_Data!L743&lt;&gt;"", Recruiting_Data!K743&lt;&gt;"", Recruiting_Data!L743&lt;Recruiting_Data!K743)), TRUE, FALSE))</f>
        <v/>
      </c>
    </row>
    <row r="744">
      <c r="A744" s="5" t="str">
        <f>IF(Recruiting_Data!A744="", "", Recruiting_Data!A744)</f>
        <v/>
      </c>
      <c r="B744" s="5" t="str">
        <f>IF(Recruiting_Data!B744="", "", Recruiting_Data!B744)</f>
        <v/>
      </c>
      <c r="C744" s="5" t="str">
        <f>IF(AND(ISNUMBER(Recruiting_Data!N744), ISNUMBER(Recruiting_Data!P744)), Recruiting_Data!N744 - Recruiting_Data!P744, "")</f>
        <v/>
      </c>
      <c r="E744" s="5" t="str">
        <f>IF(Recruiting_Data!R744="Open", TODAY() - Recruiting_Data!P744, "")</f>
        <v/>
      </c>
      <c r="F744" s="8" t="str">
        <f t="shared" si="1"/>
        <v/>
      </c>
      <c r="G744" s="5" t="str">
        <f>IF(A744="", "", IF(COUNTIF(Recruiting_Data!A:A, A744)&gt;1, TRUE, FALSE))</f>
        <v/>
      </c>
      <c r="H744" s="5" t="str">
        <f>IF(A744="", "", IF(OR(AND(Recruiting_Data!N744&lt;&gt;"", Recruiting_Data!J744&lt;&gt;"", Recruiting_Data!N744&lt;Recruiting_Data!J744), AND(Recruiting_Data!M744&lt;&gt;"", Recruiting_Data!L744&lt;&gt;"", Recruiting_Data!M744&lt;Recruiting_Data!L744), AND(Recruiting_Data!L744&lt;&gt;"", Recruiting_Data!K744&lt;&gt;"", Recruiting_Data!L744&lt;Recruiting_Data!K744)), TRUE, FALSE))</f>
        <v/>
      </c>
    </row>
    <row r="745">
      <c r="A745" s="5" t="str">
        <f>IF(Recruiting_Data!A745="", "", Recruiting_Data!A745)</f>
        <v/>
      </c>
      <c r="B745" s="5" t="str">
        <f>IF(Recruiting_Data!B745="", "", Recruiting_Data!B745)</f>
        <v/>
      </c>
      <c r="C745" s="5" t="str">
        <f>IF(AND(ISNUMBER(Recruiting_Data!N745), ISNUMBER(Recruiting_Data!P745)), Recruiting_Data!N745 - Recruiting_Data!P745, "")</f>
        <v/>
      </c>
      <c r="E745" s="5" t="str">
        <f>IF(Recruiting_Data!R745="Open", TODAY() - Recruiting_Data!P745, "")</f>
        <v/>
      </c>
      <c r="F745" s="8" t="str">
        <f t="shared" si="1"/>
        <v/>
      </c>
      <c r="G745" s="5" t="str">
        <f>IF(A745="", "", IF(COUNTIF(Recruiting_Data!A:A, A745)&gt;1, TRUE, FALSE))</f>
        <v/>
      </c>
      <c r="H745" s="5" t="str">
        <f>IF(A745="", "", IF(OR(AND(Recruiting_Data!N745&lt;&gt;"", Recruiting_Data!J745&lt;&gt;"", Recruiting_Data!N745&lt;Recruiting_Data!J745), AND(Recruiting_Data!M745&lt;&gt;"", Recruiting_Data!L745&lt;&gt;"", Recruiting_Data!M745&lt;Recruiting_Data!L745), AND(Recruiting_Data!L745&lt;&gt;"", Recruiting_Data!K745&lt;&gt;"", Recruiting_Data!L745&lt;Recruiting_Data!K745)), TRUE, FALSE))</f>
        <v/>
      </c>
    </row>
    <row r="746">
      <c r="A746" s="5" t="str">
        <f>IF(Recruiting_Data!A746="", "", Recruiting_Data!A746)</f>
        <v/>
      </c>
      <c r="B746" s="5" t="str">
        <f>IF(Recruiting_Data!B746="", "", Recruiting_Data!B746)</f>
        <v/>
      </c>
      <c r="C746" s="5" t="str">
        <f>IF(AND(ISNUMBER(Recruiting_Data!N746), ISNUMBER(Recruiting_Data!P746)), Recruiting_Data!N746 - Recruiting_Data!P746, "")</f>
        <v/>
      </c>
      <c r="E746" s="5" t="str">
        <f>IF(Recruiting_Data!R746="Open", TODAY() - Recruiting_Data!P746, "")</f>
        <v/>
      </c>
      <c r="F746" s="8" t="str">
        <f t="shared" si="1"/>
        <v/>
      </c>
      <c r="G746" s="5" t="str">
        <f>IF(A746="", "", IF(COUNTIF(Recruiting_Data!A:A, A746)&gt;1, TRUE, FALSE))</f>
        <v/>
      </c>
      <c r="H746" s="5" t="str">
        <f>IF(A746="", "", IF(OR(AND(Recruiting_Data!N746&lt;&gt;"", Recruiting_Data!J746&lt;&gt;"", Recruiting_Data!N746&lt;Recruiting_Data!J746), AND(Recruiting_Data!M746&lt;&gt;"", Recruiting_Data!L746&lt;&gt;"", Recruiting_Data!M746&lt;Recruiting_Data!L746), AND(Recruiting_Data!L746&lt;&gt;"", Recruiting_Data!K746&lt;&gt;"", Recruiting_Data!L746&lt;Recruiting_Data!K746)), TRUE, FALSE))</f>
        <v/>
      </c>
    </row>
    <row r="747">
      <c r="A747" s="5" t="str">
        <f>IF(Recruiting_Data!A747="", "", Recruiting_Data!A747)</f>
        <v/>
      </c>
      <c r="B747" s="5" t="str">
        <f>IF(Recruiting_Data!B747="", "", Recruiting_Data!B747)</f>
        <v/>
      </c>
      <c r="C747" s="5" t="str">
        <f>IF(AND(ISNUMBER(Recruiting_Data!N747), ISNUMBER(Recruiting_Data!P747)), Recruiting_Data!N747 - Recruiting_Data!P747, "")</f>
        <v/>
      </c>
      <c r="E747" s="5" t="str">
        <f>IF(Recruiting_Data!R747="Open", TODAY() - Recruiting_Data!P747, "")</f>
        <v/>
      </c>
      <c r="F747" s="8" t="str">
        <f t="shared" si="1"/>
        <v/>
      </c>
      <c r="G747" s="5" t="str">
        <f>IF(A747="", "", IF(COUNTIF(Recruiting_Data!A:A, A747)&gt;1, TRUE, FALSE))</f>
        <v/>
      </c>
      <c r="H747" s="5" t="str">
        <f>IF(A747="", "", IF(OR(AND(Recruiting_Data!N747&lt;&gt;"", Recruiting_Data!J747&lt;&gt;"", Recruiting_Data!N747&lt;Recruiting_Data!J747), AND(Recruiting_Data!M747&lt;&gt;"", Recruiting_Data!L747&lt;&gt;"", Recruiting_Data!M747&lt;Recruiting_Data!L747), AND(Recruiting_Data!L747&lt;&gt;"", Recruiting_Data!K747&lt;&gt;"", Recruiting_Data!L747&lt;Recruiting_Data!K747)), TRUE, FALSE))</f>
        <v/>
      </c>
    </row>
    <row r="748">
      <c r="A748" s="5" t="str">
        <f>IF(Recruiting_Data!A748="", "", Recruiting_Data!A748)</f>
        <v/>
      </c>
      <c r="B748" s="5" t="str">
        <f>IF(Recruiting_Data!B748="", "", Recruiting_Data!B748)</f>
        <v/>
      </c>
      <c r="C748" s="5" t="str">
        <f>IF(AND(ISNUMBER(Recruiting_Data!N748), ISNUMBER(Recruiting_Data!P748)), Recruiting_Data!N748 - Recruiting_Data!P748, "")</f>
        <v/>
      </c>
      <c r="E748" s="5" t="str">
        <f>IF(Recruiting_Data!R748="Open", TODAY() - Recruiting_Data!P748, "")</f>
        <v/>
      </c>
      <c r="F748" s="8" t="str">
        <f t="shared" si="1"/>
        <v/>
      </c>
      <c r="G748" s="5" t="str">
        <f>IF(A748="", "", IF(COUNTIF(Recruiting_Data!A:A, A748)&gt;1, TRUE, FALSE))</f>
        <v/>
      </c>
      <c r="H748" s="5" t="str">
        <f>IF(A748="", "", IF(OR(AND(Recruiting_Data!N748&lt;&gt;"", Recruiting_Data!J748&lt;&gt;"", Recruiting_Data!N748&lt;Recruiting_Data!J748), AND(Recruiting_Data!M748&lt;&gt;"", Recruiting_Data!L748&lt;&gt;"", Recruiting_Data!M748&lt;Recruiting_Data!L748), AND(Recruiting_Data!L748&lt;&gt;"", Recruiting_Data!K748&lt;&gt;"", Recruiting_Data!L748&lt;Recruiting_Data!K748)), TRUE, FALSE))</f>
        <v/>
      </c>
    </row>
    <row r="749">
      <c r="A749" s="5" t="str">
        <f>IF(Recruiting_Data!A749="", "", Recruiting_Data!A749)</f>
        <v/>
      </c>
      <c r="B749" s="5" t="str">
        <f>IF(Recruiting_Data!B749="", "", Recruiting_Data!B749)</f>
        <v/>
      </c>
      <c r="C749" s="5" t="str">
        <f>IF(AND(ISNUMBER(Recruiting_Data!N749), ISNUMBER(Recruiting_Data!P749)), Recruiting_Data!N749 - Recruiting_Data!P749, "")</f>
        <v/>
      </c>
      <c r="E749" s="5" t="str">
        <f>IF(Recruiting_Data!R749="Open", TODAY() - Recruiting_Data!P749, "")</f>
        <v/>
      </c>
      <c r="F749" s="8" t="str">
        <f t="shared" si="1"/>
        <v/>
      </c>
      <c r="G749" s="5" t="str">
        <f>IF(A749="", "", IF(COUNTIF(Recruiting_Data!A:A, A749)&gt;1, TRUE, FALSE))</f>
        <v/>
      </c>
      <c r="H749" s="5" t="str">
        <f>IF(A749="", "", IF(OR(AND(Recruiting_Data!N749&lt;&gt;"", Recruiting_Data!J749&lt;&gt;"", Recruiting_Data!N749&lt;Recruiting_Data!J749), AND(Recruiting_Data!M749&lt;&gt;"", Recruiting_Data!L749&lt;&gt;"", Recruiting_Data!M749&lt;Recruiting_Data!L749), AND(Recruiting_Data!L749&lt;&gt;"", Recruiting_Data!K749&lt;&gt;"", Recruiting_Data!L749&lt;Recruiting_Data!K749)), TRUE, FALSE))</f>
        <v/>
      </c>
    </row>
    <row r="750">
      <c r="A750" s="5" t="str">
        <f>IF(Recruiting_Data!A750="", "", Recruiting_Data!A750)</f>
        <v/>
      </c>
      <c r="B750" s="5" t="str">
        <f>IF(Recruiting_Data!B750="", "", Recruiting_Data!B750)</f>
        <v/>
      </c>
      <c r="C750" s="5" t="str">
        <f>IF(AND(ISNUMBER(Recruiting_Data!N750), ISNUMBER(Recruiting_Data!P750)), Recruiting_Data!N750 - Recruiting_Data!P750, "")</f>
        <v/>
      </c>
      <c r="E750" s="5" t="str">
        <f>IF(Recruiting_Data!R750="Open", TODAY() - Recruiting_Data!P750, "")</f>
        <v/>
      </c>
      <c r="F750" s="8" t="str">
        <f t="shared" si="1"/>
        <v/>
      </c>
      <c r="G750" s="5" t="str">
        <f>IF(A750="", "", IF(COUNTIF(Recruiting_Data!A:A, A750)&gt;1, TRUE, FALSE))</f>
        <v/>
      </c>
      <c r="H750" s="5" t="str">
        <f>IF(A750="", "", IF(OR(AND(Recruiting_Data!N750&lt;&gt;"", Recruiting_Data!J750&lt;&gt;"", Recruiting_Data!N750&lt;Recruiting_Data!J750), AND(Recruiting_Data!M750&lt;&gt;"", Recruiting_Data!L750&lt;&gt;"", Recruiting_Data!M750&lt;Recruiting_Data!L750), AND(Recruiting_Data!L750&lt;&gt;"", Recruiting_Data!K750&lt;&gt;"", Recruiting_Data!L750&lt;Recruiting_Data!K750)), TRUE, FALSE))</f>
        <v/>
      </c>
    </row>
    <row r="751">
      <c r="A751" s="5" t="str">
        <f>IF(Recruiting_Data!A751="", "", Recruiting_Data!A751)</f>
        <v/>
      </c>
      <c r="B751" s="5" t="str">
        <f>IF(Recruiting_Data!B751="", "", Recruiting_Data!B751)</f>
        <v/>
      </c>
      <c r="C751" s="5" t="str">
        <f>IF(AND(ISNUMBER(Recruiting_Data!N751), ISNUMBER(Recruiting_Data!P751)), Recruiting_Data!N751 - Recruiting_Data!P751, "")</f>
        <v/>
      </c>
      <c r="E751" s="5" t="str">
        <f>IF(Recruiting_Data!R751="Open", TODAY() - Recruiting_Data!P751, "")</f>
        <v/>
      </c>
      <c r="F751" s="8" t="str">
        <f t="shared" si="1"/>
        <v/>
      </c>
      <c r="G751" s="5" t="str">
        <f>IF(A751="", "", IF(COUNTIF(Recruiting_Data!A:A, A751)&gt;1, TRUE, FALSE))</f>
        <v/>
      </c>
      <c r="H751" s="5" t="str">
        <f>IF(A751="", "", IF(OR(AND(Recruiting_Data!N751&lt;&gt;"", Recruiting_Data!J751&lt;&gt;"", Recruiting_Data!N751&lt;Recruiting_Data!J751), AND(Recruiting_Data!M751&lt;&gt;"", Recruiting_Data!L751&lt;&gt;"", Recruiting_Data!M751&lt;Recruiting_Data!L751), AND(Recruiting_Data!L751&lt;&gt;"", Recruiting_Data!K751&lt;&gt;"", Recruiting_Data!L751&lt;Recruiting_Data!K751)), TRUE, FALSE))</f>
        <v/>
      </c>
    </row>
    <row r="752">
      <c r="A752" s="5" t="str">
        <f>IF(Recruiting_Data!A752="", "", Recruiting_Data!A752)</f>
        <v/>
      </c>
      <c r="B752" s="5" t="str">
        <f>IF(Recruiting_Data!B752="", "", Recruiting_Data!B752)</f>
        <v/>
      </c>
      <c r="C752" s="5" t="str">
        <f>IF(AND(ISNUMBER(Recruiting_Data!N752), ISNUMBER(Recruiting_Data!P752)), Recruiting_Data!N752 - Recruiting_Data!P752, "")</f>
        <v/>
      </c>
      <c r="E752" s="5" t="str">
        <f>IF(Recruiting_Data!R752="Open", TODAY() - Recruiting_Data!P752, "")</f>
        <v/>
      </c>
      <c r="F752" s="8" t="str">
        <f t="shared" si="1"/>
        <v/>
      </c>
      <c r="G752" s="5" t="str">
        <f>IF(A752="", "", IF(COUNTIF(Recruiting_Data!A:A, A752)&gt;1, TRUE, FALSE))</f>
        <v/>
      </c>
      <c r="H752" s="5" t="str">
        <f>IF(A752="", "", IF(OR(AND(Recruiting_Data!N752&lt;&gt;"", Recruiting_Data!J752&lt;&gt;"", Recruiting_Data!N752&lt;Recruiting_Data!J752), AND(Recruiting_Data!M752&lt;&gt;"", Recruiting_Data!L752&lt;&gt;"", Recruiting_Data!M752&lt;Recruiting_Data!L752), AND(Recruiting_Data!L752&lt;&gt;"", Recruiting_Data!K752&lt;&gt;"", Recruiting_Data!L752&lt;Recruiting_Data!K752)), TRUE, FALSE))</f>
        <v/>
      </c>
    </row>
    <row r="753">
      <c r="A753" s="5" t="str">
        <f>IF(Recruiting_Data!A753="", "", Recruiting_Data!A753)</f>
        <v/>
      </c>
      <c r="B753" s="5" t="str">
        <f>IF(Recruiting_Data!B753="", "", Recruiting_Data!B753)</f>
        <v/>
      </c>
      <c r="C753" s="5" t="str">
        <f>IF(AND(ISNUMBER(Recruiting_Data!N753), ISNUMBER(Recruiting_Data!P753)), Recruiting_Data!N753 - Recruiting_Data!P753, "")</f>
        <v/>
      </c>
      <c r="E753" s="5" t="str">
        <f>IF(Recruiting_Data!R753="Open", TODAY() - Recruiting_Data!P753, "")</f>
        <v/>
      </c>
      <c r="F753" s="8" t="str">
        <f t="shared" si="1"/>
        <v/>
      </c>
      <c r="G753" s="5" t="str">
        <f>IF(A753="", "", IF(COUNTIF(Recruiting_Data!A:A, A753)&gt;1, TRUE, FALSE))</f>
        <v/>
      </c>
      <c r="H753" s="5" t="str">
        <f>IF(A753="", "", IF(OR(AND(Recruiting_Data!N753&lt;&gt;"", Recruiting_Data!J753&lt;&gt;"", Recruiting_Data!N753&lt;Recruiting_Data!J753), AND(Recruiting_Data!M753&lt;&gt;"", Recruiting_Data!L753&lt;&gt;"", Recruiting_Data!M753&lt;Recruiting_Data!L753), AND(Recruiting_Data!L753&lt;&gt;"", Recruiting_Data!K753&lt;&gt;"", Recruiting_Data!L753&lt;Recruiting_Data!K753)), TRUE, FALSE))</f>
        <v/>
      </c>
    </row>
    <row r="754">
      <c r="A754" s="5" t="str">
        <f>IF(Recruiting_Data!A754="", "", Recruiting_Data!A754)</f>
        <v/>
      </c>
      <c r="B754" s="5" t="str">
        <f>IF(Recruiting_Data!B754="", "", Recruiting_Data!B754)</f>
        <v/>
      </c>
      <c r="C754" s="5" t="str">
        <f>IF(AND(ISNUMBER(Recruiting_Data!N754), ISNUMBER(Recruiting_Data!P754)), Recruiting_Data!N754 - Recruiting_Data!P754, "")</f>
        <v/>
      </c>
      <c r="E754" s="5" t="str">
        <f>IF(Recruiting_Data!R754="Open", TODAY() - Recruiting_Data!P754, "")</f>
        <v/>
      </c>
      <c r="F754" s="8" t="str">
        <f t="shared" si="1"/>
        <v/>
      </c>
      <c r="G754" s="5" t="str">
        <f>IF(A754="", "", IF(COUNTIF(Recruiting_Data!A:A, A754)&gt;1, TRUE, FALSE))</f>
        <v/>
      </c>
      <c r="H754" s="5" t="str">
        <f>IF(A754="", "", IF(OR(AND(Recruiting_Data!N754&lt;&gt;"", Recruiting_Data!J754&lt;&gt;"", Recruiting_Data!N754&lt;Recruiting_Data!J754), AND(Recruiting_Data!M754&lt;&gt;"", Recruiting_Data!L754&lt;&gt;"", Recruiting_Data!M754&lt;Recruiting_Data!L754), AND(Recruiting_Data!L754&lt;&gt;"", Recruiting_Data!K754&lt;&gt;"", Recruiting_Data!L754&lt;Recruiting_Data!K754)), TRUE, FALSE))</f>
        <v/>
      </c>
    </row>
    <row r="755">
      <c r="A755" s="5" t="str">
        <f>IF(Recruiting_Data!A755="", "", Recruiting_Data!A755)</f>
        <v/>
      </c>
      <c r="B755" s="5" t="str">
        <f>IF(Recruiting_Data!B755="", "", Recruiting_Data!B755)</f>
        <v/>
      </c>
      <c r="C755" s="5" t="str">
        <f>IF(AND(ISNUMBER(Recruiting_Data!N755), ISNUMBER(Recruiting_Data!P755)), Recruiting_Data!N755 - Recruiting_Data!P755, "")</f>
        <v/>
      </c>
      <c r="E755" s="5" t="str">
        <f>IF(Recruiting_Data!R755="Open", TODAY() - Recruiting_Data!P755, "")</f>
        <v/>
      </c>
      <c r="F755" s="8" t="str">
        <f t="shared" si="1"/>
        <v/>
      </c>
      <c r="G755" s="5" t="str">
        <f>IF(A755="", "", IF(COUNTIF(Recruiting_Data!A:A, A755)&gt;1, TRUE, FALSE))</f>
        <v/>
      </c>
      <c r="H755" s="5" t="str">
        <f>IF(A755="", "", IF(OR(AND(Recruiting_Data!N755&lt;&gt;"", Recruiting_Data!J755&lt;&gt;"", Recruiting_Data!N755&lt;Recruiting_Data!J755), AND(Recruiting_Data!M755&lt;&gt;"", Recruiting_Data!L755&lt;&gt;"", Recruiting_Data!M755&lt;Recruiting_Data!L755), AND(Recruiting_Data!L755&lt;&gt;"", Recruiting_Data!K755&lt;&gt;"", Recruiting_Data!L755&lt;Recruiting_Data!K755)), TRUE, FALSE))</f>
        <v/>
      </c>
    </row>
    <row r="756">
      <c r="A756" s="5" t="str">
        <f>IF(Recruiting_Data!A756="", "", Recruiting_Data!A756)</f>
        <v/>
      </c>
      <c r="B756" s="5" t="str">
        <f>IF(Recruiting_Data!B756="", "", Recruiting_Data!B756)</f>
        <v/>
      </c>
      <c r="C756" s="5" t="str">
        <f>IF(AND(ISNUMBER(Recruiting_Data!N756), ISNUMBER(Recruiting_Data!P756)), Recruiting_Data!N756 - Recruiting_Data!P756, "")</f>
        <v/>
      </c>
      <c r="E756" s="5" t="str">
        <f>IF(Recruiting_Data!R756="Open", TODAY() - Recruiting_Data!P756, "")</f>
        <v/>
      </c>
      <c r="F756" s="8" t="str">
        <f t="shared" si="1"/>
        <v/>
      </c>
      <c r="G756" s="5" t="str">
        <f>IF(A756="", "", IF(COUNTIF(Recruiting_Data!A:A, A756)&gt;1, TRUE, FALSE))</f>
        <v/>
      </c>
      <c r="H756" s="5" t="str">
        <f>IF(A756="", "", IF(OR(AND(Recruiting_Data!N756&lt;&gt;"", Recruiting_Data!J756&lt;&gt;"", Recruiting_Data!N756&lt;Recruiting_Data!J756), AND(Recruiting_Data!M756&lt;&gt;"", Recruiting_Data!L756&lt;&gt;"", Recruiting_Data!M756&lt;Recruiting_Data!L756), AND(Recruiting_Data!L756&lt;&gt;"", Recruiting_Data!K756&lt;&gt;"", Recruiting_Data!L756&lt;Recruiting_Data!K756)), TRUE, FALSE))</f>
        <v/>
      </c>
    </row>
    <row r="757">
      <c r="A757" s="5" t="str">
        <f>IF(Recruiting_Data!A757="", "", Recruiting_Data!A757)</f>
        <v/>
      </c>
      <c r="B757" s="5" t="str">
        <f>IF(Recruiting_Data!B757="", "", Recruiting_Data!B757)</f>
        <v/>
      </c>
      <c r="C757" s="5" t="str">
        <f>IF(AND(ISNUMBER(Recruiting_Data!N757), ISNUMBER(Recruiting_Data!P757)), Recruiting_Data!N757 - Recruiting_Data!P757, "")</f>
        <v/>
      </c>
      <c r="E757" s="5" t="str">
        <f>IF(Recruiting_Data!R757="Open", TODAY() - Recruiting_Data!P757, "")</f>
        <v/>
      </c>
      <c r="F757" s="8" t="str">
        <f t="shared" si="1"/>
        <v/>
      </c>
      <c r="G757" s="5" t="str">
        <f>IF(A757="", "", IF(COUNTIF(Recruiting_Data!A:A, A757)&gt;1, TRUE, FALSE))</f>
        <v/>
      </c>
      <c r="H757" s="5" t="str">
        <f>IF(A757="", "", IF(OR(AND(Recruiting_Data!N757&lt;&gt;"", Recruiting_Data!J757&lt;&gt;"", Recruiting_Data!N757&lt;Recruiting_Data!J757), AND(Recruiting_Data!M757&lt;&gt;"", Recruiting_Data!L757&lt;&gt;"", Recruiting_Data!M757&lt;Recruiting_Data!L757), AND(Recruiting_Data!L757&lt;&gt;"", Recruiting_Data!K757&lt;&gt;"", Recruiting_Data!L757&lt;Recruiting_Data!K757)), TRUE, FALSE))</f>
        <v/>
      </c>
    </row>
    <row r="758">
      <c r="A758" s="5" t="str">
        <f>IF(Recruiting_Data!A758="", "", Recruiting_Data!A758)</f>
        <v/>
      </c>
      <c r="B758" s="5" t="str">
        <f>IF(Recruiting_Data!B758="", "", Recruiting_Data!B758)</f>
        <v/>
      </c>
      <c r="C758" s="5" t="str">
        <f>IF(AND(ISNUMBER(Recruiting_Data!N758), ISNUMBER(Recruiting_Data!P758)), Recruiting_Data!N758 - Recruiting_Data!P758, "")</f>
        <v/>
      </c>
      <c r="E758" s="5" t="str">
        <f>IF(Recruiting_Data!R758="Open", TODAY() - Recruiting_Data!P758, "")</f>
        <v/>
      </c>
      <c r="F758" s="8" t="str">
        <f t="shared" si="1"/>
        <v/>
      </c>
      <c r="G758" s="5" t="str">
        <f>IF(A758="", "", IF(COUNTIF(Recruiting_Data!A:A, A758)&gt;1, TRUE, FALSE))</f>
        <v/>
      </c>
      <c r="H758" s="5" t="str">
        <f>IF(A758="", "", IF(OR(AND(Recruiting_Data!N758&lt;&gt;"", Recruiting_Data!J758&lt;&gt;"", Recruiting_Data!N758&lt;Recruiting_Data!J758), AND(Recruiting_Data!M758&lt;&gt;"", Recruiting_Data!L758&lt;&gt;"", Recruiting_Data!M758&lt;Recruiting_Data!L758), AND(Recruiting_Data!L758&lt;&gt;"", Recruiting_Data!K758&lt;&gt;"", Recruiting_Data!L758&lt;Recruiting_Data!K758)), TRUE, FALSE))</f>
        <v/>
      </c>
    </row>
    <row r="759">
      <c r="A759" s="5" t="str">
        <f>IF(Recruiting_Data!A759="", "", Recruiting_Data!A759)</f>
        <v/>
      </c>
      <c r="B759" s="5" t="str">
        <f>IF(Recruiting_Data!B759="", "", Recruiting_Data!B759)</f>
        <v/>
      </c>
      <c r="C759" s="5" t="str">
        <f>IF(AND(ISNUMBER(Recruiting_Data!N759), ISNUMBER(Recruiting_Data!P759)), Recruiting_Data!N759 - Recruiting_Data!P759, "")</f>
        <v/>
      </c>
      <c r="E759" s="5" t="str">
        <f>IF(Recruiting_Data!R759="Open", TODAY() - Recruiting_Data!P759, "")</f>
        <v/>
      </c>
      <c r="F759" s="8" t="str">
        <f t="shared" si="1"/>
        <v/>
      </c>
      <c r="G759" s="5" t="str">
        <f>IF(A759="", "", IF(COUNTIF(Recruiting_Data!A:A, A759)&gt;1, TRUE, FALSE))</f>
        <v/>
      </c>
      <c r="H759" s="5" t="str">
        <f>IF(A759="", "", IF(OR(AND(Recruiting_Data!N759&lt;&gt;"", Recruiting_Data!J759&lt;&gt;"", Recruiting_Data!N759&lt;Recruiting_Data!J759), AND(Recruiting_Data!M759&lt;&gt;"", Recruiting_Data!L759&lt;&gt;"", Recruiting_Data!M759&lt;Recruiting_Data!L759), AND(Recruiting_Data!L759&lt;&gt;"", Recruiting_Data!K759&lt;&gt;"", Recruiting_Data!L759&lt;Recruiting_Data!K759)), TRUE, FALSE))</f>
        <v/>
      </c>
    </row>
    <row r="760">
      <c r="A760" s="5" t="str">
        <f>IF(Recruiting_Data!A760="", "", Recruiting_Data!A760)</f>
        <v/>
      </c>
      <c r="B760" s="5" t="str">
        <f>IF(Recruiting_Data!B760="", "", Recruiting_Data!B760)</f>
        <v/>
      </c>
      <c r="C760" s="5" t="str">
        <f>IF(AND(ISNUMBER(Recruiting_Data!N760), ISNUMBER(Recruiting_Data!P760)), Recruiting_Data!N760 - Recruiting_Data!P760, "")</f>
        <v/>
      </c>
      <c r="E760" s="5" t="str">
        <f>IF(Recruiting_Data!R760="Open", TODAY() - Recruiting_Data!P760, "")</f>
        <v/>
      </c>
      <c r="F760" s="8" t="str">
        <f t="shared" si="1"/>
        <v/>
      </c>
      <c r="G760" s="5" t="str">
        <f>IF(A760="", "", IF(COUNTIF(Recruiting_Data!A:A, A760)&gt;1, TRUE, FALSE))</f>
        <v/>
      </c>
      <c r="H760" s="5" t="str">
        <f>IF(A760="", "", IF(OR(AND(Recruiting_Data!N760&lt;&gt;"", Recruiting_Data!J760&lt;&gt;"", Recruiting_Data!N760&lt;Recruiting_Data!J760), AND(Recruiting_Data!M760&lt;&gt;"", Recruiting_Data!L760&lt;&gt;"", Recruiting_Data!M760&lt;Recruiting_Data!L760), AND(Recruiting_Data!L760&lt;&gt;"", Recruiting_Data!K760&lt;&gt;"", Recruiting_Data!L760&lt;Recruiting_Data!K760)), TRUE, FALSE))</f>
        <v/>
      </c>
    </row>
    <row r="761">
      <c r="A761" s="5" t="str">
        <f>IF(Recruiting_Data!A761="", "", Recruiting_Data!A761)</f>
        <v/>
      </c>
      <c r="B761" s="5" t="str">
        <f>IF(Recruiting_Data!B761="", "", Recruiting_Data!B761)</f>
        <v/>
      </c>
      <c r="C761" s="5" t="str">
        <f>IF(AND(ISNUMBER(Recruiting_Data!N761), ISNUMBER(Recruiting_Data!P761)), Recruiting_Data!N761 - Recruiting_Data!P761, "")</f>
        <v/>
      </c>
      <c r="E761" s="5" t="str">
        <f>IF(Recruiting_Data!R761="Open", TODAY() - Recruiting_Data!P761, "")</f>
        <v/>
      </c>
      <c r="F761" s="8" t="str">
        <f t="shared" si="1"/>
        <v/>
      </c>
      <c r="G761" s="5" t="str">
        <f>IF(A761="", "", IF(COUNTIF(Recruiting_Data!A:A, A761)&gt;1, TRUE, FALSE))</f>
        <v/>
      </c>
      <c r="H761" s="5" t="str">
        <f>IF(A761="", "", IF(OR(AND(Recruiting_Data!N761&lt;&gt;"", Recruiting_Data!J761&lt;&gt;"", Recruiting_Data!N761&lt;Recruiting_Data!J761), AND(Recruiting_Data!M761&lt;&gt;"", Recruiting_Data!L761&lt;&gt;"", Recruiting_Data!M761&lt;Recruiting_Data!L761), AND(Recruiting_Data!L761&lt;&gt;"", Recruiting_Data!K761&lt;&gt;"", Recruiting_Data!L761&lt;Recruiting_Data!K761)), TRUE, FALSE))</f>
        <v/>
      </c>
    </row>
    <row r="762">
      <c r="A762" s="5" t="str">
        <f>IF(Recruiting_Data!A762="", "", Recruiting_Data!A762)</f>
        <v/>
      </c>
      <c r="B762" s="5" t="str">
        <f>IF(Recruiting_Data!B762="", "", Recruiting_Data!B762)</f>
        <v/>
      </c>
      <c r="C762" s="5" t="str">
        <f>IF(AND(ISNUMBER(Recruiting_Data!N762), ISNUMBER(Recruiting_Data!P762)), Recruiting_Data!N762 - Recruiting_Data!P762, "")</f>
        <v/>
      </c>
      <c r="E762" s="5" t="str">
        <f>IF(Recruiting_Data!R762="Open", TODAY() - Recruiting_Data!P762, "")</f>
        <v/>
      </c>
      <c r="F762" s="8" t="str">
        <f t="shared" si="1"/>
        <v/>
      </c>
      <c r="G762" s="5" t="str">
        <f>IF(A762="", "", IF(COUNTIF(Recruiting_Data!A:A, A762)&gt;1, TRUE, FALSE))</f>
        <v/>
      </c>
      <c r="H762" s="5" t="str">
        <f>IF(A762="", "", IF(OR(AND(Recruiting_Data!N762&lt;&gt;"", Recruiting_Data!J762&lt;&gt;"", Recruiting_Data!N762&lt;Recruiting_Data!J762), AND(Recruiting_Data!M762&lt;&gt;"", Recruiting_Data!L762&lt;&gt;"", Recruiting_Data!M762&lt;Recruiting_Data!L762), AND(Recruiting_Data!L762&lt;&gt;"", Recruiting_Data!K762&lt;&gt;"", Recruiting_Data!L762&lt;Recruiting_Data!K762)), TRUE, FALSE))</f>
        <v/>
      </c>
    </row>
    <row r="763">
      <c r="A763" s="5" t="str">
        <f>IF(Recruiting_Data!A763="", "", Recruiting_Data!A763)</f>
        <v/>
      </c>
      <c r="B763" s="5" t="str">
        <f>IF(Recruiting_Data!B763="", "", Recruiting_Data!B763)</f>
        <v/>
      </c>
      <c r="C763" s="5" t="str">
        <f>IF(AND(ISNUMBER(Recruiting_Data!N763), ISNUMBER(Recruiting_Data!P763)), Recruiting_Data!N763 - Recruiting_Data!P763, "")</f>
        <v/>
      </c>
      <c r="E763" s="5" t="str">
        <f>IF(Recruiting_Data!R763="Open", TODAY() - Recruiting_Data!P763, "")</f>
        <v/>
      </c>
      <c r="F763" s="8" t="str">
        <f t="shared" si="1"/>
        <v/>
      </c>
      <c r="G763" s="5" t="str">
        <f>IF(A763="", "", IF(COUNTIF(Recruiting_Data!A:A, A763)&gt;1, TRUE, FALSE))</f>
        <v/>
      </c>
      <c r="H763" s="5" t="str">
        <f>IF(A763="", "", IF(OR(AND(Recruiting_Data!N763&lt;&gt;"", Recruiting_Data!J763&lt;&gt;"", Recruiting_Data!N763&lt;Recruiting_Data!J763), AND(Recruiting_Data!M763&lt;&gt;"", Recruiting_Data!L763&lt;&gt;"", Recruiting_Data!M763&lt;Recruiting_Data!L763), AND(Recruiting_Data!L763&lt;&gt;"", Recruiting_Data!K763&lt;&gt;"", Recruiting_Data!L763&lt;Recruiting_Data!K763)), TRUE, FALSE))</f>
        <v/>
      </c>
    </row>
    <row r="764">
      <c r="A764" s="5" t="str">
        <f>IF(Recruiting_Data!A764="", "", Recruiting_Data!A764)</f>
        <v/>
      </c>
      <c r="B764" s="5" t="str">
        <f>IF(Recruiting_Data!B764="", "", Recruiting_Data!B764)</f>
        <v/>
      </c>
      <c r="C764" s="5" t="str">
        <f>IF(AND(ISNUMBER(Recruiting_Data!N764), ISNUMBER(Recruiting_Data!P764)), Recruiting_Data!N764 - Recruiting_Data!P764, "")</f>
        <v/>
      </c>
      <c r="E764" s="5" t="str">
        <f>IF(Recruiting_Data!R764="Open", TODAY() - Recruiting_Data!P764, "")</f>
        <v/>
      </c>
      <c r="F764" s="8" t="str">
        <f t="shared" si="1"/>
        <v/>
      </c>
      <c r="G764" s="5" t="str">
        <f>IF(A764="", "", IF(COUNTIF(Recruiting_Data!A:A, A764)&gt;1, TRUE, FALSE))</f>
        <v/>
      </c>
      <c r="H764" s="5" t="str">
        <f>IF(A764="", "", IF(OR(AND(Recruiting_Data!N764&lt;&gt;"", Recruiting_Data!J764&lt;&gt;"", Recruiting_Data!N764&lt;Recruiting_Data!J764), AND(Recruiting_Data!M764&lt;&gt;"", Recruiting_Data!L764&lt;&gt;"", Recruiting_Data!M764&lt;Recruiting_Data!L764), AND(Recruiting_Data!L764&lt;&gt;"", Recruiting_Data!K764&lt;&gt;"", Recruiting_Data!L764&lt;Recruiting_Data!K764)), TRUE, FALSE))</f>
        <v/>
      </c>
    </row>
    <row r="765">
      <c r="A765" s="5" t="str">
        <f>IF(Recruiting_Data!A765="", "", Recruiting_Data!A765)</f>
        <v/>
      </c>
      <c r="B765" s="5" t="str">
        <f>IF(Recruiting_Data!B765="", "", Recruiting_Data!B765)</f>
        <v/>
      </c>
      <c r="C765" s="5" t="str">
        <f>IF(AND(ISNUMBER(Recruiting_Data!N765), ISNUMBER(Recruiting_Data!P765)), Recruiting_Data!N765 - Recruiting_Data!P765, "")</f>
        <v/>
      </c>
      <c r="E765" s="5" t="str">
        <f>IF(Recruiting_Data!R765="Open", TODAY() - Recruiting_Data!P765, "")</f>
        <v/>
      </c>
      <c r="F765" s="8" t="str">
        <f t="shared" si="1"/>
        <v/>
      </c>
      <c r="G765" s="5" t="str">
        <f>IF(A765="", "", IF(COUNTIF(Recruiting_Data!A:A, A765)&gt;1, TRUE, FALSE))</f>
        <v/>
      </c>
      <c r="H765" s="5" t="str">
        <f>IF(A765="", "", IF(OR(AND(Recruiting_Data!N765&lt;&gt;"", Recruiting_Data!J765&lt;&gt;"", Recruiting_Data!N765&lt;Recruiting_Data!J765), AND(Recruiting_Data!M765&lt;&gt;"", Recruiting_Data!L765&lt;&gt;"", Recruiting_Data!M765&lt;Recruiting_Data!L765), AND(Recruiting_Data!L765&lt;&gt;"", Recruiting_Data!K765&lt;&gt;"", Recruiting_Data!L765&lt;Recruiting_Data!K765)), TRUE, FALSE))</f>
        <v/>
      </c>
    </row>
    <row r="766">
      <c r="A766" s="5" t="str">
        <f>IF(Recruiting_Data!A766="", "", Recruiting_Data!A766)</f>
        <v/>
      </c>
      <c r="B766" s="5" t="str">
        <f>IF(Recruiting_Data!B766="", "", Recruiting_Data!B766)</f>
        <v/>
      </c>
      <c r="C766" s="5" t="str">
        <f>IF(AND(ISNUMBER(Recruiting_Data!N766), ISNUMBER(Recruiting_Data!P766)), Recruiting_Data!N766 - Recruiting_Data!P766, "")</f>
        <v/>
      </c>
      <c r="E766" s="5" t="str">
        <f>IF(Recruiting_Data!R766="Open", TODAY() - Recruiting_Data!P766, "")</f>
        <v/>
      </c>
      <c r="F766" s="8" t="str">
        <f t="shared" si="1"/>
        <v/>
      </c>
      <c r="G766" s="5" t="str">
        <f>IF(A766="", "", IF(COUNTIF(Recruiting_Data!A:A, A766)&gt;1, TRUE, FALSE))</f>
        <v/>
      </c>
      <c r="H766" s="5" t="str">
        <f>IF(A766="", "", IF(OR(AND(Recruiting_Data!N766&lt;&gt;"", Recruiting_Data!J766&lt;&gt;"", Recruiting_Data!N766&lt;Recruiting_Data!J766), AND(Recruiting_Data!M766&lt;&gt;"", Recruiting_Data!L766&lt;&gt;"", Recruiting_Data!M766&lt;Recruiting_Data!L766), AND(Recruiting_Data!L766&lt;&gt;"", Recruiting_Data!K766&lt;&gt;"", Recruiting_Data!L766&lt;Recruiting_Data!K766)), TRUE, FALSE))</f>
        <v/>
      </c>
    </row>
    <row r="767">
      <c r="A767" s="5" t="str">
        <f>IF(Recruiting_Data!A767="", "", Recruiting_Data!A767)</f>
        <v/>
      </c>
      <c r="B767" s="5" t="str">
        <f>IF(Recruiting_Data!B767="", "", Recruiting_Data!B767)</f>
        <v/>
      </c>
      <c r="C767" s="5" t="str">
        <f>IF(AND(ISNUMBER(Recruiting_Data!N767), ISNUMBER(Recruiting_Data!P767)), Recruiting_Data!N767 - Recruiting_Data!P767, "")</f>
        <v/>
      </c>
      <c r="E767" s="5" t="str">
        <f>IF(Recruiting_Data!R767="Open", TODAY() - Recruiting_Data!P767, "")</f>
        <v/>
      </c>
      <c r="F767" s="8" t="str">
        <f t="shared" si="1"/>
        <v/>
      </c>
      <c r="G767" s="5" t="str">
        <f>IF(A767="", "", IF(COUNTIF(Recruiting_Data!A:A, A767)&gt;1, TRUE, FALSE))</f>
        <v/>
      </c>
      <c r="H767" s="5" t="str">
        <f>IF(A767="", "", IF(OR(AND(Recruiting_Data!N767&lt;&gt;"", Recruiting_Data!J767&lt;&gt;"", Recruiting_Data!N767&lt;Recruiting_Data!J767), AND(Recruiting_Data!M767&lt;&gt;"", Recruiting_Data!L767&lt;&gt;"", Recruiting_Data!M767&lt;Recruiting_Data!L767), AND(Recruiting_Data!L767&lt;&gt;"", Recruiting_Data!K767&lt;&gt;"", Recruiting_Data!L767&lt;Recruiting_Data!K767)), TRUE, FALSE))</f>
        <v/>
      </c>
    </row>
    <row r="768">
      <c r="A768" s="5" t="str">
        <f>IF(Recruiting_Data!A768="", "", Recruiting_Data!A768)</f>
        <v/>
      </c>
      <c r="B768" s="5" t="str">
        <f>IF(Recruiting_Data!B768="", "", Recruiting_Data!B768)</f>
        <v/>
      </c>
      <c r="C768" s="5" t="str">
        <f>IF(AND(ISNUMBER(Recruiting_Data!N768), ISNUMBER(Recruiting_Data!P768)), Recruiting_Data!N768 - Recruiting_Data!P768, "")</f>
        <v/>
      </c>
      <c r="E768" s="5" t="str">
        <f>IF(Recruiting_Data!R768="Open", TODAY() - Recruiting_Data!P768, "")</f>
        <v/>
      </c>
      <c r="F768" s="8" t="str">
        <f t="shared" si="1"/>
        <v/>
      </c>
      <c r="G768" s="5" t="str">
        <f>IF(A768="", "", IF(COUNTIF(Recruiting_Data!A:A, A768)&gt;1, TRUE, FALSE))</f>
        <v/>
      </c>
      <c r="H768" s="5" t="str">
        <f>IF(A768="", "", IF(OR(AND(Recruiting_Data!N768&lt;&gt;"", Recruiting_Data!J768&lt;&gt;"", Recruiting_Data!N768&lt;Recruiting_Data!J768), AND(Recruiting_Data!M768&lt;&gt;"", Recruiting_Data!L768&lt;&gt;"", Recruiting_Data!M768&lt;Recruiting_Data!L768), AND(Recruiting_Data!L768&lt;&gt;"", Recruiting_Data!K768&lt;&gt;"", Recruiting_Data!L768&lt;Recruiting_Data!K768)), TRUE, FALSE))</f>
        <v/>
      </c>
    </row>
    <row r="769">
      <c r="A769" s="5" t="str">
        <f>IF(Recruiting_Data!A769="", "", Recruiting_Data!A769)</f>
        <v/>
      </c>
      <c r="B769" s="5" t="str">
        <f>IF(Recruiting_Data!B769="", "", Recruiting_Data!B769)</f>
        <v/>
      </c>
      <c r="C769" s="5" t="str">
        <f>IF(AND(ISNUMBER(Recruiting_Data!N769), ISNUMBER(Recruiting_Data!P769)), Recruiting_Data!N769 - Recruiting_Data!P769, "")</f>
        <v/>
      </c>
      <c r="E769" s="5" t="str">
        <f>IF(Recruiting_Data!R769="Open", TODAY() - Recruiting_Data!P769, "")</f>
        <v/>
      </c>
      <c r="F769" s="8" t="str">
        <f t="shared" si="1"/>
        <v/>
      </c>
      <c r="G769" s="5" t="str">
        <f>IF(A769="", "", IF(COUNTIF(Recruiting_Data!A:A, A769)&gt;1, TRUE, FALSE))</f>
        <v/>
      </c>
      <c r="H769" s="5" t="str">
        <f>IF(A769="", "", IF(OR(AND(Recruiting_Data!N769&lt;&gt;"", Recruiting_Data!J769&lt;&gt;"", Recruiting_Data!N769&lt;Recruiting_Data!J769), AND(Recruiting_Data!M769&lt;&gt;"", Recruiting_Data!L769&lt;&gt;"", Recruiting_Data!M769&lt;Recruiting_Data!L769), AND(Recruiting_Data!L769&lt;&gt;"", Recruiting_Data!K769&lt;&gt;"", Recruiting_Data!L769&lt;Recruiting_Data!K769)), TRUE, FALSE))</f>
        <v/>
      </c>
    </row>
    <row r="770">
      <c r="A770" s="5" t="str">
        <f>IF(Recruiting_Data!A770="", "", Recruiting_Data!A770)</f>
        <v/>
      </c>
      <c r="B770" s="5" t="str">
        <f>IF(Recruiting_Data!B770="", "", Recruiting_Data!B770)</f>
        <v/>
      </c>
      <c r="C770" s="5" t="str">
        <f>IF(AND(ISNUMBER(Recruiting_Data!N770), ISNUMBER(Recruiting_Data!P770)), Recruiting_Data!N770 - Recruiting_Data!P770, "")</f>
        <v/>
      </c>
      <c r="E770" s="5" t="str">
        <f>IF(Recruiting_Data!R770="Open", TODAY() - Recruiting_Data!P770, "")</f>
        <v/>
      </c>
      <c r="F770" s="8" t="str">
        <f t="shared" si="1"/>
        <v/>
      </c>
      <c r="G770" s="5" t="str">
        <f>IF(A770="", "", IF(COUNTIF(Recruiting_Data!A:A, A770)&gt;1, TRUE, FALSE))</f>
        <v/>
      </c>
      <c r="H770" s="5" t="str">
        <f>IF(A770="", "", IF(OR(AND(Recruiting_Data!N770&lt;&gt;"", Recruiting_Data!J770&lt;&gt;"", Recruiting_Data!N770&lt;Recruiting_Data!J770), AND(Recruiting_Data!M770&lt;&gt;"", Recruiting_Data!L770&lt;&gt;"", Recruiting_Data!M770&lt;Recruiting_Data!L770), AND(Recruiting_Data!L770&lt;&gt;"", Recruiting_Data!K770&lt;&gt;"", Recruiting_Data!L770&lt;Recruiting_Data!K770)), TRUE, FALSE))</f>
        <v/>
      </c>
    </row>
    <row r="771">
      <c r="A771" s="5" t="str">
        <f>IF(Recruiting_Data!A771="", "", Recruiting_Data!A771)</f>
        <v/>
      </c>
      <c r="B771" s="5" t="str">
        <f>IF(Recruiting_Data!B771="", "", Recruiting_Data!B771)</f>
        <v/>
      </c>
      <c r="C771" s="5" t="str">
        <f>IF(AND(ISNUMBER(Recruiting_Data!N771), ISNUMBER(Recruiting_Data!P771)), Recruiting_Data!N771 - Recruiting_Data!P771, "")</f>
        <v/>
      </c>
      <c r="E771" s="5" t="str">
        <f>IF(Recruiting_Data!R771="Open", TODAY() - Recruiting_Data!P771, "")</f>
        <v/>
      </c>
      <c r="F771" s="8" t="str">
        <f t="shared" si="1"/>
        <v/>
      </c>
      <c r="G771" s="5" t="str">
        <f>IF(A771="", "", IF(COUNTIF(Recruiting_Data!A:A, A771)&gt;1, TRUE, FALSE))</f>
        <v/>
      </c>
      <c r="H771" s="5" t="str">
        <f>IF(A771="", "", IF(OR(AND(Recruiting_Data!N771&lt;&gt;"", Recruiting_Data!J771&lt;&gt;"", Recruiting_Data!N771&lt;Recruiting_Data!J771), AND(Recruiting_Data!M771&lt;&gt;"", Recruiting_Data!L771&lt;&gt;"", Recruiting_Data!M771&lt;Recruiting_Data!L771), AND(Recruiting_Data!L771&lt;&gt;"", Recruiting_Data!K771&lt;&gt;"", Recruiting_Data!L771&lt;Recruiting_Data!K771)), TRUE, FALSE))</f>
        <v/>
      </c>
    </row>
    <row r="772">
      <c r="A772" s="5" t="str">
        <f>IF(Recruiting_Data!A772="", "", Recruiting_Data!A772)</f>
        <v/>
      </c>
      <c r="B772" s="5" t="str">
        <f>IF(Recruiting_Data!B772="", "", Recruiting_Data!B772)</f>
        <v/>
      </c>
      <c r="C772" s="5" t="str">
        <f>IF(AND(ISNUMBER(Recruiting_Data!N772), ISNUMBER(Recruiting_Data!P772)), Recruiting_Data!N772 - Recruiting_Data!P772, "")</f>
        <v/>
      </c>
      <c r="E772" s="5" t="str">
        <f>IF(Recruiting_Data!R772="Open", TODAY() - Recruiting_Data!P772, "")</f>
        <v/>
      </c>
      <c r="F772" s="8" t="str">
        <f t="shared" si="1"/>
        <v/>
      </c>
      <c r="G772" s="5" t="str">
        <f>IF(A772="", "", IF(COUNTIF(Recruiting_Data!A:A, A772)&gt;1, TRUE, FALSE))</f>
        <v/>
      </c>
      <c r="H772" s="5" t="str">
        <f>IF(A772="", "", IF(OR(AND(Recruiting_Data!N772&lt;&gt;"", Recruiting_Data!J772&lt;&gt;"", Recruiting_Data!N772&lt;Recruiting_Data!J772), AND(Recruiting_Data!M772&lt;&gt;"", Recruiting_Data!L772&lt;&gt;"", Recruiting_Data!M772&lt;Recruiting_Data!L772), AND(Recruiting_Data!L772&lt;&gt;"", Recruiting_Data!K772&lt;&gt;"", Recruiting_Data!L772&lt;Recruiting_Data!K772)), TRUE, FALSE))</f>
        <v/>
      </c>
    </row>
    <row r="773">
      <c r="A773" s="5" t="str">
        <f>IF(Recruiting_Data!A773="", "", Recruiting_Data!A773)</f>
        <v/>
      </c>
      <c r="B773" s="5" t="str">
        <f>IF(Recruiting_Data!B773="", "", Recruiting_Data!B773)</f>
        <v/>
      </c>
      <c r="C773" s="5" t="str">
        <f>IF(AND(ISNUMBER(Recruiting_Data!N773), ISNUMBER(Recruiting_Data!P773)), Recruiting_Data!N773 - Recruiting_Data!P773, "")</f>
        <v/>
      </c>
      <c r="E773" s="5" t="str">
        <f>IF(Recruiting_Data!R773="Open", TODAY() - Recruiting_Data!P773, "")</f>
        <v/>
      </c>
      <c r="F773" s="8" t="str">
        <f t="shared" si="1"/>
        <v/>
      </c>
      <c r="G773" s="5" t="str">
        <f>IF(A773="", "", IF(COUNTIF(Recruiting_Data!A:A, A773)&gt;1, TRUE, FALSE))</f>
        <v/>
      </c>
      <c r="H773" s="5" t="str">
        <f>IF(A773="", "", IF(OR(AND(Recruiting_Data!N773&lt;&gt;"", Recruiting_Data!J773&lt;&gt;"", Recruiting_Data!N773&lt;Recruiting_Data!J773), AND(Recruiting_Data!M773&lt;&gt;"", Recruiting_Data!L773&lt;&gt;"", Recruiting_Data!M773&lt;Recruiting_Data!L773), AND(Recruiting_Data!L773&lt;&gt;"", Recruiting_Data!K773&lt;&gt;"", Recruiting_Data!L773&lt;Recruiting_Data!K773)), TRUE, FALSE))</f>
        <v/>
      </c>
    </row>
    <row r="774">
      <c r="A774" s="5" t="str">
        <f>IF(Recruiting_Data!A774="", "", Recruiting_Data!A774)</f>
        <v/>
      </c>
      <c r="B774" s="5" t="str">
        <f>IF(Recruiting_Data!B774="", "", Recruiting_Data!B774)</f>
        <v/>
      </c>
      <c r="C774" s="5" t="str">
        <f>IF(AND(ISNUMBER(Recruiting_Data!N774), ISNUMBER(Recruiting_Data!P774)), Recruiting_Data!N774 - Recruiting_Data!P774, "")</f>
        <v/>
      </c>
      <c r="E774" s="5" t="str">
        <f>IF(Recruiting_Data!R774="Open", TODAY() - Recruiting_Data!P774, "")</f>
        <v/>
      </c>
      <c r="F774" s="8" t="str">
        <f t="shared" si="1"/>
        <v/>
      </c>
      <c r="G774" s="5" t="str">
        <f>IF(A774="", "", IF(COUNTIF(Recruiting_Data!A:A, A774)&gt;1, TRUE, FALSE))</f>
        <v/>
      </c>
      <c r="H774" s="5" t="str">
        <f>IF(A774="", "", IF(OR(AND(Recruiting_Data!N774&lt;&gt;"", Recruiting_Data!J774&lt;&gt;"", Recruiting_Data!N774&lt;Recruiting_Data!J774), AND(Recruiting_Data!M774&lt;&gt;"", Recruiting_Data!L774&lt;&gt;"", Recruiting_Data!M774&lt;Recruiting_Data!L774), AND(Recruiting_Data!L774&lt;&gt;"", Recruiting_Data!K774&lt;&gt;"", Recruiting_Data!L774&lt;Recruiting_Data!K774)), TRUE, FALSE))</f>
        <v/>
      </c>
    </row>
    <row r="775">
      <c r="A775" s="5" t="str">
        <f>IF(Recruiting_Data!A775="", "", Recruiting_Data!A775)</f>
        <v/>
      </c>
      <c r="B775" s="5" t="str">
        <f>IF(Recruiting_Data!B775="", "", Recruiting_Data!B775)</f>
        <v/>
      </c>
      <c r="C775" s="5" t="str">
        <f>IF(AND(ISNUMBER(Recruiting_Data!N775), ISNUMBER(Recruiting_Data!P775)), Recruiting_Data!N775 - Recruiting_Data!P775, "")</f>
        <v/>
      </c>
      <c r="E775" s="5" t="str">
        <f>IF(Recruiting_Data!R775="Open", TODAY() - Recruiting_Data!P775, "")</f>
        <v/>
      </c>
      <c r="F775" s="8" t="str">
        <f t="shared" si="1"/>
        <v/>
      </c>
      <c r="G775" s="5" t="str">
        <f>IF(A775="", "", IF(COUNTIF(Recruiting_Data!A:A, A775)&gt;1, TRUE, FALSE))</f>
        <v/>
      </c>
      <c r="H775" s="5" t="str">
        <f>IF(A775="", "", IF(OR(AND(Recruiting_Data!N775&lt;&gt;"", Recruiting_Data!J775&lt;&gt;"", Recruiting_Data!N775&lt;Recruiting_Data!J775), AND(Recruiting_Data!M775&lt;&gt;"", Recruiting_Data!L775&lt;&gt;"", Recruiting_Data!M775&lt;Recruiting_Data!L775), AND(Recruiting_Data!L775&lt;&gt;"", Recruiting_Data!K775&lt;&gt;"", Recruiting_Data!L775&lt;Recruiting_Data!K775)), TRUE, FALSE))</f>
        <v/>
      </c>
    </row>
    <row r="776">
      <c r="A776" s="5" t="str">
        <f>IF(Recruiting_Data!A776="", "", Recruiting_Data!A776)</f>
        <v/>
      </c>
      <c r="B776" s="5" t="str">
        <f>IF(Recruiting_Data!B776="", "", Recruiting_Data!B776)</f>
        <v/>
      </c>
      <c r="C776" s="5" t="str">
        <f>IF(AND(ISNUMBER(Recruiting_Data!N776), ISNUMBER(Recruiting_Data!P776)), Recruiting_Data!N776 - Recruiting_Data!P776, "")</f>
        <v/>
      </c>
      <c r="E776" s="5" t="str">
        <f>IF(Recruiting_Data!R776="Open", TODAY() - Recruiting_Data!P776, "")</f>
        <v/>
      </c>
      <c r="F776" s="8" t="str">
        <f t="shared" si="1"/>
        <v/>
      </c>
      <c r="G776" s="5" t="str">
        <f>IF(A776="", "", IF(COUNTIF(Recruiting_Data!A:A, A776)&gt;1, TRUE, FALSE))</f>
        <v/>
      </c>
      <c r="H776" s="5" t="str">
        <f>IF(A776="", "", IF(OR(AND(Recruiting_Data!N776&lt;&gt;"", Recruiting_Data!J776&lt;&gt;"", Recruiting_Data!N776&lt;Recruiting_Data!J776), AND(Recruiting_Data!M776&lt;&gt;"", Recruiting_Data!L776&lt;&gt;"", Recruiting_Data!M776&lt;Recruiting_Data!L776), AND(Recruiting_Data!L776&lt;&gt;"", Recruiting_Data!K776&lt;&gt;"", Recruiting_Data!L776&lt;Recruiting_Data!K776)), TRUE, FALSE))</f>
        <v/>
      </c>
    </row>
    <row r="777">
      <c r="A777" s="5" t="str">
        <f>IF(Recruiting_Data!A777="", "", Recruiting_Data!A777)</f>
        <v/>
      </c>
      <c r="B777" s="5" t="str">
        <f>IF(Recruiting_Data!B777="", "", Recruiting_Data!B777)</f>
        <v/>
      </c>
      <c r="C777" s="5" t="str">
        <f>IF(AND(ISNUMBER(Recruiting_Data!N777), ISNUMBER(Recruiting_Data!P777)), Recruiting_Data!N777 - Recruiting_Data!P777, "")</f>
        <v/>
      </c>
      <c r="E777" s="5" t="str">
        <f>IF(Recruiting_Data!R777="Open", TODAY() - Recruiting_Data!P777, "")</f>
        <v/>
      </c>
      <c r="F777" s="8" t="str">
        <f t="shared" si="1"/>
        <v/>
      </c>
      <c r="G777" s="5" t="str">
        <f>IF(A777="", "", IF(COUNTIF(Recruiting_Data!A:A, A777)&gt;1, TRUE, FALSE))</f>
        <v/>
      </c>
      <c r="H777" s="5" t="str">
        <f>IF(A777="", "", IF(OR(AND(Recruiting_Data!N777&lt;&gt;"", Recruiting_Data!J777&lt;&gt;"", Recruiting_Data!N777&lt;Recruiting_Data!J777), AND(Recruiting_Data!M777&lt;&gt;"", Recruiting_Data!L777&lt;&gt;"", Recruiting_Data!M777&lt;Recruiting_Data!L777), AND(Recruiting_Data!L777&lt;&gt;"", Recruiting_Data!K777&lt;&gt;"", Recruiting_Data!L777&lt;Recruiting_Data!K777)), TRUE, FALSE))</f>
        <v/>
      </c>
    </row>
    <row r="778">
      <c r="A778" s="5" t="str">
        <f>IF(Recruiting_Data!A778="", "", Recruiting_Data!A778)</f>
        <v/>
      </c>
      <c r="B778" s="5" t="str">
        <f>IF(Recruiting_Data!B778="", "", Recruiting_Data!B778)</f>
        <v/>
      </c>
      <c r="C778" s="5" t="str">
        <f>IF(AND(ISNUMBER(Recruiting_Data!N778), ISNUMBER(Recruiting_Data!P778)), Recruiting_Data!N778 - Recruiting_Data!P778, "")</f>
        <v/>
      </c>
      <c r="E778" s="5" t="str">
        <f>IF(Recruiting_Data!R778="Open", TODAY() - Recruiting_Data!P778, "")</f>
        <v/>
      </c>
      <c r="F778" s="8" t="str">
        <f t="shared" si="1"/>
        <v/>
      </c>
      <c r="G778" s="5" t="str">
        <f>IF(A778="", "", IF(COUNTIF(Recruiting_Data!A:A, A778)&gt;1, TRUE, FALSE))</f>
        <v/>
      </c>
      <c r="H778" s="5" t="str">
        <f>IF(A778="", "", IF(OR(AND(Recruiting_Data!N778&lt;&gt;"", Recruiting_Data!J778&lt;&gt;"", Recruiting_Data!N778&lt;Recruiting_Data!J778), AND(Recruiting_Data!M778&lt;&gt;"", Recruiting_Data!L778&lt;&gt;"", Recruiting_Data!M778&lt;Recruiting_Data!L778), AND(Recruiting_Data!L778&lt;&gt;"", Recruiting_Data!K778&lt;&gt;"", Recruiting_Data!L778&lt;Recruiting_Data!K778)), TRUE, FALSE))</f>
        <v/>
      </c>
    </row>
    <row r="779">
      <c r="A779" s="5" t="str">
        <f>IF(Recruiting_Data!A779="", "", Recruiting_Data!A779)</f>
        <v/>
      </c>
      <c r="B779" s="5" t="str">
        <f>IF(Recruiting_Data!B779="", "", Recruiting_Data!B779)</f>
        <v/>
      </c>
      <c r="C779" s="5" t="str">
        <f>IF(AND(ISNUMBER(Recruiting_Data!N779), ISNUMBER(Recruiting_Data!P779)), Recruiting_Data!N779 - Recruiting_Data!P779, "")</f>
        <v/>
      </c>
      <c r="E779" s="5" t="str">
        <f>IF(Recruiting_Data!R779="Open", TODAY() - Recruiting_Data!P779, "")</f>
        <v/>
      </c>
      <c r="F779" s="8" t="str">
        <f t="shared" si="1"/>
        <v/>
      </c>
      <c r="G779" s="5" t="str">
        <f>IF(A779="", "", IF(COUNTIF(Recruiting_Data!A:A, A779)&gt;1, TRUE, FALSE))</f>
        <v/>
      </c>
      <c r="H779" s="5" t="str">
        <f>IF(A779="", "", IF(OR(AND(Recruiting_Data!N779&lt;&gt;"", Recruiting_Data!J779&lt;&gt;"", Recruiting_Data!N779&lt;Recruiting_Data!J779), AND(Recruiting_Data!M779&lt;&gt;"", Recruiting_Data!L779&lt;&gt;"", Recruiting_Data!M779&lt;Recruiting_Data!L779), AND(Recruiting_Data!L779&lt;&gt;"", Recruiting_Data!K779&lt;&gt;"", Recruiting_Data!L779&lt;Recruiting_Data!K779)), TRUE, FALSE))</f>
        <v/>
      </c>
    </row>
    <row r="780">
      <c r="A780" s="5" t="str">
        <f>IF(Recruiting_Data!A780="", "", Recruiting_Data!A780)</f>
        <v/>
      </c>
      <c r="B780" s="5" t="str">
        <f>IF(Recruiting_Data!B780="", "", Recruiting_Data!B780)</f>
        <v/>
      </c>
      <c r="C780" s="5" t="str">
        <f>IF(AND(ISNUMBER(Recruiting_Data!N780), ISNUMBER(Recruiting_Data!P780)), Recruiting_Data!N780 - Recruiting_Data!P780, "")</f>
        <v/>
      </c>
      <c r="E780" s="5" t="str">
        <f>IF(Recruiting_Data!R780="Open", TODAY() - Recruiting_Data!P780, "")</f>
        <v/>
      </c>
      <c r="F780" s="8" t="str">
        <f t="shared" si="1"/>
        <v/>
      </c>
      <c r="G780" s="5" t="str">
        <f>IF(A780="", "", IF(COUNTIF(Recruiting_Data!A:A, A780)&gt;1, TRUE, FALSE))</f>
        <v/>
      </c>
      <c r="H780" s="5" t="str">
        <f>IF(A780="", "", IF(OR(AND(Recruiting_Data!N780&lt;&gt;"", Recruiting_Data!J780&lt;&gt;"", Recruiting_Data!N780&lt;Recruiting_Data!J780), AND(Recruiting_Data!M780&lt;&gt;"", Recruiting_Data!L780&lt;&gt;"", Recruiting_Data!M780&lt;Recruiting_Data!L780), AND(Recruiting_Data!L780&lt;&gt;"", Recruiting_Data!K780&lt;&gt;"", Recruiting_Data!L780&lt;Recruiting_Data!K780)), TRUE, FALSE))</f>
        <v/>
      </c>
    </row>
    <row r="781">
      <c r="A781" s="5" t="str">
        <f>IF(Recruiting_Data!A781="", "", Recruiting_Data!A781)</f>
        <v/>
      </c>
      <c r="B781" s="5" t="str">
        <f>IF(Recruiting_Data!B781="", "", Recruiting_Data!B781)</f>
        <v/>
      </c>
      <c r="C781" s="5" t="str">
        <f>IF(AND(ISNUMBER(Recruiting_Data!N781), ISNUMBER(Recruiting_Data!P781)), Recruiting_Data!N781 - Recruiting_Data!P781, "")</f>
        <v/>
      </c>
      <c r="E781" s="5" t="str">
        <f>IF(Recruiting_Data!R781="Open", TODAY() - Recruiting_Data!P781, "")</f>
        <v/>
      </c>
      <c r="F781" s="8" t="str">
        <f t="shared" si="1"/>
        <v/>
      </c>
      <c r="G781" s="5" t="str">
        <f>IF(A781="", "", IF(COUNTIF(Recruiting_Data!A:A, A781)&gt;1, TRUE, FALSE))</f>
        <v/>
      </c>
      <c r="H781" s="5" t="str">
        <f>IF(A781="", "", IF(OR(AND(Recruiting_Data!N781&lt;&gt;"", Recruiting_Data!J781&lt;&gt;"", Recruiting_Data!N781&lt;Recruiting_Data!J781), AND(Recruiting_Data!M781&lt;&gt;"", Recruiting_Data!L781&lt;&gt;"", Recruiting_Data!M781&lt;Recruiting_Data!L781), AND(Recruiting_Data!L781&lt;&gt;"", Recruiting_Data!K781&lt;&gt;"", Recruiting_Data!L781&lt;Recruiting_Data!K781)), TRUE, FALSE))</f>
        <v/>
      </c>
    </row>
    <row r="782">
      <c r="A782" s="5" t="str">
        <f>IF(Recruiting_Data!A782="", "", Recruiting_Data!A782)</f>
        <v/>
      </c>
      <c r="B782" s="5" t="str">
        <f>IF(Recruiting_Data!B782="", "", Recruiting_Data!B782)</f>
        <v/>
      </c>
      <c r="C782" s="5" t="str">
        <f>IF(AND(ISNUMBER(Recruiting_Data!N782), ISNUMBER(Recruiting_Data!P782)), Recruiting_Data!N782 - Recruiting_Data!P782, "")</f>
        <v/>
      </c>
      <c r="E782" s="5" t="str">
        <f>IF(Recruiting_Data!R782="Open", TODAY() - Recruiting_Data!P782, "")</f>
        <v/>
      </c>
      <c r="F782" s="8" t="str">
        <f t="shared" si="1"/>
        <v/>
      </c>
      <c r="G782" s="5" t="str">
        <f>IF(A782="", "", IF(COUNTIF(Recruiting_Data!A:A, A782)&gt;1, TRUE, FALSE))</f>
        <v/>
      </c>
      <c r="H782" s="5" t="str">
        <f>IF(A782="", "", IF(OR(AND(Recruiting_Data!N782&lt;&gt;"", Recruiting_Data!J782&lt;&gt;"", Recruiting_Data!N782&lt;Recruiting_Data!J782), AND(Recruiting_Data!M782&lt;&gt;"", Recruiting_Data!L782&lt;&gt;"", Recruiting_Data!M782&lt;Recruiting_Data!L782), AND(Recruiting_Data!L782&lt;&gt;"", Recruiting_Data!K782&lt;&gt;"", Recruiting_Data!L782&lt;Recruiting_Data!K782)), TRUE, FALSE))</f>
        <v/>
      </c>
    </row>
    <row r="783">
      <c r="A783" s="5" t="str">
        <f>IF(Recruiting_Data!A783="", "", Recruiting_Data!A783)</f>
        <v/>
      </c>
      <c r="B783" s="5" t="str">
        <f>IF(Recruiting_Data!B783="", "", Recruiting_Data!B783)</f>
        <v/>
      </c>
      <c r="C783" s="5" t="str">
        <f>IF(AND(ISNUMBER(Recruiting_Data!N783), ISNUMBER(Recruiting_Data!P783)), Recruiting_Data!N783 - Recruiting_Data!P783, "")</f>
        <v/>
      </c>
      <c r="E783" s="5" t="str">
        <f>IF(Recruiting_Data!R783="Open", TODAY() - Recruiting_Data!P783, "")</f>
        <v/>
      </c>
      <c r="F783" s="8" t="str">
        <f t="shared" si="1"/>
        <v/>
      </c>
      <c r="G783" s="5" t="str">
        <f>IF(A783="", "", IF(COUNTIF(Recruiting_Data!A:A, A783)&gt;1, TRUE, FALSE))</f>
        <v/>
      </c>
      <c r="H783" s="5" t="str">
        <f>IF(A783="", "", IF(OR(AND(Recruiting_Data!N783&lt;&gt;"", Recruiting_Data!J783&lt;&gt;"", Recruiting_Data!N783&lt;Recruiting_Data!J783), AND(Recruiting_Data!M783&lt;&gt;"", Recruiting_Data!L783&lt;&gt;"", Recruiting_Data!M783&lt;Recruiting_Data!L783), AND(Recruiting_Data!L783&lt;&gt;"", Recruiting_Data!K783&lt;&gt;"", Recruiting_Data!L783&lt;Recruiting_Data!K783)), TRUE, FALSE))</f>
        <v/>
      </c>
    </row>
    <row r="784">
      <c r="A784" s="5" t="str">
        <f>IF(Recruiting_Data!A784="", "", Recruiting_Data!A784)</f>
        <v/>
      </c>
      <c r="B784" s="5" t="str">
        <f>IF(Recruiting_Data!B784="", "", Recruiting_Data!B784)</f>
        <v/>
      </c>
      <c r="C784" s="5" t="str">
        <f>IF(AND(ISNUMBER(Recruiting_Data!N784), ISNUMBER(Recruiting_Data!P784)), Recruiting_Data!N784 - Recruiting_Data!P784, "")</f>
        <v/>
      </c>
      <c r="E784" s="5" t="str">
        <f>IF(Recruiting_Data!R784="Open", TODAY() - Recruiting_Data!P784, "")</f>
        <v/>
      </c>
      <c r="F784" s="8" t="str">
        <f t="shared" si="1"/>
        <v/>
      </c>
      <c r="G784" s="5" t="str">
        <f>IF(A784="", "", IF(COUNTIF(Recruiting_Data!A:A, A784)&gt;1, TRUE, FALSE))</f>
        <v/>
      </c>
      <c r="H784" s="5" t="str">
        <f>IF(A784="", "", IF(OR(AND(Recruiting_Data!N784&lt;&gt;"", Recruiting_Data!J784&lt;&gt;"", Recruiting_Data!N784&lt;Recruiting_Data!J784), AND(Recruiting_Data!M784&lt;&gt;"", Recruiting_Data!L784&lt;&gt;"", Recruiting_Data!M784&lt;Recruiting_Data!L784), AND(Recruiting_Data!L784&lt;&gt;"", Recruiting_Data!K784&lt;&gt;"", Recruiting_Data!L784&lt;Recruiting_Data!K784)), TRUE, FALSE))</f>
        <v/>
      </c>
    </row>
    <row r="785">
      <c r="A785" s="5" t="str">
        <f>IF(Recruiting_Data!A785="", "", Recruiting_Data!A785)</f>
        <v/>
      </c>
      <c r="B785" s="5" t="str">
        <f>IF(Recruiting_Data!B785="", "", Recruiting_Data!B785)</f>
        <v/>
      </c>
      <c r="C785" s="5" t="str">
        <f>IF(AND(ISNUMBER(Recruiting_Data!N785), ISNUMBER(Recruiting_Data!P785)), Recruiting_Data!N785 - Recruiting_Data!P785, "")</f>
        <v/>
      </c>
      <c r="E785" s="5" t="str">
        <f>IF(Recruiting_Data!R785="Open", TODAY() - Recruiting_Data!P785, "")</f>
        <v/>
      </c>
      <c r="F785" s="8" t="str">
        <f t="shared" si="1"/>
        <v/>
      </c>
      <c r="G785" s="5" t="str">
        <f>IF(A785="", "", IF(COUNTIF(Recruiting_Data!A:A, A785)&gt;1, TRUE, FALSE))</f>
        <v/>
      </c>
      <c r="H785" s="5" t="str">
        <f>IF(A785="", "", IF(OR(AND(Recruiting_Data!N785&lt;&gt;"", Recruiting_Data!J785&lt;&gt;"", Recruiting_Data!N785&lt;Recruiting_Data!J785), AND(Recruiting_Data!M785&lt;&gt;"", Recruiting_Data!L785&lt;&gt;"", Recruiting_Data!M785&lt;Recruiting_Data!L785), AND(Recruiting_Data!L785&lt;&gt;"", Recruiting_Data!K785&lt;&gt;"", Recruiting_Data!L785&lt;Recruiting_Data!K785)), TRUE, FALSE))</f>
        <v/>
      </c>
    </row>
    <row r="786">
      <c r="A786" s="5" t="str">
        <f>IF(Recruiting_Data!A786="", "", Recruiting_Data!A786)</f>
        <v/>
      </c>
      <c r="B786" s="5" t="str">
        <f>IF(Recruiting_Data!B786="", "", Recruiting_Data!B786)</f>
        <v/>
      </c>
      <c r="C786" s="5" t="str">
        <f>IF(AND(ISNUMBER(Recruiting_Data!N786), ISNUMBER(Recruiting_Data!P786)), Recruiting_Data!N786 - Recruiting_Data!P786, "")</f>
        <v/>
      </c>
      <c r="E786" s="5" t="str">
        <f>IF(Recruiting_Data!R786="Open", TODAY() - Recruiting_Data!P786, "")</f>
        <v/>
      </c>
      <c r="F786" s="8" t="str">
        <f t="shared" si="1"/>
        <v/>
      </c>
      <c r="G786" s="5" t="str">
        <f>IF(A786="", "", IF(COUNTIF(Recruiting_Data!A:A, A786)&gt;1, TRUE, FALSE))</f>
        <v/>
      </c>
      <c r="H786" s="5" t="str">
        <f>IF(A786="", "", IF(OR(AND(Recruiting_Data!N786&lt;&gt;"", Recruiting_Data!J786&lt;&gt;"", Recruiting_Data!N786&lt;Recruiting_Data!J786), AND(Recruiting_Data!M786&lt;&gt;"", Recruiting_Data!L786&lt;&gt;"", Recruiting_Data!M786&lt;Recruiting_Data!L786), AND(Recruiting_Data!L786&lt;&gt;"", Recruiting_Data!K786&lt;&gt;"", Recruiting_Data!L786&lt;Recruiting_Data!K786)), TRUE, FALSE))</f>
        <v/>
      </c>
    </row>
    <row r="787">
      <c r="A787" s="5" t="str">
        <f>IF(Recruiting_Data!A787="", "", Recruiting_Data!A787)</f>
        <v/>
      </c>
      <c r="B787" s="5" t="str">
        <f>IF(Recruiting_Data!B787="", "", Recruiting_Data!B787)</f>
        <v/>
      </c>
      <c r="C787" s="5" t="str">
        <f>IF(AND(ISNUMBER(Recruiting_Data!N787), ISNUMBER(Recruiting_Data!P787)), Recruiting_Data!N787 - Recruiting_Data!P787, "")</f>
        <v/>
      </c>
      <c r="E787" s="5" t="str">
        <f>IF(Recruiting_Data!R787="Open", TODAY() - Recruiting_Data!P787, "")</f>
        <v/>
      </c>
      <c r="F787" s="8" t="str">
        <f t="shared" si="1"/>
        <v/>
      </c>
      <c r="G787" s="5" t="str">
        <f>IF(A787="", "", IF(COUNTIF(Recruiting_Data!A:A, A787)&gt;1, TRUE, FALSE))</f>
        <v/>
      </c>
      <c r="H787" s="5" t="str">
        <f>IF(A787="", "", IF(OR(AND(Recruiting_Data!N787&lt;&gt;"", Recruiting_Data!J787&lt;&gt;"", Recruiting_Data!N787&lt;Recruiting_Data!J787), AND(Recruiting_Data!M787&lt;&gt;"", Recruiting_Data!L787&lt;&gt;"", Recruiting_Data!M787&lt;Recruiting_Data!L787), AND(Recruiting_Data!L787&lt;&gt;"", Recruiting_Data!K787&lt;&gt;"", Recruiting_Data!L787&lt;Recruiting_Data!K787)), TRUE, FALSE))</f>
        <v/>
      </c>
    </row>
    <row r="788">
      <c r="A788" s="5" t="str">
        <f>IF(Recruiting_Data!A788="", "", Recruiting_Data!A788)</f>
        <v/>
      </c>
      <c r="B788" s="5" t="str">
        <f>IF(Recruiting_Data!B788="", "", Recruiting_Data!B788)</f>
        <v/>
      </c>
      <c r="C788" s="5" t="str">
        <f>IF(AND(ISNUMBER(Recruiting_Data!N788), ISNUMBER(Recruiting_Data!P788)), Recruiting_Data!N788 - Recruiting_Data!P788, "")</f>
        <v/>
      </c>
      <c r="E788" s="5" t="str">
        <f>IF(Recruiting_Data!R788="Open", TODAY() - Recruiting_Data!P788, "")</f>
        <v/>
      </c>
      <c r="F788" s="8" t="str">
        <f t="shared" si="1"/>
        <v/>
      </c>
      <c r="G788" s="5" t="str">
        <f>IF(A788="", "", IF(COUNTIF(Recruiting_Data!A:A, A788)&gt;1, TRUE, FALSE))</f>
        <v/>
      </c>
      <c r="H788" s="5" t="str">
        <f>IF(A788="", "", IF(OR(AND(Recruiting_Data!N788&lt;&gt;"", Recruiting_Data!J788&lt;&gt;"", Recruiting_Data!N788&lt;Recruiting_Data!J788), AND(Recruiting_Data!M788&lt;&gt;"", Recruiting_Data!L788&lt;&gt;"", Recruiting_Data!M788&lt;Recruiting_Data!L788), AND(Recruiting_Data!L788&lt;&gt;"", Recruiting_Data!K788&lt;&gt;"", Recruiting_Data!L788&lt;Recruiting_Data!K788)), TRUE, FALSE))</f>
        <v/>
      </c>
    </row>
    <row r="789">
      <c r="A789" s="5" t="str">
        <f>IF(Recruiting_Data!A789="", "", Recruiting_Data!A789)</f>
        <v/>
      </c>
      <c r="B789" s="5" t="str">
        <f>IF(Recruiting_Data!B789="", "", Recruiting_Data!B789)</f>
        <v/>
      </c>
      <c r="C789" s="5" t="str">
        <f>IF(AND(ISNUMBER(Recruiting_Data!N789), ISNUMBER(Recruiting_Data!P789)), Recruiting_Data!N789 - Recruiting_Data!P789, "")</f>
        <v/>
      </c>
      <c r="E789" s="5" t="str">
        <f>IF(Recruiting_Data!R789="Open", TODAY() - Recruiting_Data!P789, "")</f>
        <v/>
      </c>
      <c r="F789" s="8" t="str">
        <f t="shared" si="1"/>
        <v/>
      </c>
      <c r="G789" s="5" t="str">
        <f>IF(A789="", "", IF(COUNTIF(Recruiting_Data!A:A, A789)&gt;1, TRUE, FALSE))</f>
        <v/>
      </c>
      <c r="H789" s="5" t="str">
        <f>IF(A789="", "", IF(OR(AND(Recruiting_Data!N789&lt;&gt;"", Recruiting_Data!J789&lt;&gt;"", Recruiting_Data!N789&lt;Recruiting_Data!J789), AND(Recruiting_Data!M789&lt;&gt;"", Recruiting_Data!L789&lt;&gt;"", Recruiting_Data!M789&lt;Recruiting_Data!L789), AND(Recruiting_Data!L789&lt;&gt;"", Recruiting_Data!K789&lt;&gt;"", Recruiting_Data!L789&lt;Recruiting_Data!K789)), TRUE, FALSE))</f>
        <v/>
      </c>
    </row>
    <row r="790">
      <c r="A790" s="5" t="str">
        <f>IF(Recruiting_Data!A790="", "", Recruiting_Data!A790)</f>
        <v/>
      </c>
      <c r="B790" s="5" t="str">
        <f>IF(Recruiting_Data!B790="", "", Recruiting_Data!B790)</f>
        <v/>
      </c>
      <c r="C790" s="5" t="str">
        <f>IF(AND(ISNUMBER(Recruiting_Data!N790), ISNUMBER(Recruiting_Data!P790)), Recruiting_Data!N790 - Recruiting_Data!P790, "")</f>
        <v/>
      </c>
      <c r="E790" s="5" t="str">
        <f>IF(Recruiting_Data!R790="Open", TODAY() - Recruiting_Data!P790, "")</f>
        <v/>
      </c>
      <c r="F790" s="8" t="str">
        <f t="shared" si="1"/>
        <v/>
      </c>
      <c r="G790" s="5" t="str">
        <f>IF(A790="", "", IF(COUNTIF(Recruiting_Data!A:A, A790)&gt;1, TRUE, FALSE))</f>
        <v/>
      </c>
      <c r="H790" s="5" t="str">
        <f>IF(A790="", "", IF(OR(AND(Recruiting_Data!N790&lt;&gt;"", Recruiting_Data!J790&lt;&gt;"", Recruiting_Data!N790&lt;Recruiting_Data!J790), AND(Recruiting_Data!M790&lt;&gt;"", Recruiting_Data!L790&lt;&gt;"", Recruiting_Data!M790&lt;Recruiting_Data!L790), AND(Recruiting_Data!L790&lt;&gt;"", Recruiting_Data!K790&lt;&gt;"", Recruiting_Data!L790&lt;Recruiting_Data!K790)), TRUE, FALSE))</f>
        <v/>
      </c>
    </row>
    <row r="791">
      <c r="A791" s="5" t="str">
        <f>IF(Recruiting_Data!A791="", "", Recruiting_Data!A791)</f>
        <v/>
      </c>
      <c r="B791" s="5" t="str">
        <f>IF(Recruiting_Data!B791="", "", Recruiting_Data!B791)</f>
        <v/>
      </c>
      <c r="C791" s="5" t="str">
        <f>IF(AND(ISNUMBER(Recruiting_Data!N791), ISNUMBER(Recruiting_Data!P791)), Recruiting_Data!N791 - Recruiting_Data!P791, "")</f>
        <v/>
      </c>
      <c r="E791" s="5" t="str">
        <f>IF(Recruiting_Data!R791="Open", TODAY() - Recruiting_Data!P791, "")</f>
        <v/>
      </c>
      <c r="F791" s="8" t="str">
        <f t="shared" si="1"/>
        <v/>
      </c>
      <c r="G791" s="5" t="str">
        <f>IF(A791="", "", IF(COUNTIF(Recruiting_Data!A:A, A791)&gt;1, TRUE, FALSE))</f>
        <v/>
      </c>
      <c r="H791" s="5" t="str">
        <f>IF(A791="", "", IF(OR(AND(Recruiting_Data!N791&lt;&gt;"", Recruiting_Data!J791&lt;&gt;"", Recruiting_Data!N791&lt;Recruiting_Data!J791), AND(Recruiting_Data!M791&lt;&gt;"", Recruiting_Data!L791&lt;&gt;"", Recruiting_Data!M791&lt;Recruiting_Data!L791), AND(Recruiting_Data!L791&lt;&gt;"", Recruiting_Data!K791&lt;&gt;"", Recruiting_Data!L791&lt;Recruiting_Data!K791)), TRUE, FALSE))</f>
        <v/>
      </c>
    </row>
    <row r="792">
      <c r="A792" s="5" t="str">
        <f>IF(Recruiting_Data!A792="", "", Recruiting_Data!A792)</f>
        <v/>
      </c>
      <c r="B792" s="5" t="str">
        <f>IF(Recruiting_Data!B792="", "", Recruiting_Data!B792)</f>
        <v/>
      </c>
      <c r="C792" s="5" t="str">
        <f>IF(AND(ISNUMBER(Recruiting_Data!N792), ISNUMBER(Recruiting_Data!P792)), Recruiting_Data!N792 - Recruiting_Data!P792, "")</f>
        <v/>
      </c>
      <c r="E792" s="5" t="str">
        <f>IF(Recruiting_Data!R792="Open", TODAY() - Recruiting_Data!P792, "")</f>
        <v/>
      </c>
      <c r="F792" s="8" t="str">
        <f t="shared" si="1"/>
        <v/>
      </c>
      <c r="G792" s="5" t="str">
        <f>IF(A792="", "", IF(COUNTIF(Recruiting_Data!A:A, A792)&gt;1, TRUE, FALSE))</f>
        <v/>
      </c>
      <c r="H792" s="5" t="str">
        <f>IF(A792="", "", IF(OR(AND(Recruiting_Data!N792&lt;&gt;"", Recruiting_Data!J792&lt;&gt;"", Recruiting_Data!N792&lt;Recruiting_Data!J792), AND(Recruiting_Data!M792&lt;&gt;"", Recruiting_Data!L792&lt;&gt;"", Recruiting_Data!M792&lt;Recruiting_Data!L792), AND(Recruiting_Data!L792&lt;&gt;"", Recruiting_Data!K792&lt;&gt;"", Recruiting_Data!L792&lt;Recruiting_Data!K792)), TRUE, FALSE))</f>
        <v/>
      </c>
    </row>
    <row r="793">
      <c r="A793" s="5" t="str">
        <f>IF(Recruiting_Data!A793="", "", Recruiting_Data!A793)</f>
        <v/>
      </c>
      <c r="B793" s="5" t="str">
        <f>IF(Recruiting_Data!B793="", "", Recruiting_Data!B793)</f>
        <v/>
      </c>
      <c r="C793" s="5" t="str">
        <f>IF(AND(ISNUMBER(Recruiting_Data!N793), ISNUMBER(Recruiting_Data!P793)), Recruiting_Data!N793 - Recruiting_Data!P793, "")</f>
        <v/>
      </c>
      <c r="E793" s="5" t="str">
        <f>IF(Recruiting_Data!R793="Open", TODAY() - Recruiting_Data!P793, "")</f>
        <v/>
      </c>
      <c r="F793" s="8" t="str">
        <f t="shared" si="1"/>
        <v/>
      </c>
      <c r="G793" s="5" t="str">
        <f>IF(A793="", "", IF(COUNTIF(Recruiting_Data!A:A, A793)&gt;1, TRUE, FALSE))</f>
        <v/>
      </c>
      <c r="H793" s="5" t="str">
        <f>IF(A793="", "", IF(OR(AND(Recruiting_Data!N793&lt;&gt;"", Recruiting_Data!J793&lt;&gt;"", Recruiting_Data!N793&lt;Recruiting_Data!J793), AND(Recruiting_Data!M793&lt;&gt;"", Recruiting_Data!L793&lt;&gt;"", Recruiting_Data!M793&lt;Recruiting_Data!L793), AND(Recruiting_Data!L793&lt;&gt;"", Recruiting_Data!K793&lt;&gt;"", Recruiting_Data!L793&lt;Recruiting_Data!K793)), TRUE, FALSE))</f>
        <v/>
      </c>
    </row>
    <row r="794">
      <c r="A794" s="5" t="str">
        <f>IF(Recruiting_Data!A794="", "", Recruiting_Data!A794)</f>
        <v/>
      </c>
      <c r="B794" s="5" t="str">
        <f>IF(Recruiting_Data!B794="", "", Recruiting_Data!B794)</f>
        <v/>
      </c>
      <c r="C794" s="5" t="str">
        <f>IF(AND(ISNUMBER(Recruiting_Data!N794), ISNUMBER(Recruiting_Data!P794)), Recruiting_Data!N794 - Recruiting_Data!P794, "")</f>
        <v/>
      </c>
      <c r="E794" s="5" t="str">
        <f>IF(Recruiting_Data!R794="Open", TODAY() - Recruiting_Data!P794, "")</f>
        <v/>
      </c>
      <c r="F794" s="8" t="str">
        <f t="shared" si="1"/>
        <v/>
      </c>
      <c r="G794" s="5" t="str">
        <f>IF(A794="", "", IF(COUNTIF(Recruiting_Data!A:A, A794)&gt;1, TRUE, FALSE))</f>
        <v/>
      </c>
      <c r="H794" s="5" t="str">
        <f>IF(A794="", "", IF(OR(AND(Recruiting_Data!N794&lt;&gt;"", Recruiting_Data!J794&lt;&gt;"", Recruiting_Data!N794&lt;Recruiting_Data!J794), AND(Recruiting_Data!M794&lt;&gt;"", Recruiting_Data!L794&lt;&gt;"", Recruiting_Data!M794&lt;Recruiting_Data!L794), AND(Recruiting_Data!L794&lt;&gt;"", Recruiting_Data!K794&lt;&gt;"", Recruiting_Data!L794&lt;Recruiting_Data!K794)), TRUE, FALSE))</f>
        <v/>
      </c>
    </row>
    <row r="795">
      <c r="A795" s="5" t="str">
        <f>IF(Recruiting_Data!A795="", "", Recruiting_Data!A795)</f>
        <v/>
      </c>
      <c r="B795" s="5" t="str">
        <f>IF(Recruiting_Data!B795="", "", Recruiting_Data!B795)</f>
        <v/>
      </c>
      <c r="C795" s="5" t="str">
        <f>IF(AND(ISNUMBER(Recruiting_Data!N795), ISNUMBER(Recruiting_Data!P795)), Recruiting_Data!N795 - Recruiting_Data!P795, "")</f>
        <v/>
      </c>
      <c r="E795" s="5" t="str">
        <f>IF(Recruiting_Data!R795="Open", TODAY() - Recruiting_Data!P795, "")</f>
        <v/>
      </c>
      <c r="F795" s="8" t="str">
        <f t="shared" si="1"/>
        <v/>
      </c>
      <c r="G795" s="5" t="str">
        <f>IF(A795="", "", IF(COUNTIF(Recruiting_Data!A:A, A795)&gt;1, TRUE, FALSE))</f>
        <v/>
      </c>
      <c r="H795" s="5" t="str">
        <f>IF(A795="", "", IF(OR(AND(Recruiting_Data!N795&lt;&gt;"", Recruiting_Data!J795&lt;&gt;"", Recruiting_Data!N795&lt;Recruiting_Data!J795), AND(Recruiting_Data!M795&lt;&gt;"", Recruiting_Data!L795&lt;&gt;"", Recruiting_Data!M795&lt;Recruiting_Data!L795), AND(Recruiting_Data!L795&lt;&gt;"", Recruiting_Data!K795&lt;&gt;"", Recruiting_Data!L795&lt;Recruiting_Data!K795)), TRUE, FALSE))</f>
        <v/>
      </c>
    </row>
    <row r="796">
      <c r="A796" s="5" t="str">
        <f>IF(Recruiting_Data!A796="", "", Recruiting_Data!A796)</f>
        <v/>
      </c>
      <c r="B796" s="5" t="str">
        <f>IF(Recruiting_Data!B796="", "", Recruiting_Data!B796)</f>
        <v/>
      </c>
      <c r="C796" s="5" t="str">
        <f>IF(AND(ISNUMBER(Recruiting_Data!N796), ISNUMBER(Recruiting_Data!P796)), Recruiting_Data!N796 - Recruiting_Data!P796, "")</f>
        <v/>
      </c>
      <c r="E796" s="5" t="str">
        <f>IF(Recruiting_Data!R796="Open", TODAY() - Recruiting_Data!P796, "")</f>
        <v/>
      </c>
      <c r="F796" s="8" t="str">
        <f t="shared" si="1"/>
        <v/>
      </c>
      <c r="G796" s="5" t="str">
        <f>IF(A796="", "", IF(COUNTIF(Recruiting_Data!A:A, A796)&gt;1, TRUE, FALSE))</f>
        <v/>
      </c>
      <c r="H796" s="5" t="str">
        <f>IF(A796="", "", IF(OR(AND(Recruiting_Data!N796&lt;&gt;"", Recruiting_Data!J796&lt;&gt;"", Recruiting_Data!N796&lt;Recruiting_Data!J796), AND(Recruiting_Data!M796&lt;&gt;"", Recruiting_Data!L796&lt;&gt;"", Recruiting_Data!M796&lt;Recruiting_Data!L796), AND(Recruiting_Data!L796&lt;&gt;"", Recruiting_Data!K796&lt;&gt;"", Recruiting_Data!L796&lt;Recruiting_Data!K796)), TRUE, FALSE))</f>
        <v/>
      </c>
    </row>
    <row r="797">
      <c r="A797" s="5" t="str">
        <f>IF(Recruiting_Data!A797="", "", Recruiting_Data!A797)</f>
        <v/>
      </c>
      <c r="B797" s="5" t="str">
        <f>IF(Recruiting_Data!B797="", "", Recruiting_Data!B797)</f>
        <v/>
      </c>
      <c r="C797" s="5" t="str">
        <f>IF(AND(ISNUMBER(Recruiting_Data!N797), ISNUMBER(Recruiting_Data!P797)), Recruiting_Data!N797 - Recruiting_Data!P797, "")</f>
        <v/>
      </c>
      <c r="E797" s="5" t="str">
        <f>IF(Recruiting_Data!R797="Open", TODAY() - Recruiting_Data!P797, "")</f>
        <v/>
      </c>
      <c r="F797" s="8" t="str">
        <f t="shared" si="1"/>
        <v/>
      </c>
      <c r="G797" s="5" t="str">
        <f>IF(A797="", "", IF(COUNTIF(Recruiting_Data!A:A, A797)&gt;1, TRUE, FALSE))</f>
        <v/>
      </c>
      <c r="H797" s="5" t="str">
        <f>IF(A797="", "", IF(OR(AND(Recruiting_Data!N797&lt;&gt;"", Recruiting_Data!J797&lt;&gt;"", Recruiting_Data!N797&lt;Recruiting_Data!J797), AND(Recruiting_Data!M797&lt;&gt;"", Recruiting_Data!L797&lt;&gt;"", Recruiting_Data!M797&lt;Recruiting_Data!L797), AND(Recruiting_Data!L797&lt;&gt;"", Recruiting_Data!K797&lt;&gt;"", Recruiting_Data!L797&lt;Recruiting_Data!K797)), TRUE, FALSE))</f>
        <v/>
      </c>
    </row>
    <row r="798">
      <c r="A798" s="5" t="str">
        <f>IF(Recruiting_Data!A798="", "", Recruiting_Data!A798)</f>
        <v/>
      </c>
      <c r="B798" s="5" t="str">
        <f>IF(Recruiting_Data!B798="", "", Recruiting_Data!B798)</f>
        <v/>
      </c>
      <c r="C798" s="5" t="str">
        <f>IF(AND(ISNUMBER(Recruiting_Data!N798), ISNUMBER(Recruiting_Data!P798)), Recruiting_Data!N798 - Recruiting_Data!P798, "")</f>
        <v/>
      </c>
      <c r="E798" s="5" t="str">
        <f>IF(Recruiting_Data!R798="Open", TODAY() - Recruiting_Data!P798, "")</f>
        <v/>
      </c>
      <c r="F798" s="8" t="str">
        <f t="shared" si="1"/>
        <v/>
      </c>
      <c r="G798" s="5" t="str">
        <f>IF(A798="", "", IF(COUNTIF(Recruiting_Data!A:A, A798)&gt;1, TRUE, FALSE))</f>
        <v/>
      </c>
      <c r="H798" s="5" t="str">
        <f>IF(A798="", "", IF(OR(AND(Recruiting_Data!N798&lt;&gt;"", Recruiting_Data!J798&lt;&gt;"", Recruiting_Data!N798&lt;Recruiting_Data!J798), AND(Recruiting_Data!M798&lt;&gt;"", Recruiting_Data!L798&lt;&gt;"", Recruiting_Data!M798&lt;Recruiting_Data!L798), AND(Recruiting_Data!L798&lt;&gt;"", Recruiting_Data!K798&lt;&gt;"", Recruiting_Data!L798&lt;Recruiting_Data!K798)), TRUE, FALSE))</f>
        <v/>
      </c>
    </row>
    <row r="799">
      <c r="A799" s="5" t="str">
        <f>IF(Recruiting_Data!A799="", "", Recruiting_Data!A799)</f>
        <v/>
      </c>
      <c r="B799" s="5" t="str">
        <f>IF(Recruiting_Data!B799="", "", Recruiting_Data!B799)</f>
        <v/>
      </c>
      <c r="C799" s="5" t="str">
        <f>IF(AND(ISNUMBER(Recruiting_Data!N799), ISNUMBER(Recruiting_Data!P799)), Recruiting_Data!N799 - Recruiting_Data!P799, "")</f>
        <v/>
      </c>
      <c r="E799" s="5" t="str">
        <f>IF(Recruiting_Data!R799="Open", TODAY() - Recruiting_Data!P799, "")</f>
        <v/>
      </c>
      <c r="F799" s="8" t="str">
        <f t="shared" si="1"/>
        <v/>
      </c>
      <c r="G799" s="5" t="str">
        <f>IF(A799="", "", IF(COUNTIF(Recruiting_Data!A:A, A799)&gt;1, TRUE, FALSE))</f>
        <v/>
      </c>
      <c r="H799" s="5" t="str">
        <f>IF(A799="", "", IF(OR(AND(Recruiting_Data!N799&lt;&gt;"", Recruiting_Data!J799&lt;&gt;"", Recruiting_Data!N799&lt;Recruiting_Data!J799), AND(Recruiting_Data!M799&lt;&gt;"", Recruiting_Data!L799&lt;&gt;"", Recruiting_Data!M799&lt;Recruiting_Data!L799), AND(Recruiting_Data!L799&lt;&gt;"", Recruiting_Data!K799&lt;&gt;"", Recruiting_Data!L799&lt;Recruiting_Data!K799)), TRUE, FALSE))</f>
        <v/>
      </c>
    </row>
    <row r="800">
      <c r="A800" s="5" t="str">
        <f>IF(Recruiting_Data!A800="", "", Recruiting_Data!A800)</f>
        <v/>
      </c>
      <c r="B800" s="5" t="str">
        <f>IF(Recruiting_Data!B800="", "", Recruiting_Data!B800)</f>
        <v/>
      </c>
      <c r="C800" s="5" t="str">
        <f>IF(AND(ISNUMBER(Recruiting_Data!N800), ISNUMBER(Recruiting_Data!P800)), Recruiting_Data!N800 - Recruiting_Data!P800, "")</f>
        <v/>
      </c>
      <c r="E800" s="5" t="str">
        <f>IF(Recruiting_Data!R800="Open", TODAY() - Recruiting_Data!P800, "")</f>
        <v/>
      </c>
      <c r="F800" s="8" t="str">
        <f t="shared" si="1"/>
        <v/>
      </c>
      <c r="G800" s="5" t="str">
        <f>IF(A800="", "", IF(COUNTIF(Recruiting_Data!A:A, A800)&gt;1, TRUE, FALSE))</f>
        <v/>
      </c>
      <c r="H800" s="5" t="str">
        <f>IF(A800="", "", IF(OR(AND(Recruiting_Data!N800&lt;&gt;"", Recruiting_Data!J800&lt;&gt;"", Recruiting_Data!N800&lt;Recruiting_Data!J800), AND(Recruiting_Data!M800&lt;&gt;"", Recruiting_Data!L800&lt;&gt;"", Recruiting_Data!M800&lt;Recruiting_Data!L800), AND(Recruiting_Data!L800&lt;&gt;"", Recruiting_Data!K800&lt;&gt;"", Recruiting_Data!L800&lt;Recruiting_Data!K800)), TRUE, FALSE))</f>
        <v/>
      </c>
    </row>
    <row r="801">
      <c r="A801" s="5" t="str">
        <f>IF(Recruiting_Data!A801="", "", Recruiting_Data!A801)</f>
        <v/>
      </c>
      <c r="B801" s="5" t="str">
        <f>IF(Recruiting_Data!B801="", "", Recruiting_Data!B801)</f>
        <v/>
      </c>
      <c r="C801" s="5" t="str">
        <f>IF(AND(ISNUMBER(Recruiting_Data!N801), ISNUMBER(Recruiting_Data!P801)), Recruiting_Data!N801 - Recruiting_Data!P801, "")</f>
        <v/>
      </c>
      <c r="E801" s="5" t="str">
        <f>IF(Recruiting_Data!R801="Open", TODAY() - Recruiting_Data!P801, "")</f>
        <v/>
      </c>
      <c r="F801" s="8" t="str">
        <f t="shared" si="1"/>
        <v/>
      </c>
      <c r="G801" s="5" t="str">
        <f>IF(A801="", "", IF(COUNTIF(Recruiting_Data!A:A, A801)&gt;1, TRUE, FALSE))</f>
        <v/>
      </c>
      <c r="H801" s="5" t="str">
        <f>IF(A801="", "", IF(OR(AND(Recruiting_Data!N801&lt;&gt;"", Recruiting_Data!J801&lt;&gt;"", Recruiting_Data!N801&lt;Recruiting_Data!J801), AND(Recruiting_Data!M801&lt;&gt;"", Recruiting_Data!L801&lt;&gt;"", Recruiting_Data!M801&lt;Recruiting_Data!L801), AND(Recruiting_Data!L801&lt;&gt;"", Recruiting_Data!K801&lt;&gt;"", Recruiting_Data!L801&lt;Recruiting_Data!K801)), TRUE, FALSE))</f>
        <v/>
      </c>
    </row>
    <row r="802">
      <c r="A802" s="5" t="str">
        <f>IF(Recruiting_Data!A802="", "", Recruiting_Data!A802)</f>
        <v/>
      </c>
      <c r="B802" s="5" t="str">
        <f>IF(Recruiting_Data!B802="", "", Recruiting_Data!B802)</f>
        <v/>
      </c>
      <c r="C802" s="5" t="str">
        <f>IF(AND(ISNUMBER(Recruiting_Data!N802), ISNUMBER(Recruiting_Data!P802)), Recruiting_Data!N802 - Recruiting_Data!P802, "")</f>
        <v/>
      </c>
      <c r="E802" s="5" t="str">
        <f>IF(Recruiting_Data!R802="Open", TODAY() - Recruiting_Data!P802, "")</f>
        <v/>
      </c>
      <c r="F802" s="8" t="str">
        <f t="shared" si="1"/>
        <v/>
      </c>
      <c r="G802" s="5" t="str">
        <f>IF(A802="", "", IF(COUNTIF(Recruiting_Data!A:A, A802)&gt;1, TRUE, FALSE))</f>
        <v/>
      </c>
      <c r="H802" s="5" t="str">
        <f>IF(A802="", "", IF(OR(AND(Recruiting_Data!N802&lt;&gt;"", Recruiting_Data!J802&lt;&gt;"", Recruiting_Data!N802&lt;Recruiting_Data!J802), AND(Recruiting_Data!M802&lt;&gt;"", Recruiting_Data!L802&lt;&gt;"", Recruiting_Data!M802&lt;Recruiting_Data!L802), AND(Recruiting_Data!L802&lt;&gt;"", Recruiting_Data!K802&lt;&gt;"", Recruiting_Data!L802&lt;Recruiting_Data!K802)), TRUE, FALSE))</f>
        <v/>
      </c>
    </row>
    <row r="803">
      <c r="A803" s="5" t="str">
        <f>IF(Recruiting_Data!A803="", "", Recruiting_Data!A803)</f>
        <v/>
      </c>
      <c r="B803" s="5" t="str">
        <f>IF(Recruiting_Data!B803="", "", Recruiting_Data!B803)</f>
        <v/>
      </c>
      <c r="C803" s="5" t="str">
        <f>IF(AND(ISNUMBER(Recruiting_Data!N803), ISNUMBER(Recruiting_Data!P803)), Recruiting_Data!N803 - Recruiting_Data!P803, "")</f>
        <v/>
      </c>
      <c r="E803" s="5" t="str">
        <f>IF(Recruiting_Data!R803="Open", TODAY() - Recruiting_Data!P803, "")</f>
        <v/>
      </c>
      <c r="F803" s="8" t="str">
        <f t="shared" si="1"/>
        <v/>
      </c>
      <c r="G803" s="5" t="str">
        <f>IF(A803="", "", IF(COUNTIF(Recruiting_Data!A:A, A803)&gt;1, TRUE, FALSE))</f>
        <v/>
      </c>
      <c r="H803" s="5" t="str">
        <f>IF(A803="", "", IF(OR(AND(Recruiting_Data!N803&lt;&gt;"", Recruiting_Data!J803&lt;&gt;"", Recruiting_Data!N803&lt;Recruiting_Data!J803), AND(Recruiting_Data!M803&lt;&gt;"", Recruiting_Data!L803&lt;&gt;"", Recruiting_Data!M803&lt;Recruiting_Data!L803), AND(Recruiting_Data!L803&lt;&gt;"", Recruiting_Data!K803&lt;&gt;"", Recruiting_Data!L803&lt;Recruiting_Data!K803)), TRUE, FALSE))</f>
        <v/>
      </c>
    </row>
    <row r="804">
      <c r="A804" s="5" t="str">
        <f>IF(Recruiting_Data!A804="", "", Recruiting_Data!A804)</f>
        <v/>
      </c>
      <c r="B804" s="5" t="str">
        <f>IF(Recruiting_Data!B804="", "", Recruiting_Data!B804)</f>
        <v/>
      </c>
      <c r="C804" s="5" t="str">
        <f>IF(AND(ISNUMBER(Recruiting_Data!N804), ISNUMBER(Recruiting_Data!P804)), Recruiting_Data!N804 - Recruiting_Data!P804, "")</f>
        <v/>
      </c>
      <c r="E804" s="5" t="str">
        <f>IF(Recruiting_Data!R804="Open", TODAY() - Recruiting_Data!P804, "")</f>
        <v/>
      </c>
      <c r="F804" s="8" t="str">
        <f t="shared" si="1"/>
        <v/>
      </c>
      <c r="G804" s="5" t="str">
        <f>IF(A804="", "", IF(COUNTIF(Recruiting_Data!A:A, A804)&gt;1, TRUE, FALSE))</f>
        <v/>
      </c>
      <c r="H804" s="5" t="str">
        <f>IF(A804="", "", IF(OR(AND(Recruiting_Data!N804&lt;&gt;"", Recruiting_Data!J804&lt;&gt;"", Recruiting_Data!N804&lt;Recruiting_Data!J804), AND(Recruiting_Data!M804&lt;&gt;"", Recruiting_Data!L804&lt;&gt;"", Recruiting_Data!M804&lt;Recruiting_Data!L804), AND(Recruiting_Data!L804&lt;&gt;"", Recruiting_Data!K804&lt;&gt;"", Recruiting_Data!L804&lt;Recruiting_Data!K804)), TRUE, FALSE))</f>
        <v/>
      </c>
    </row>
    <row r="805">
      <c r="A805" s="5" t="str">
        <f>IF(Recruiting_Data!A805="", "", Recruiting_Data!A805)</f>
        <v/>
      </c>
      <c r="B805" s="5" t="str">
        <f>IF(Recruiting_Data!B805="", "", Recruiting_Data!B805)</f>
        <v/>
      </c>
      <c r="C805" s="5" t="str">
        <f>IF(AND(ISNUMBER(Recruiting_Data!N805), ISNUMBER(Recruiting_Data!P805)), Recruiting_Data!N805 - Recruiting_Data!P805, "")</f>
        <v/>
      </c>
      <c r="E805" s="5" t="str">
        <f>IF(Recruiting_Data!R805="Open", TODAY() - Recruiting_Data!P805, "")</f>
        <v/>
      </c>
      <c r="F805" s="8" t="str">
        <f t="shared" si="1"/>
        <v/>
      </c>
      <c r="G805" s="5" t="str">
        <f>IF(A805="", "", IF(COUNTIF(Recruiting_Data!A:A, A805)&gt;1, TRUE, FALSE))</f>
        <v/>
      </c>
      <c r="H805" s="5" t="str">
        <f>IF(A805="", "", IF(OR(AND(Recruiting_Data!N805&lt;&gt;"", Recruiting_Data!J805&lt;&gt;"", Recruiting_Data!N805&lt;Recruiting_Data!J805), AND(Recruiting_Data!M805&lt;&gt;"", Recruiting_Data!L805&lt;&gt;"", Recruiting_Data!M805&lt;Recruiting_Data!L805), AND(Recruiting_Data!L805&lt;&gt;"", Recruiting_Data!K805&lt;&gt;"", Recruiting_Data!L805&lt;Recruiting_Data!K805)), TRUE, FALSE))</f>
        <v/>
      </c>
    </row>
    <row r="806">
      <c r="A806" s="5" t="str">
        <f>IF(Recruiting_Data!A806="", "", Recruiting_Data!A806)</f>
        <v/>
      </c>
      <c r="B806" s="5" t="str">
        <f>IF(Recruiting_Data!B806="", "", Recruiting_Data!B806)</f>
        <v/>
      </c>
      <c r="C806" s="5" t="str">
        <f>IF(AND(ISNUMBER(Recruiting_Data!N806), ISNUMBER(Recruiting_Data!P806)), Recruiting_Data!N806 - Recruiting_Data!P806, "")</f>
        <v/>
      </c>
      <c r="E806" s="5" t="str">
        <f>IF(Recruiting_Data!R806="Open", TODAY() - Recruiting_Data!P806, "")</f>
        <v/>
      </c>
      <c r="F806" s="8" t="str">
        <f t="shared" si="1"/>
        <v/>
      </c>
      <c r="G806" s="5" t="str">
        <f>IF(A806="", "", IF(COUNTIF(Recruiting_Data!A:A, A806)&gt;1, TRUE, FALSE))</f>
        <v/>
      </c>
      <c r="H806" s="5" t="str">
        <f>IF(A806="", "", IF(OR(AND(Recruiting_Data!N806&lt;&gt;"", Recruiting_Data!J806&lt;&gt;"", Recruiting_Data!N806&lt;Recruiting_Data!J806), AND(Recruiting_Data!M806&lt;&gt;"", Recruiting_Data!L806&lt;&gt;"", Recruiting_Data!M806&lt;Recruiting_Data!L806), AND(Recruiting_Data!L806&lt;&gt;"", Recruiting_Data!K806&lt;&gt;"", Recruiting_Data!L806&lt;Recruiting_Data!K806)), TRUE, FALSE))</f>
        <v/>
      </c>
    </row>
    <row r="807">
      <c r="A807" s="5" t="str">
        <f>IF(Recruiting_Data!A807="", "", Recruiting_Data!A807)</f>
        <v/>
      </c>
      <c r="B807" s="5" t="str">
        <f>IF(Recruiting_Data!B807="", "", Recruiting_Data!B807)</f>
        <v/>
      </c>
      <c r="C807" s="5" t="str">
        <f>IF(AND(ISNUMBER(Recruiting_Data!N807), ISNUMBER(Recruiting_Data!P807)), Recruiting_Data!N807 - Recruiting_Data!P807, "")</f>
        <v/>
      </c>
      <c r="E807" s="5" t="str">
        <f>IF(Recruiting_Data!R807="Open", TODAY() - Recruiting_Data!P807, "")</f>
        <v/>
      </c>
      <c r="F807" s="8" t="str">
        <f t="shared" si="1"/>
        <v/>
      </c>
      <c r="G807" s="5" t="str">
        <f>IF(A807="", "", IF(COUNTIF(Recruiting_Data!A:A, A807)&gt;1, TRUE, FALSE))</f>
        <v/>
      </c>
      <c r="H807" s="5" t="str">
        <f>IF(A807="", "", IF(OR(AND(Recruiting_Data!N807&lt;&gt;"", Recruiting_Data!J807&lt;&gt;"", Recruiting_Data!N807&lt;Recruiting_Data!J807), AND(Recruiting_Data!M807&lt;&gt;"", Recruiting_Data!L807&lt;&gt;"", Recruiting_Data!M807&lt;Recruiting_Data!L807), AND(Recruiting_Data!L807&lt;&gt;"", Recruiting_Data!K807&lt;&gt;"", Recruiting_Data!L807&lt;Recruiting_Data!K807)), TRUE, FALSE))</f>
        <v/>
      </c>
    </row>
    <row r="808">
      <c r="A808" s="5" t="str">
        <f>IF(Recruiting_Data!A808="", "", Recruiting_Data!A808)</f>
        <v/>
      </c>
      <c r="B808" s="5" t="str">
        <f>IF(Recruiting_Data!B808="", "", Recruiting_Data!B808)</f>
        <v/>
      </c>
      <c r="C808" s="5" t="str">
        <f>IF(AND(ISNUMBER(Recruiting_Data!N808), ISNUMBER(Recruiting_Data!P808)), Recruiting_Data!N808 - Recruiting_Data!P808, "")</f>
        <v/>
      </c>
      <c r="E808" s="5" t="str">
        <f>IF(Recruiting_Data!R808="Open", TODAY() - Recruiting_Data!P808, "")</f>
        <v/>
      </c>
      <c r="F808" s="8" t="str">
        <f t="shared" si="1"/>
        <v/>
      </c>
      <c r="G808" s="5" t="str">
        <f>IF(A808="", "", IF(COUNTIF(Recruiting_Data!A:A, A808)&gt;1, TRUE, FALSE))</f>
        <v/>
      </c>
      <c r="H808" s="5" t="str">
        <f>IF(A808="", "", IF(OR(AND(Recruiting_Data!N808&lt;&gt;"", Recruiting_Data!J808&lt;&gt;"", Recruiting_Data!N808&lt;Recruiting_Data!J808), AND(Recruiting_Data!M808&lt;&gt;"", Recruiting_Data!L808&lt;&gt;"", Recruiting_Data!M808&lt;Recruiting_Data!L808), AND(Recruiting_Data!L808&lt;&gt;"", Recruiting_Data!K808&lt;&gt;"", Recruiting_Data!L808&lt;Recruiting_Data!K808)), TRUE, FALSE))</f>
        <v/>
      </c>
    </row>
    <row r="809">
      <c r="A809" s="5" t="str">
        <f>IF(Recruiting_Data!A809="", "", Recruiting_Data!A809)</f>
        <v/>
      </c>
      <c r="B809" s="5" t="str">
        <f>IF(Recruiting_Data!B809="", "", Recruiting_Data!B809)</f>
        <v/>
      </c>
      <c r="C809" s="5" t="str">
        <f>IF(AND(ISNUMBER(Recruiting_Data!N809), ISNUMBER(Recruiting_Data!P809)), Recruiting_Data!N809 - Recruiting_Data!P809, "")</f>
        <v/>
      </c>
      <c r="E809" s="5" t="str">
        <f>IF(Recruiting_Data!R809="Open", TODAY() - Recruiting_Data!P809, "")</f>
        <v/>
      </c>
      <c r="F809" s="8" t="str">
        <f t="shared" si="1"/>
        <v/>
      </c>
      <c r="G809" s="5" t="str">
        <f>IF(A809="", "", IF(COUNTIF(Recruiting_Data!A:A, A809)&gt;1, TRUE, FALSE))</f>
        <v/>
      </c>
      <c r="H809" s="5" t="str">
        <f>IF(A809="", "", IF(OR(AND(Recruiting_Data!N809&lt;&gt;"", Recruiting_Data!J809&lt;&gt;"", Recruiting_Data!N809&lt;Recruiting_Data!J809), AND(Recruiting_Data!M809&lt;&gt;"", Recruiting_Data!L809&lt;&gt;"", Recruiting_Data!M809&lt;Recruiting_Data!L809), AND(Recruiting_Data!L809&lt;&gt;"", Recruiting_Data!K809&lt;&gt;"", Recruiting_Data!L809&lt;Recruiting_Data!K809)), TRUE, FALSE))</f>
        <v/>
      </c>
    </row>
    <row r="810">
      <c r="A810" s="5" t="str">
        <f>IF(Recruiting_Data!A810="", "", Recruiting_Data!A810)</f>
        <v/>
      </c>
      <c r="B810" s="5" t="str">
        <f>IF(Recruiting_Data!B810="", "", Recruiting_Data!B810)</f>
        <v/>
      </c>
      <c r="C810" s="5" t="str">
        <f>IF(AND(ISNUMBER(Recruiting_Data!N810), ISNUMBER(Recruiting_Data!P810)), Recruiting_Data!N810 - Recruiting_Data!P810, "")</f>
        <v/>
      </c>
      <c r="E810" s="5" t="str">
        <f>IF(Recruiting_Data!R810="Open", TODAY() - Recruiting_Data!P810, "")</f>
        <v/>
      </c>
      <c r="F810" s="8" t="str">
        <f t="shared" si="1"/>
        <v/>
      </c>
      <c r="G810" s="5" t="str">
        <f>IF(A810="", "", IF(COUNTIF(Recruiting_Data!A:A, A810)&gt;1, TRUE, FALSE))</f>
        <v/>
      </c>
      <c r="H810" s="5" t="str">
        <f>IF(A810="", "", IF(OR(AND(Recruiting_Data!N810&lt;&gt;"", Recruiting_Data!J810&lt;&gt;"", Recruiting_Data!N810&lt;Recruiting_Data!J810), AND(Recruiting_Data!M810&lt;&gt;"", Recruiting_Data!L810&lt;&gt;"", Recruiting_Data!M810&lt;Recruiting_Data!L810), AND(Recruiting_Data!L810&lt;&gt;"", Recruiting_Data!K810&lt;&gt;"", Recruiting_Data!L810&lt;Recruiting_Data!K810)), TRUE, FALSE))</f>
        <v/>
      </c>
    </row>
    <row r="811">
      <c r="A811" s="5" t="str">
        <f>IF(Recruiting_Data!A811="", "", Recruiting_Data!A811)</f>
        <v/>
      </c>
      <c r="B811" s="5" t="str">
        <f>IF(Recruiting_Data!B811="", "", Recruiting_Data!B811)</f>
        <v/>
      </c>
      <c r="C811" s="5" t="str">
        <f>IF(AND(ISNUMBER(Recruiting_Data!N811), ISNUMBER(Recruiting_Data!P811)), Recruiting_Data!N811 - Recruiting_Data!P811, "")</f>
        <v/>
      </c>
      <c r="E811" s="5" t="str">
        <f>IF(Recruiting_Data!R811="Open", TODAY() - Recruiting_Data!P811, "")</f>
        <v/>
      </c>
      <c r="F811" s="8" t="str">
        <f t="shared" si="1"/>
        <v/>
      </c>
      <c r="G811" s="5" t="str">
        <f>IF(A811="", "", IF(COUNTIF(Recruiting_Data!A:A, A811)&gt;1, TRUE, FALSE))</f>
        <v/>
      </c>
      <c r="H811" s="5" t="str">
        <f>IF(A811="", "", IF(OR(AND(Recruiting_Data!N811&lt;&gt;"", Recruiting_Data!J811&lt;&gt;"", Recruiting_Data!N811&lt;Recruiting_Data!J811), AND(Recruiting_Data!M811&lt;&gt;"", Recruiting_Data!L811&lt;&gt;"", Recruiting_Data!M811&lt;Recruiting_Data!L811), AND(Recruiting_Data!L811&lt;&gt;"", Recruiting_Data!K811&lt;&gt;"", Recruiting_Data!L811&lt;Recruiting_Data!K811)), TRUE, FALSE))</f>
        <v/>
      </c>
    </row>
    <row r="812">
      <c r="A812" s="5" t="str">
        <f>IF(Recruiting_Data!A812="", "", Recruiting_Data!A812)</f>
        <v/>
      </c>
      <c r="B812" s="5" t="str">
        <f>IF(Recruiting_Data!B812="", "", Recruiting_Data!B812)</f>
        <v/>
      </c>
      <c r="C812" s="5" t="str">
        <f>IF(AND(ISNUMBER(Recruiting_Data!N812), ISNUMBER(Recruiting_Data!P812)), Recruiting_Data!N812 - Recruiting_Data!P812, "")</f>
        <v/>
      </c>
      <c r="E812" s="5" t="str">
        <f>IF(Recruiting_Data!R812="Open", TODAY() - Recruiting_Data!P812, "")</f>
        <v/>
      </c>
      <c r="F812" s="8" t="str">
        <f t="shared" si="1"/>
        <v/>
      </c>
      <c r="G812" s="5" t="str">
        <f>IF(A812="", "", IF(COUNTIF(Recruiting_Data!A:A, A812)&gt;1, TRUE, FALSE))</f>
        <v/>
      </c>
      <c r="H812" s="5" t="str">
        <f>IF(A812="", "", IF(OR(AND(Recruiting_Data!N812&lt;&gt;"", Recruiting_Data!J812&lt;&gt;"", Recruiting_Data!N812&lt;Recruiting_Data!J812), AND(Recruiting_Data!M812&lt;&gt;"", Recruiting_Data!L812&lt;&gt;"", Recruiting_Data!M812&lt;Recruiting_Data!L812), AND(Recruiting_Data!L812&lt;&gt;"", Recruiting_Data!K812&lt;&gt;"", Recruiting_Data!L812&lt;Recruiting_Data!K812)), TRUE, FALSE))</f>
        <v/>
      </c>
    </row>
    <row r="813">
      <c r="A813" s="5" t="str">
        <f>IF(Recruiting_Data!A813="", "", Recruiting_Data!A813)</f>
        <v/>
      </c>
      <c r="B813" s="5" t="str">
        <f>IF(Recruiting_Data!B813="", "", Recruiting_Data!B813)</f>
        <v/>
      </c>
      <c r="C813" s="5" t="str">
        <f>IF(AND(ISNUMBER(Recruiting_Data!N813), ISNUMBER(Recruiting_Data!P813)), Recruiting_Data!N813 - Recruiting_Data!P813, "")</f>
        <v/>
      </c>
      <c r="E813" s="5" t="str">
        <f>IF(Recruiting_Data!R813="Open", TODAY() - Recruiting_Data!P813, "")</f>
        <v/>
      </c>
      <c r="F813" s="8" t="str">
        <f t="shared" si="1"/>
        <v/>
      </c>
      <c r="G813" s="5" t="str">
        <f>IF(A813="", "", IF(COUNTIF(Recruiting_Data!A:A, A813)&gt;1, TRUE, FALSE))</f>
        <v/>
      </c>
      <c r="H813" s="5" t="str">
        <f>IF(A813="", "", IF(OR(AND(Recruiting_Data!N813&lt;&gt;"", Recruiting_Data!J813&lt;&gt;"", Recruiting_Data!N813&lt;Recruiting_Data!J813), AND(Recruiting_Data!M813&lt;&gt;"", Recruiting_Data!L813&lt;&gt;"", Recruiting_Data!M813&lt;Recruiting_Data!L813), AND(Recruiting_Data!L813&lt;&gt;"", Recruiting_Data!K813&lt;&gt;"", Recruiting_Data!L813&lt;Recruiting_Data!K813)), TRUE, FALSE))</f>
        <v/>
      </c>
    </row>
    <row r="814">
      <c r="A814" s="5" t="str">
        <f>IF(Recruiting_Data!A814="", "", Recruiting_Data!A814)</f>
        <v/>
      </c>
      <c r="B814" s="5" t="str">
        <f>IF(Recruiting_Data!B814="", "", Recruiting_Data!B814)</f>
        <v/>
      </c>
      <c r="C814" s="5" t="str">
        <f>IF(AND(ISNUMBER(Recruiting_Data!N814), ISNUMBER(Recruiting_Data!P814)), Recruiting_Data!N814 - Recruiting_Data!P814, "")</f>
        <v/>
      </c>
      <c r="E814" s="5" t="str">
        <f>IF(Recruiting_Data!R814="Open", TODAY() - Recruiting_Data!P814, "")</f>
        <v/>
      </c>
      <c r="F814" s="8" t="str">
        <f t="shared" si="1"/>
        <v/>
      </c>
      <c r="G814" s="5" t="str">
        <f>IF(A814="", "", IF(COUNTIF(Recruiting_Data!A:A, A814)&gt;1, TRUE, FALSE))</f>
        <v/>
      </c>
      <c r="H814" s="5" t="str">
        <f>IF(A814="", "", IF(OR(AND(Recruiting_Data!N814&lt;&gt;"", Recruiting_Data!J814&lt;&gt;"", Recruiting_Data!N814&lt;Recruiting_Data!J814), AND(Recruiting_Data!M814&lt;&gt;"", Recruiting_Data!L814&lt;&gt;"", Recruiting_Data!M814&lt;Recruiting_Data!L814), AND(Recruiting_Data!L814&lt;&gt;"", Recruiting_Data!K814&lt;&gt;"", Recruiting_Data!L814&lt;Recruiting_Data!K814)), TRUE, FALSE))</f>
        <v/>
      </c>
    </row>
    <row r="815">
      <c r="A815" s="5" t="str">
        <f>IF(Recruiting_Data!A815="", "", Recruiting_Data!A815)</f>
        <v/>
      </c>
      <c r="B815" s="5" t="str">
        <f>IF(Recruiting_Data!B815="", "", Recruiting_Data!B815)</f>
        <v/>
      </c>
      <c r="C815" s="5" t="str">
        <f>IF(AND(ISNUMBER(Recruiting_Data!N815), ISNUMBER(Recruiting_Data!P815)), Recruiting_Data!N815 - Recruiting_Data!P815, "")</f>
        <v/>
      </c>
      <c r="E815" s="5" t="str">
        <f>IF(Recruiting_Data!R815="Open", TODAY() - Recruiting_Data!P815, "")</f>
        <v/>
      </c>
      <c r="F815" s="8" t="str">
        <f t="shared" si="1"/>
        <v/>
      </c>
      <c r="G815" s="5" t="str">
        <f>IF(A815="", "", IF(COUNTIF(Recruiting_Data!A:A, A815)&gt;1, TRUE, FALSE))</f>
        <v/>
      </c>
      <c r="H815" s="5" t="str">
        <f>IF(A815="", "", IF(OR(AND(Recruiting_Data!N815&lt;&gt;"", Recruiting_Data!J815&lt;&gt;"", Recruiting_Data!N815&lt;Recruiting_Data!J815), AND(Recruiting_Data!M815&lt;&gt;"", Recruiting_Data!L815&lt;&gt;"", Recruiting_Data!M815&lt;Recruiting_Data!L815), AND(Recruiting_Data!L815&lt;&gt;"", Recruiting_Data!K815&lt;&gt;"", Recruiting_Data!L815&lt;Recruiting_Data!K815)), TRUE, FALSE))</f>
        <v/>
      </c>
    </row>
    <row r="816">
      <c r="A816" s="5" t="str">
        <f>IF(Recruiting_Data!A816="", "", Recruiting_Data!A816)</f>
        <v/>
      </c>
      <c r="B816" s="5" t="str">
        <f>IF(Recruiting_Data!B816="", "", Recruiting_Data!B816)</f>
        <v/>
      </c>
      <c r="C816" s="5" t="str">
        <f>IF(AND(ISNUMBER(Recruiting_Data!N816), ISNUMBER(Recruiting_Data!P816)), Recruiting_Data!N816 - Recruiting_Data!P816, "")</f>
        <v/>
      </c>
      <c r="E816" s="5" t="str">
        <f>IF(Recruiting_Data!R816="Open", TODAY() - Recruiting_Data!P816, "")</f>
        <v/>
      </c>
      <c r="F816" s="8" t="str">
        <f t="shared" si="1"/>
        <v/>
      </c>
      <c r="G816" s="5" t="str">
        <f>IF(A816="", "", IF(COUNTIF(Recruiting_Data!A:A, A816)&gt;1, TRUE, FALSE))</f>
        <v/>
      </c>
      <c r="H816" s="5" t="str">
        <f>IF(A816="", "", IF(OR(AND(Recruiting_Data!N816&lt;&gt;"", Recruiting_Data!J816&lt;&gt;"", Recruiting_Data!N816&lt;Recruiting_Data!J816), AND(Recruiting_Data!M816&lt;&gt;"", Recruiting_Data!L816&lt;&gt;"", Recruiting_Data!M816&lt;Recruiting_Data!L816), AND(Recruiting_Data!L816&lt;&gt;"", Recruiting_Data!K816&lt;&gt;"", Recruiting_Data!L816&lt;Recruiting_Data!K816)), TRUE, FALSE))</f>
        <v/>
      </c>
    </row>
    <row r="817">
      <c r="A817" s="5" t="str">
        <f>IF(Recruiting_Data!A817="", "", Recruiting_Data!A817)</f>
        <v/>
      </c>
      <c r="B817" s="5" t="str">
        <f>IF(Recruiting_Data!B817="", "", Recruiting_Data!B817)</f>
        <v/>
      </c>
      <c r="C817" s="5" t="str">
        <f>IF(AND(ISNUMBER(Recruiting_Data!N817), ISNUMBER(Recruiting_Data!P817)), Recruiting_Data!N817 - Recruiting_Data!P817, "")</f>
        <v/>
      </c>
      <c r="E817" s="5" t="str">
        <f>IF(Recruiting_Data!R817="Open", TODAY() - Recruiting_Data!P817, "")</f>
        <v/>
      </c>
      <c r="F817" s="8" t="str">
        <f t="shared" si="1"/>
        <v/>
      </c>
      <c r="G817" s="5" t="str">
        <f>IF(A817="", "", IF(COUNTIF(Recruiting_Data!A:A, A817)&gt;1, TRUE, FALSE))</f>
        <v/>
      </c>
      <c r="H817" s="5" t="str">
        <f>IF(A817="", "", IF(OR(AND(Recruiting_Data!N817&lt;&gt;"", Recruiting_Data!J817&lt;&gt;"", Recruiting_Data!N817&lt;Recruiting_Data!J817), AND(Recruiting_Data!M817&lt;&gt;"", Recruiting_Data!L817&lt;&gt;"", Recruiting_Data!M817&lt;Recruiting_Data!L817), AND(Recruiting_Data!L817&lt;&gt;"", Recruiting_Data!K817&lt;&gt;"", Recruiting_Data!L817&lt;Recruiting_Data!K817)), TRUE, FALSE))</f>
        <v/>
      </c>
    </row>
    <row r="818">
      <c r="A818" s="5" t="str">
        <f>IF(Recruiting_Data!A818="", "", Recruiting_Data!A818)</f>
        <v/>
      </c>
      <c r="B818" s="5" t="str">
        <f>IF(Recruiting_Data!B818="", "", Recruiting_Data!B818)</f>
        <v/>
      </c>
      <c r="C818" s="5" t="str">
        <f>IF(AND(ISNUMBER(Recruiting_Data!N818), ISNUMBER(Recruiting_Data!P818)), Recruiting_Data!N818 - Recruiting_Data!P818, "")</f>
        <v/>
      </c>
      <c r="E818" s="5" t="str">
        <f>IF(Recruiting_Data!R818="Open", TODAY() - Recruiting_Data!P818, "")</f>
        <v/>
      </c>
      <c r="F818" s="8" t="str">
        <f t="shared" si="1"/>
        <v/>
      </c>
      <c r="G818" s="5" t="str">
        <f>IF(A818="", "", IF(COUNTIF(Recruiting_Data!A:A, A818)&gt;1, TRUE, FALSE))</f>
        <v/>
      </c>
      <c r="H818" s="5" t="str">
        <f>IF(A818="", "", IF(OR(AND(Recruiting_Data!N818&lt;&gt;"", Recruiting_Data!J818&lt;&gt;"", Recruiting_Data!N818&lt;Recruiting_Data!J818), AND(Recruiting_Data!M818&lt;&gt;"", Recruiting_Data!L818&lt;&gt;"", Recruiting_Data!M818&lt;Recruiting_Data!L818), AND(Recruiting_Data!L818&lt;&gt;"", Recruiting_Data!K818&lt;&gt;"", Recruiting_Data!L818&lt;Recruiting_Data!K818)), TRUE, FALSE))</f>
        <v/>
      </c>
    </row>
    <row r="819">
      <c r="A819" s="5" t="str">
        <f>IF(Recruiting_Data!A819="", "", Recruiting_Data!A819)</f>
        <v/>
      </c>
      <c r="B819" s="5" t="str">
        <f>IF(Recruiting_Data!B819="", "", Recruiting_Data!B819)</f>
        <v/>
      </c>
      <c r="C819" s="5" t="str">
        <f>IF(AND(ISNUMBER(Recruiting_Data!N819), ISNUMBER(Recruiting_Data!P819)), Recruiting_Data!N819 - Recruiting_Data!P819, "")</f>
        <v/>
      </c>
      <c r="E819" s="5" t="str">
        <f>IF(Recruiting_Data!R819="Open", TODAY() - Recruiting_Data!P819, "")</f>
        <v/>
      </c>
      <c r="F819" s="8" t="str">
        <f t="shared" si="1"/>
        <v/>
      </c>
      <c r="G819" s="5" t="str">
        <f>IF(A819="", "", IF(COUNTIF(Recruiting_Data!A:A, A819)&gt;1, TRUE, FALSE))</f>
        <v/>
      </c>
      <c r="H819" s="5" t="str">
        <f>IF(A819="", "", IF(OR(AND(Recruiting_Data!N819&lt;&gt;"", Recruiting_Data!J819&lt;&gt;"", Recruiting_Data!N819&lt;Recruiting_Data!J819), AND(Recruiting_Data!M819&lt;&gt;"", Recruiting_Data!L819&lt;&gt;"", Recruiting_Data!M819&lt;Recruiting_Data!L819), AND(Recruiting_Data!L819&lt;&gt;"", Recruiting_Data!K819&lt;&gt;"", Recruiting_Data!L819&lt;Recruiting_Data!K819)), TRUE, FALSE))</f>
        <v/>
      </c>
    </row>
    <row r="820">
      <c r="A820" s="5" t="str">
        <f>IF(Recruiting_Data!A820="", "", Recruiting_Data!A820)</f>
        <v/>
      </c>
      <c r="B820" s="5" t="str">
        <f>IF(Recruiting_Data!B820="", "", Recruiting_Data!B820)</f>
        <v/>
      </c>
      <c r="C820" s="5" t="str">
        <f>IF(AND(ISNUMBER(Recruiting_Data!N820), ISNUMBER(Recruiting_Data!P820)), Recruiting_Data!N820 - Recruiting_Data!P820, "")</f>
        <v/>
      </c>
      <c r="E820" s="5" t="str">
        <f>IF(Recruiting_Data!R820="Open", TODAY() - Recruiting_Data!P820, "")</f>
        <v/>
      </c>
      <c r="F820" s="8" t="str">
        <f t="shared" si="1"/>
        <v/>
      </c>
      <c r="G820" s="5" t="str">
        <f>IF(A820="", "", IF(COUNTIF(Recruiting_Data!A:A, A820)&gt;1, TRUE, FALSE))</f>
        <v/>
      </c>
      <c r="H820" s="5" t="str">
        <f>IF(A820="", "", IF(OR(AND(Recruiting_Data!N820&lt;&gt;"", Recruiting_Data!J820&lt;&gt;"", Recruiting_Data!N820&lt;Recruiting_Data!J820), AND(Recruiting_Data!M820&lt;&gt;"", Recruiting_Data!L820&lt;&gt;"", Recruiting_Data!M820&lt;Recruiting_Data!L820), AND(Recruiting_Data!L820&lt;&gt;"", Recruiting_Data!K820&lt;&gt;"", Recruiting_Data!L820&lt;Recruiting_Data!K820)), TRUE, FALSE))</f>
        <v/>
      </c>
    </row>
    <row r="821">
      <c r="A821" s="5" t="str">
        <f>IF(Recruiting_Data!A821="", "", Recruiting_Data!A821)</f>
        <v/>
      </c>
      <c r="B821" s="5" t="str">
        <f>IF(Recruiting_Data!B821="", "", Recruiting_Data!B821)</f>
        <v/>
      </c>
      <c r="C821" s="5" t="str">
        <f>IF(AND(ISNUMBER(Recruiting_Data!N821), ISNUMBER(Recruiting_Data!P821)), Recruiting_Data!N821 - Recruiting_Data!P821, "")</f>
        <v/>
      </c>
      <c r="E821" s="5" t="str">
        <f>IF(Recruiting_Data!R821="Open", TODAY() - Recruiting_Data!P821, "")</f>
        <v/>
      </c>
      <c r="F821" s="8" t="str">
        <f t="shared" si="1"/>
        <v/>
      </c>
      <c r="G821" s="5" t="str">
        <f>IF(A821="", "", IF(COUNTIF(Recruiting_Data!A:A, A821)&gt;1, TRUE, FALSE))</f>
        <v/>
      </c>
      <c r="H821" s="5" t="str">
        <f>IF(A821="", "", IF(OR(AND(Recruiting_Data!N821&lt;&gt;"", Recruiting_Data!J821&lt;&gt;"", Recruiting_Data!N821&lt;Recruiting_Data!J821), AND(Recruiting_Data!M821&lt;&gt;"", Recruiting_Data!L821&lt;&gt;"", Recruiting_Data!M821&lt;Recruiting_Data!L821), AND(Recruiting_Data!L821&lt;&gt;"", Recruiting_Data!K821&lt;&gt;"", Recruiting_Data!L821&lt;Recruiting_Data!K821)), TRUE, FALSE))</f>
        <v/>
      </c>
    </row>
    <row r="822">
      <c r="A822" s="5" t="str">
        <f>IF(Recruiting_Data!A822="", "", Recruiting_Data!A822)</f>
        <v/>
      </c>
      <c r="B822" s="5" t="str">
        <f>IF(Recruiting_Data!B822="", "", Recruiting_Data!B822)</f>
        <v/>
      </c>
      <c r="C822" s="5" t="str">
        <f>IF(AND(ISNUMBER(Recruiting_Data!N822), ISNUMBER(Recruiting_Data!P822)), Recruiting_Data!N822 - Recruiting_Data!P822, "")</f>
        <v/>
      </c>
      <c r="E822" s="5" t="str">
        <f>IF(Recruiting_Data!R822="Open", TODAY() - Recruiting_Data!P822, "")</f>
        <v/>
      </c>
      <c r="F822" s="8" t="str">
        <f t="shared" si="1"/>
        <v/>
      </c>
      <c r="G822" s="5" t="str">
        <f>IF(A822="", "", IF(COUNTIF(Recruiting_Data!A:A, A822)&gt;1, TRUE, FALSE))</f>
        <v/>
      </c>
      <c r="H822" s="5" t="str">
        <f>IF(A822="", "", IF(OR(AND(Recruiting_Data!N822&lt;&gt;"", Recruiting_Data!J822&lt;&gt;"", Recruiting_Data!N822&lt;Recruiting_Data!J822), AND(Recruiting_Data!M822&lt;&gt;"", Recruiting_Data!L822&lt;&gt;"", Recruiting_Data!M822&lt;Recruiting_Data!L822), AND(Recruiting_Data!L822&lt;&gt;"", Recruiting_Data!K822&lt;&gt;"", Recruiting_Data!L822&lt;Recruiting_Data!K822)), TRUE, FALSE))</f>
        <v/>
      </c>
    </row>
    <row r="823">
      <c r="A823" s="5" t="str">
        <f>IF(Recruiting_Data!A823="", "", Recruiting_Data!A823)</f>
        <v/>
      </c>
      <c r="B823" s="5" t="str">
        <f>IF(Recruiting_Data!B823="", "", Recruiting_Data!B823)</f>
        <v/>
      </c>
      <c r="C823" s="5" t="str">
        <f>IF(AND(ISNUMBER(Recruiting_Data!N823), ISNUMBER(Recruiting_Data!P823)), Recruiting_Data!N823 - Recruiting_Data!P823, "")</f>
        <v/>
      </c>
      <c r="E823" s="5" t="str">
        <f>IF(Recruiting_Data!R823="Open", TODAY() - Recruiting_Data!P823, "")</f>
        <v/>
      </c>
      <c r="F823" s="8" t="str">
        <f t="shared" si="1"/>
        <v/>
      </c>
      <c r="G823" s="5" t="str">
        <f>IF(A823="", "", IF(COUNTIF(Recruiting_Data!A:A, A823)&gt;1, TRUE, FALSE))</f>
        <v/>
      </c>
      <c r="H823" s="5" t="str">
        <f>IF(A823="", "", IF(OR(AND(Recruiting_Data!N823&lt;&gt;"", Recruiting_Data!J823&lt;&gt;"", Recruiting_Data!N823&lt;Recruiting_Data!J823), AND(Recruiting_Data!M823&lt;&gt;"", Recruiting_Data!L823&lt;&gt;"", Recruiting_Data!M823&lt;Recruiting_Data!L823), AND(Recruiting_Data!L823&lt;&gt;"", Recruiting_Data!K823&lt;&gt;"", Recruiting_Data!L823&lt;Recruiting_Data!K823)), TRUE, FALSE))</f>
        <v/>
      </c>
    </row>
    <row r="824">
      <c r="A824" s="5" t="str">
        <f>IF(Recruiting_Data!A824="", "", Recruiting_Data!A824)</f>
        <v/>
      </c>
      <c r="B824" s="5" t="str">
        <f>IF(Recruiting_Data!B824="", "", Recruiting_Data!B824)</f>
        <v/>
      </c>
      <c r="C824" s="5" t="str">
        <f>IF(AND(ISNUMBER(Recruiting_Data!N824), ISNUMBER(Recruiting_Data!P824)), Recruiting_Data!N824 - Recruiting_Data!P824, "")</f>
        <v/>
      </c>
      <c r="E824" s="5" t="str">
        <f>IF(Recruiting_Data!R824="Open", TODAY() - Recruiting_Data!P824, "")</f>
        <v/>
      </c>
      <c r="F824" s="8" t="str">
        <f t="shared" si="1"/>
        <v/>
      </c>
      <c r="G824" s="5" t="str">
        <f>IF(A824="", "", IF(COUNTIF(Recruiting_Data!A:A, A824)&gt;1, TRUE, FALSE))</f>
        <v/>
      </c>
      <c r="H824" s="5" t="str">
        <f>IF(A824="", "", IF(OR(AND(Recruiting_Data!N824&lt;&gt;"", Recruiting_Data!J824&lt;&gt;"", Recruiting_Data!N824&lt;Recruiting_Data!J824), AND(Recruiting_Data!M824&lt;&gt;"", Recruiting_Data!L824&lt;&gt;"", Recruiting_Data!M824&lt;Recruiting_Data!L824), AND(Recruiting_Data!L824&lt;&gt;"", Recruiting_Data!K824&lt;&gt;"", Recruiting_Data!L824&lt;Recruiting_Data!K824)), TRUE, FALSE))</f>
        <v/>
      </c>
    </row>
    <row r="825">
      <c r="A825" s="5" t="str">
        <f>IF(Recruiting_Data!A825="", "", Recruiting_Data!A825)</f>
        <v/>
      </c>
      <c r="B825" s="5" t="str">
        <f>IF(Recruiting_Data!B825="", "", Recruiting_Data!B825)</f>
        <v/>
      </c>
      <c r="C825" s="5" t="str">
        <f>IF(AND(ISNUMBER(Recruiting_Data!N825), ISNUMBER(Recruiting_Data!P825)), Recruiting_Data!N825 - Recruiting_Data!P825, "")</f>
        <v/>
      </c>
      <c r="E825" s="5" t="str">
        <f>IF(Recruiting_Data!R825="Open", TODAY() - Recruiting_Data!P825, "")</f>
        <v/>
      </c>
      <c r="F825" s="8" t="str">
        <f t="shared" si="1"/>
        <v/>
      </c>
      <c r="G825" s="5" t="str">
        <f>IF(A825="", "", IF(COUNTIF(Recruiting_Data!A:A, A825)&gt;1, TRUE, FALSE))</f>
        <v/>
      </c>
      <c r="H825" s="5" t="str">
        <f>IF(A825="", "", IF(OR(AND(Recruiting_Data!N825&lt;&gt;"", Recruiting_Data!J825&lt;&gt;"", Recruiting_Data!N825&lt;Recruiting_Data!J825), AND(Recruiting_Data!M825&lt;&gt;"", Recruiting_Data!L825&lt;&gt;"", Recruiting_Data!M825&lt;Recruiting_Data!L825), AND(Recruiting_Data!L825&lt;&gt;"", Recruiting_Data!K825&lt;&gt;"", Recruiting_Data!L825&lt;Recruiting_Data!K825)), TRUE, FALSE))</f>
        <v/>
      </c>
    </row>
    <row r="826">
      <c r="A826" s="5" t="str">
        <f>IF(Recruiting_Data!A826="", "", Recruiting_Data!A826)</f>
        <v/>
      </c>
      <c r="B826" s="5" t="str">
        <f>IF(Recruiting_Data!B826="", "", Recruiting_Data!B826)</f>
        <v/>
      </c>
      <c r="C826" s="5" t="str">
        <f>IF(AND(ISNUMBER(Recruiting_Data!N826), ISNUMBER(Recruiting_Data!P826)), Recruiting_Data!N826 - Recruiting_Data!P826, "")</f>
        <v/>
      </c>
      <c r="E826" s="5" t="str">
        <f>IF(Recruiting_Data!R826="Open", TODAY() - Recruiting_Data!P826, "")</f>
        <v/>
      </c>
      <c r="F826" s="8" t="str">
        <f t="shared" si="1"/>
        <v/>
      </c>
      <c r="G826" s="5" t="str">
        <f>IF(A826="", "", IF(COUNTIF(Recruiting_Data!A:A, A826)&gt;1, TRUE, FALSE))</f>
        <v/>
      </c>
      <c r="H826" s="5" t="str">
        <f>IF(A826="", "", IF(OR(AND(Recruiting_Data!N826&lt;&gt;"", Recruiting_Data!J826&lt;&gt;"", Recruiting_Data!N826&lt;Recruiting_Data!J826), AND(Recruiting_Data!M826&lt;&gt;"", Recruiting_Data!L826&lt;&gt;"", Recruiting_Data!M826&lt;Recruiting_Data!L826), AND(Recruiting_Data!L826&lt;&gt;"", Recruiting_Data!K826&lt;&gt;"", Recruiting_Data!L826&lt;Recruiting_Data!K826)), TRUE, FALSE))</f>
        <v/>
      </c>
    </row>
    <row r="827">
      <c r="A827" s="5" t="str">
        <f>IF(Recruiting_Data!A827="", "", Recruiting_Data!A827)</f>
        <v/>
      </c>
      <c r="B827" s="5" t="str">
        <f>IF(Recruiting_Data!B827="", "", Recruiting_Data!B827)</f>
        <v/>
      </c>
      <c r="C827" s="5" t="str">
        <f>IF(AND(ISNUMBER(Recruiting_Data!N827), ISNUMBER(Recruiting_Data!P827)), Recruiting_Data!N827 - Recruiting_Data!P827, "")</f>
        <v/>
      </c>
      <c r="E827" s="5" t="str">
        <f>IF(Recruiting_Data!R827="Open", TODAY() - Recruiting_Data!P827, "")</f>
        <v/>
      </c>
      <c r="F827" s="8" t="str">
        <f t="shared" si="1"/>
        <v/>
      </c>
      <c r="G827" s="5" t="str">
        <f>IF(A827="", "", IF(COUNTIF(Recruiting_Data!A:A, A827)&gt;1, TRUE, FALSE))</f>
        <v/>
      </c>
      <c r="H827" s="5" t="str">
        <f>IF(A827="", "", IF(OR(AND(Recruiting_Data!N827&lt;&gt;"", Recruiting_Data!J827&lt;&gt;"", Recruiting_Data!N827&lt;Recruiting_Data!J827), AND(Recruiting_Data!M827&lt;&gt;"", Recruiting_Data!L827&lt;&gt;"", Recruiting_Data!M827&lt;Recruiting_Data!L827), AND(Recruiting_Data!L827&lt;&gt;"", Recruiting_Data!K827&lt;&gt;"", Recruiting_Data!L827&lt;Recruiting_Data!K827)), TRUE, FALSE))</f>
        <v/>
      </c>
    </row>
    <row r="828">
      <c r="A828" s="5" t="str">
        <f>IF(Recruiting_Data!A828="", "", Recruiting_Data!A828)</f>
        <v/>
      </c>
      <c r="B828" s="5" t="str">
        <f>IF(Recruiting_Data!B828="", "", Recruiting_Data!B828)</f>
        <v/>
      </c>
      <c r="C828" s="5" t="str">
        <f>IF(AND(ISNUMBER(Recruiting_Data!N828), ISNUMBER(Recruiting_Data!P828)), Recruiting_Data!N828 - Recruiting_Data!P828, "")</f>
        <v/>
      </c>
      <c r="E828" s="5" t="str">
        <f>IF(Recruiting_Data!R828="Open", TODAY() - Recruiting_Data!P828, "")</f>
        <v/>
      </c>
      <c r="F828" s="8" t="str">
        <f t="shared" si="1"/>
        <v/>
      </c>
      <c r="G828" s="5" t="str">
        <f>IF(A828="", "", IF(COUNTIF(Recruiting_Data!A:A, A828)&gt;1, TRUE, FALSE))</f>
        <v/>
      </c>
      <c r="H828" s="5" t="str">
        <f>IF(A828="", "", IF(OR(AND(Recruiting_Data!N828&lt;&gt;"", Recruiting_Data!J828&lt;&gt;"", Recruiting_Data!N828&lt;Recruiting_Data!J828), AND(Recruiting_Data!M828&lt;&gt;"", Recruiting_Data!L828&lt;&gt;"", Recruiting_Data!M828&lt;Recruiting_Data!L828), AND(Recruiting_Data!L828&lt;&gt;"", Recruiting_Data!K828&lt;&gt;"", Recruiting_Data!L828&lt;Recruiting_Data!K828)), TRUE, FALSE))</f>
        <v/>
      </c>
    </row>
    <row r="829">
      <c r="A829" s="5" t="str">
        <f>IF(Recruiting_Data!A829="", "", Recruiting_Data!A829)</f>
        <v/>
      </c>
      <c r="B829" s="5" t="str">
        <f>IF(Recruiting_Data!B829="", "", Recruiting_Data!B829)</f>
        <v/>
      </c>
      <c r="C829" s="5" t="str">
        <f>IF(AND(ISNUMBER(Recruiting_Data!N829), ISNUMBER(Recruiting_Data!P829)), Recruiting_Data!N829 - Recruiting_Data!P829, "")</f>
        <v/>
      </c>
      <c r="E829" s="5" t="str">
        <f>IF(Recruiting_Data!R829="Open", TODAY() - Recruiting_Data!P829, "")</f>
        <v/>
      </c>
      <c r="F829" s="8" t="str">
        <f t="shared" si="1"/>
        <v/>
      </c>
      <c r="G829" s="5" t="str">
        <f>IF(A829="", "", IF(COUNTIF(Recruiting_Data!A:A, A829)&gt;1, TRUE, FALSE))</f>
        <v/>
      </c>
      <c r="H829" s="5" t="str">
        <f>IF(A829="", "", IF(OR(AND(Recruiting_Data!N829&lt;&gt;"", Recruiting_Data!J829&lt;&gt;"", Recruiting_Data!N829&lt;Recruiting_Data!J829), AND(Recruiting_Data!M829&lt;&gt;"", Recruiting_Data!L829&lt;&gt;"", Recruiting_Data!M829&lt;Recruiting_Data!L829), AND(Recruiting_Data!L829&lt;&gt;"", Recruiting_Data!K829&lt;&gt;"", Recruiting_Data!L829&lt;Recruiting_Data!K829)), TRUE, FALSE))</f>
        <v/>
      </c>
    </row>
    <row r="830">
      <c r="A830" s="5" t="str">
        <f>IF(Recruiting_Data!A830="", "", Recruiting_Data!A830)</f>
        <v/>
      </c>
      <c r="B830" s="5" t="str">
        <f>IF(Recruiting_Data!B830="", "", Recruiting_Data!B830)</f>
        <v/>
      </c>
      <c r="C830" s="5" t="str">
        <f>IF(AND(ISNUMBER(Recruiting_Data!N830), ISNUMBER(Recruiting_Data!P830)), Recruiting_Data!N830 - Recruiting_Data!P830, "")</f>
        <v/>
      </c>
      <c r="E830" s="5" t="str">
        <f>IF(Recruiting_Data!R830="Open", TODAY() - Recruiting_Data!P830, "")</f>
        <v/>
      </c>
      <c r="F830" s="8" t="str">
        <f t="shared" si="1"/>
        <v/>
      </c>
      <c r="G830" s="5" t="str">
        <f>IF(A830="", "", IF(COUNTIF(Recruiting_Data!A:A, A830)&gt;1, TRUE, FALSE))</f>
        <v/>
      </c>
      <c r="H830" s="5" t="str">
        <f>IF(A830="", "", IF(OR(AND(Recruiting_Data!N830&lt;&gt;"", Recruiting_Data!J830&lt;&gt;"", Recruiting_Data!N830&lt;Recruiting_Data!J830), AND(Recruiting_Data!M830&lt;&gt;"", Recruiting_Data!L830&lt;&gt;"", Recruiting_Data!M830&lt;Recruiting_Data!L830), AND(Recruiting_Data!L830&lt;&gt;"", Recruiting_Data!K830&lt;&gt;"", Recruiting_Data!L830&lt;Recruiting_Data!K830)), TRUE, FALSE))</f>
        <v/>
      </c>
    </row>
    <row r="831">
      <c r="A831" s="5" t="str">
        <f>IF(Recruiting_Data!A831="", "", Recruiting_Data!A831)</f>
        <v/>
      </c>
      <c r="B831" s="5" t="str">
        <f>IF(Recruiting_Data!B831="", "", Recruiting_Data!B831)</f>
        <v/>
      </c>
      <c r="C831" s="5" t="str">
        <f>IF(AND(ISNUMBER(Recruiting_Data!N831), ISNUMBER(Recruiting_Data!P831)), Recruiting_Data!N831 - Recruiting_Data!P831, "")</f>
        <v/>
      </c>
      <c r="E831" s="5" t="str">
        <f>IF(Recruiting_Data!R831="Open", TODAY() - Recruiting_Data!P831, "")</f>
        <v/>
      </c>
      <c r="F831" s="8" t="str">
        <f t="shared" si="1"/>
        <v/>
      </c>
      <c r="G831" s="5" t="str">
        <f>IF(A831="", "", IF(COUNTIF(Recruiting_Data!A:A, A831)&gt;1, TRUE, FALSE))</f>
        <v/>
      </c>
      <c r="H831" s="5" t="str">
        <f>IF(A831="", "", IF(OR(AND(Recruiting_Data!N831&lt;&gt;"", Recruiting_Data!J831&lt;&gt;"", Recruiting_Data!N831&lt;Recruiting_Data!J831), AND(Recruiting_Data!M831&lt;&gt;"", Recruiting_Data!L831&lt;&gt;"", Recruiting_Data!M831&lt;Recruiting_Data!L831), AND(Recruiting_Data!L831&lt;&gt;"", Recruiting_Data!K831&lt;&gt;"", Recruiting_Data!L831&lt;Recruiting_Data!K831)), TRUE, FALSE))</f>
        <v/>
      </c>
    </row>
    <row r="832">
      <c r="A832" s="5" t="str">
        <f>IF(Recruiting_Data!A832="", "", Recruiting_Data!A832)</f>
        <v/>
      </c>
      <c r="B832" s="5" t="str">
        <f>IF(Recruiting_Data!B832="", "", Recruiting_Data!B832)</f>
        <v/>
      </c>
      <c r="C832" s="5" t="str">
        <f>IF(AND(ISNUMBER(Recruiting_Data!N832), ISNUMBER(Recruiting_Data!P832)), Recruiting_Data!N832 - Recruiting_Data!P832, "")</f>
        <v/>
      </c>
      <c r="E832" s="5" t="str">
        <f>IF(Recruiting_Data!R832="Open", TODAY() - Recruiting_Data!P832, "")</f>
        <v/>
      </c>
      <c r="F832" s="8" t="str">
        <f t="shared" si="1"/>
        <v/>
      </c>
      <c r="G832" s="5" t="str">
        <f>IF(A832="", "", IF(COUNTIF(Recruiting_Data!A:A, A832)&gt;1, TRUE, FALSE))</f>
        <v/>
      </c>
      <c r="H832" s="5" t="str">
        <f>IF(A832="", "", IF(OR(AND(Recruiting_Data!N832&lt;&gt;"", Recruiting_Data!J832&lt;&gt;"", Recruiting_Data!N832&lt;Recruiting_Data!J832), AND(Recruiting_Data!M832&lt;&gt;"", Recruiting_Data!L832&lt;&gt;"", Recruiting_Data!M832&lt;Recruiting_Data!L832), AND(Recruiting_Data!L832&lt;&gt;"", Recruiting_Data!K832&lt;&gt;"", Recruiting_Data!L832&lt;Recruiting_Data!K832)), TRUE, FALSE))</f>
        <v/>
      </c>
    </row>
    <row r="833">
      <c r="A833" s="5" t="str">
        <f>IF(Recruiting_Data!A833="", "", Recruiting_Data!A833)</f>
        <v/>
      </c>
      <c r="B833" s="5" t="str">
        <f>IF(Recruiting_Data!B833="", "", Recruiting_Data!B833)</f>
        <v/>
      </c>
      <c r="C833" s="5" t="str">
        <f>IF(AND(ISNUMBER(Recruiting_Data!N833), ISNUMBER(Recruiting_Data!P833)), Recruiting_Data!N833 - Recruiting_Data!P833, "")</f>
        <v/>
      </c>
      <c r="E833" s="5" t="str">
        <f>IF(Recruiting_Data!R833="Open", TODAY() - Recruiting_Data!P833, "")</f>
        <v/>
      </c>
      <c r="F833" s="8" t="str">
        <f t="shared" si="1"/>
        <v/>
      </c>
      <c r="G833" s="5" t="str">
        <f>IF(A833="", "", IF(COUNTIF(Recruiting_Data!A:A, A833)&gt;1, TRUE, FALSE))</f>
        <v/>
      </c>
      <c r="H833" s="5" t="str">
        <f>IF(A833="", "", IF(OR(AND(Recruiting_Data!N833&lt;&gt;"", Recruiting_Data!J833&lt;&gt;"", Recruiting_Data!N833&lt;Recruiting_Data!J833), AND(Recruiting_Data!M833&lt;&gt;"", Recruiting_Data!L833&lt;&gt;"", Recruiting_Data!M833&lt;Recruiting_Data!L833), AND(Recruiting_Data!L833&lt;&gt;"", Recruiting_Data!K833&lt;&gt;"", Recruiting_Data!L833&lt;Recruiting_Data!K833)), TRUE, FALSE))</f>
        <v/>
      </c>
    </row>
    <row r="834">
      <c r="A834" s="5" t="str">
        <f>IF(Recruiting_Data!A834="", "", Recruiting_Data!A834)</f>
        <v/>
      </c>
      <c r="B834" s="5" t="str">
        <f>IF(Recruiting_Data!B834="", "", Recruiting_Data!B834)</f>
        <v/>
      </c>
      <c r="C834" s="5" t="str">
        <f>IF(AND(ISNUMBER(Recruiting_Data!N834), ISNUMBER(Recruiting_Data!P834)), Recruiting_Data!N834 - Recruiting_Data!P834, "")</f>
        <v/>
      </c>
      <c r="E834" s="5" t="str">
        <f>IF(Recruiting_Data!R834="Open", TODAY() - Recruiting_Data!P834, "")</f>
        <v/>
      </c>
      <c r="F834" s="8" t="str">
        <f t="shared" si="1"/>
        <v/>
      </c>
      <c r="G834" s="5" t="str">
        <f>IF(A834="", "", IF(COUNTIF(Recruiting_Data!A:A, A834)&gt;1, TRUE, FALSE))</f>
        <v/>
      </c>
      <c r="H834" s="5" t="str">
        <f>IF(A834="", "", IF(OR(AND(Recruiting_Data!N834&lt;&gt;"", Recruiting_Data!J834&lt;&gt;"", Recruiting_Data!N834&lt;Recruiting_Data!J834), AND(Recruiting_Data!M834&lt;&gt;"", Recruiting_Data!L834&lt;&gt;"", Recruiting_Data!M834&lt;Recruiting_Data!L834), AND(Recruiting_Data!L834&lt;&gt;"", Recruiting_Data!K834&lt;&gt;"", Recruiting_Data!L834&lt;Recruiting_Data!K834)), TRUE, FALSE))</f>
        <v/>
      </c>
    </row>
    <row r="835">
      <c r="A835" s="5" t="str">
        <f>IF(Recruiting_Data!A835="", "", Recruiting_Data!A835)</f>
        <v/>
      </c>
      <c r="B835" s="5" t="str">
        <f>IF(Recruiting_Data!B835="", "", Recruiting_Data!B835)</f>
        <v/>
      </c>
      <c r="C835" s="5" t="str">
        <f>IF(AND(ISNUMBER(Recruiting_Data!N835), ISNUMBER(Recruiting_Data!P835)), Recruiting_Data!N835 - Recruiting_Data!P835, "")</f>
        <v/>
      </c>
      <c r="E835" s="5" t="str">
        <f>IF(Recruiting_Data!R835="Open", TODAY() - Recruiting_Data!P835, "")</f>
        <v/>
      </c>
      <c r="F835" s="8" t="str">
        <f t="shared" si="1"/>
        <v/>
      </c>
      <c r="G835" s="5" t="str">
        <f>IF(A835="", "", IF(COUNTIF(Recruiting_Data!A:A, A835)&gt;1, TRUE, FALSE))</f>
        <v/>
      </c>
      <c r="H835" s="5" t="str">
        <f>IF(A835="", "", IF(OR(AND(Recruiting_Data!N835&lt;&gt;"", Recruiting_Data!J835&lt;&gt;"", Recruiting_Data!N835&lt;Recruiting_Data!J835), AND(Recruiting_Data!M835&lt;&gt;"", Recruiting_Data!L835&lt;&gt;"", Recruiting_Data!M835&lt;Recruiting_Data!L835), AND(Recruiting_Data!L835&lt;&gt;"", Recruiting_Data!K835&lt;&gt;"", Recruiting_Data!L835&lt;Recruiting_Data!K835)), TRUE, FALSE))</f>
        <v/>
      </c>
    </row>
    <row r="836">
      <c r="A836" s="5" t="str">
        <f>IF(Recruiting_Data!A836="", "", Recruiting_Data!A836)</f>
        <v/>
      </c>
      <c r="B836" s="5" t="str">
        <f>IF(Recruiting_Data!B836="", "", Recruiting_Data!B836)</f>
        <v/>
      </c>
      <c r="C836" s="5" t="str">
        <f>IF(AND(ISNUMBER(Recruiting_Data!N836), ISNUMBER(Recruiting_Data!P836)), Recruiting_Data!N836 - Recruiting_Data!P836, "")</f>
        <v/>
      </c>
      <c r="E836" s="5" t="str">
        <f>IF(Recruiting_Data!R836="Open", TODAY() - Recruiting_Data!P836, "")</f>
        <v/>
      </c>
      <c r="F836" s="8" t="str">
        <f t="shared" si="1"/>
        <v/>
      </c>
      <c r="G836" s="5" t="str">
        <f>IF(A836="", "", IF(COUNTIF(Recruiting_Data!A:A, A836)&gt;1, TRUE, FALSE))</f>
        <v/>
      </c>
      <c r="H836" s="5" t="str">
        <f>IF(A836="", "", IF(OR(AND(Recruiting_Data!N836&lt;&gt;"", Recruiting_Data!J836&lt;&gt;"", Recruiting_Data!N836&lt;Recruiting_Data!J836), AND(Recruiting_Data!M836&lt;&gt;"", Recruiting_Data!L836&lt;&gt;"", Recruiting_Data!M836&lt;Recruiting_Data!L836), AND(Recruiting_Data!L836&lt;&gt;"", Recruiting_Data!K836&lt;&gt;"", Recruiting_Data!L836&lt;Recruiting_Data!K836)), TRUE, FALSE))</f>
        <v/>
      </c>
    </row>
    <row r="837">
      <c r="A837" s="5" t="str">
        <f>IF(Recruiting_Data!A837="", "", Recruiting_Data!A837)</f>
        <v/>
      </c>
      <c r="B837" s="5" t="str">
        <f>IF(Recruiting_Data!B837="", "", Recruiting_Data!B837)</f>
        <v/>
      </c>
      <c r="C837" s="5" t="str">
        <f>IF(AND(ISNUMBER(Recruiting_Data!N837), ISNUMBER(Recruiting_Data!P837)), Recruiting_Data!N837 - Recruiting_Data!P837, "")</f>
        <v/>
      </c>
      <c r="E837" s="5" t="str">
        <f>IF(Recruiting_Data!R837="Open", TODAY() - Recruiting_Data!P837, "")</f>
        <v/>
      </c>
      <c r="F837" s="8" t="str">
        <f t="shared" si="1"/>
        <v/>
      </c>
      <c r="G837" s="5" t="str">
        <f>IF(A837="", "", IF(COUNTIF(Recruiting_Data!A:A, A837)&gt;1, TRUE, FALSE))</f>
        <v/>
      </c>
      <c r="H837" s="5" t="str">
        <f>IF(A837="", "", IF(OR(AND(Recruiting_Data!N837&lt;&gt;"", Recruiting_Data!J837&lt;&gt;"", Recruiting_Data!N837&lt;Recruiting_Data!J837), AND(Recruiting_Data!M837&lt;&gt;"", Recruiting_Data!L837&lt;&gt;"", Recruiting_Data!M837&lt;Recruiting_Data!L837), AND(Recruiting_Data!L837&lt;&gt;"", Recruiting_Data!K837&lt;&gt;"", Recruiting_Data!L837&lt;Recruiting_Data!K837)), TRUE, FALSE))</f>
        <v/>
      </c>
    </row>
    <row r="838">
      <c r="A838" s="5" t="str">
        <f>IF(Recruiting_Data!A838="", "", Recruiting_Data!A838)</f>
        <v/>
      </c>
      <c r="B838" s="5" t="str">
        <f>IF(Recruiting_Data!B838="", "", Recruiting_Data!B838)</f>
        <v/>
      </c>
      <c r="C838" s="5" t="str">
        <f>IF(AND(ISNUMBER(Recruiting_Data!N838), ISNUMBER(Recruiting_Data!P838)), Recruiting_Data!N838 - Recruiting_Data!P838, "")</f>
        <v/>
      </c>
      <c r="E838" s="5" t="str">
        <f>IF(Recruiting_Data!R838="Open", TODAY() - Recruiting_Data!P838, "")</f>
        <v/>
      </c>
      <c r="F838" s="8" t="str">
        <f t="shared" si="1"/>
        <v/>
      </c>
      <c r="G838" s="5" t="str">
        <f>IF(A838="", "", IF(COUNTIF(Recruiting_Data!A:A, A838)&gt;1, TRUE, FALSE))</f>
        <v/>
      </c>
      <c r="H838" s="5" t="str">
        <f>IF(A838="", "", IF(OR(AND(Recruiting_Data!N838&lt;&gt;"", Recruiting_Data!J838&lt;&gt;"", Recruiting_Data!N838&lt;Recruiting_Data!J838), AND(Recruiting_Data!M838&lt;&gt;"", Recruiting_Data!L838&lt;&gt;"", Recruiting_Data!M838&lt;Recruiting_Data!L838), AND(Recruiting_Data!L838&lt;&gt;"", Recruiting_Data!K838&lt;&gt;"", Recruiting_Data!L838&lt;Recruiting_Data!K838)), TRUE, FALSE))</f>
        <v/>
      </c>
    </row>
    <row r="839">
      <c r="A839" s="5" t="str">
        <f>IF(Recruiting_Data!A839="", "", Recruiting_Data!A839)</f>
        <v/>
      </c>
      <c r="B839" s="5" t="str">
        <f>IF(Recruiting_Data!B839="", "", Recruiting_Data!B839)</f>
        <v/>
      </c>
      <c r="C839" s="5" t="str">
        <f>IF(AND(ISNUMBER(Recruiting_Data!N839), ISNUMBER(Recruiting_Data!P839)), Recruiting_Data!N839 - Recruiting_Data!P839, "")</f>
        <v/>
      </c>
      <c r="E839" s="5" t="str">
        <f>IF(Recruiting_Data!R839="Open", TODAY() - Recruiting_Data!P839, "")</f>
        <v/>
      </c>
      <c r="F839" s="8" t="str">
        <f t="shared" si="1"/>
        <v/>
      </c>
      <c r="G839" s="5" t="str">
        <f>IF(A839="", "", IF(COUNTIF(Recruiting_Data!A:A, A839)&gt;1, TRUE, FALSE))</f>
        <v/>
      </c>
      <c r="H839" s="5" t="str">
        <f>IF(A839="", "", IF(OR(AND(Recruiting_Data!N839&lt;&gt;"", Recruiting_Data!J839&lt;&gt;"", Recruiting_Data!N839&lt;Recruiting_Data!J839), AND(Recruiting_Data!M839&lt;&gt;"", Recruiting_Data!L839&lt;&gt;"", Recruiting_Data!M839&lt;Recruiting_Data!L839), AND(Recruiting_Data!L839&lt;&gt;"", Recruiting_Data!K839&lt;&gt;"", Recruiting_Data!L839&lt;Recruiting_Data!K839)), TRUE, FALSE))</f>
        <v/>
      </c>
    </row>
    <row r="840">
      <c r="A840" s="5" t="str">
        <f>IF(Recruiting_Data!A840="", "", Recruiting_Data!A840)</f>
        <v/>
      </c>
      <c r="B840" s="5" t="str">
        <f>IF(Recruiting_Data!B840="", "", Recruiting_Data!B840)</f>
        <v/>
      </c>
      <c r="C840" s="5" t="str">
        <f>IF(AND(ISNUMBER(Recruiting_Data!N840), ISNUMBER(Recruiting_Data!P840)), Recruiting_Data!N840 - Recruiting_Data!P840, "")</f>
        <v/>
      </c>
      <c r="E840" s="5" t="str">
        <f>IF(Recruiting_Data!R840="Open", TODAY() - Recruiting_Data!P840, "")</f>
        <v/>
      </c>
      <c r="F840" s="8" t="str">
        <f t="shared" si="1"/>
        <v/>
      </c>
      <c r="G840" s="5" t="str">
        <f>IF(A840="", "", IF(COUNTIF(Recruiting_Data!A:A, A840)&gt;1, TRUE, FALSE))</f>
        <v/>
      </c>
      <c r="H840" s="5" t="str">
        <f>IF(A840="", "", IF(OR(AND(Recruiting_Data!N840&lt;&gt;"", Recruiting_Data!J840&lt;&gt;"", Recruiting_Data!N840&lt;Recruiting_Data!J840), AND(Recruiting_Data!M840&lt;&gt;"", Recruiting_Data!L840&lt;&gt;"", Recruiting_Data!M840&lt;Recruiting_Data!L840), AND(Recruiting_Data!L840&lt;&gt;"", Recruiting_Data!K840&lt;&gt;"", Recruiting_Data!L840&lt;Recruiting_Data!K840)), TRUE, FALSE))</f>
        <v/>
      </c>
    </row>
    <row r="841">
      <c r="A841" s="5" t="str">
        <f>IF(Recruiting_Data!A841="", "", Recruiting_Data!A841)</f>
        <v/>
      </c>
      <c r="B841" s="5" t="str">
        <f>IF(Recruiting_Data!B841="", "", Recruiting_Data!B841)</f>
        <v/>
      </c>
      <c r="C841" s="5" t="str">
        <f>IF(AND(ISNUMBER(Recruiting_Data!N841), ISNUMBER(Recruiting_Data!P841)), Recruiting_Data!N841 - Recruiting_Data!P841, "")</f>
        <v/>
      </c>
      <c r="E841" s="5" t="str">
        <f>IF(Recruiting_Data!R841="Open", TODAY() - Recruiting_Data!P841, "")</f>
        <v/>
      </c>
      <c r="F841" s="8" t="str">
        <f t="shared" si="1"/>
        <v/>
      </c>
      <c r="G841" s="5" t="str">
        <f>IF(A841="", "", IF(COUNTIF(Recruiting_Data!A:A, A841)&gt;1, TRUE, FALSE))</f>
        <v/>
      </c>
      <c r="H841" s="5" t="str">
        <f>IF(A841="", "", IF(OR(AND(Recruiting_Data!N841&lt;&gt;"", Recruiting_Data!J841&lt;&gt;"", Recruiting_Data!N841&lt;Recruiting_Data!J841), AND(Recruiting_Data!M841&lt;&gt;"", Recruiting_Data!L841&lt;&gt;"", Recruiting_Data!M841&lt;Recruiting_Data!L841), AND(Recruiting_Data!L841&lt;&gt;"", Recruiting_Data!K841&lt;&gt;"", Recruiting_Data!L841&lt;Recruiting_Data!K841)), TRUE, FALSE))</f>
        <v/>
      </c>
    </row>
    <row r="842">
      <c r="A842" s="5" t="str">
        <f>IF(Recruiting_Data!A842="", "", Recruiting_Data!A842)</f>
        <v/>
      </c>
      <c r="B842" s="5" t="str">
        <f>IF(Recruiting_Data!B842="", "", Recruiting_Data!B842)</f>
        <v/>
      </c>
      <c r="C842" s="5" t="str">
        <f>IF(AND(ISNUMBER(Recruiting_Data!N842), ISNUMBER(Recruiting_Data!P842)), Recruiting_Data!N842 - Recruiting_Data!P842, "")</f>
        <v/>
      </c>
      <c r="E842" s="5" t="str">
        <f>IF(Recruiting_Data!R842="Open", TODAY() - Recruiting_Data!P842, "")</f>
        <v/>
      </c>
      <c r="F842" s="8" t="str">
        <f t="shared" si="1"/>
        <v/>
      </c>
      <c r="G842" s="5" t="str">
        <f>IF(A842="", "", IF(COUNTIF(Recruiting_Data!A:A, A842)&gt;1, TRUE, FALSE))</f>
        <v/>
      </c>
      <c r="H842" s="5" t="str">
        <f>IF(A842="", "", IF(OR(AND(Recruiting_Data!N842&lt;&gt;"", Recruiting_Data!J842&lt;&gt;"", Recruiting_Data!N842&lt;Recruiting_Data!J842), AND(Recruiting_Data!M842&lt;&gt;"", Recruiting_Data!L842&lt;&gt;"", Recruiting_Data!M842&lt;Recruiting_Data!L842), AND(Recruiting_Data!L842&lt;&gt;"", Recruiting_Data!K842&lt;&gt;"", Recruiting_Data!L842&lt;Recruiting_Data!K842)), TRUE, FALSE))</f>
        <v/>
      </c>
    </row>
    <row r="843">
      <c r="A843" s="5" t="str">
        <f>IF(Recruiting_Data!A843="", "", Recruiting_Data!A843)</f>
        <v/>
      </c>
      <c r="B843" s="5" t="str">
        <f>IF(Recruiting_Data!B843="", "", Recruiting_Data!B843)</f>
        <v/>
      </c>
      <c r="C843" s="5" t="str">
        <f>IF(AND(ISNUMBER(Recruiting_Data!N843), ISNUMBER(Recruiting_Data!P843)), Recruiting_Data!N843 - Recruiting_Data!P843, "")</f>
        <v/>
      </c>
      <c r="E843" s="5" t="str">
        <f>IF(Recruiting_Data!R843="Open", TODAY() - Recruiting_Data!P843, "")</f>
        <v/>
      </c>
      <c r="F843" s="8" t="str">
        <f t="shared" si="1"/>
        <v/>
      </c>
      <c r="G843" s="5" t="str">
        <f>IF(A843="", "", IF(COUNTIF(Recruiting_Data!A:A, A843)&gt;1, TRUE, FALSE))</f>
        <v/>
      </c>
      <c r="H843" s="5" t="str">
        <f>IF(A843="", "", IF(OR(AND(Recruiting_Data!N843&lt;&gt;"", Recruiting_Data!J843&lt;&gt;"", Recruiting_Data!N843&lt;Recruiting_Data!J843), AND(Recruiting_Data!M843&lt;&gt;"", Recruiting_Data!L843&lt;&gt;"", Recruiting_Data!M843&lt;Recruiting_Data!L843), AND(Recruiting_Data!L843&lt;&gt;"", Recruiting_Data!K843&lt;&gt;"", Recruiting_Data!L843&lt;Recruiting_Data!K843)), TRUE, FALSE))</f>
        <v/>
      </c>
    </row>
    <row r="844">
      <c r="A844" s="5" t="str">
        <f>IF(Recruiting_Data!A844="", "", Recruiting_Data!A844)</f>
        <v/>
      </c>
      <c r="B844" s="5" t="str">
        <f>IF(Recruiting_Data!B844="", "", Recruiting_Data!B844)</f>
        <v/>
      </c>
      <c r="C844" s="5" t="str">
        <f>IF(AND(ISNUMBER(Recruiting_Data!N844), ISNUMBER(Recruiting_Data!P844)), Recruiting_Data!N844 - Recruiting_Data!P844, "")</f>
        <v/>
      </c>
      <c r="E844" s="5" t="str">
        <f>IF(Recruiting_Data!R844="Open", TODAY() - Recruiting_Data!P844, "")</f>
        <v/>
      </c>
      <c r="F844" s="8" t="str">
        <f t="shared" si="1"/>
        <v/>
      </c>
      <c r="G844" s="5" t="str">
        <f>IF(A844="", "", IF(COUNTIF(Recruiting_Data!A:A, A844)&gt;1, TRUE, FALSE))</f>
        <v/>
      </c>
      <c r="H844" s="5" t="str">
        <f>IF(A844="", "", IF(OR(AND(Recruiting_Data!N844&lt;&gt;"", Recruiting_Data!J844&lt;&gt;"", Recruiting_Data!N844&lt;Recruiting_Data!J844), AND(Recruiting_Data!M844&lt;&gt;"", Recruiting_Data!L844&lt;&gt;"", Recruiting_Data!M844&lt;Recruiting_Data!L844), AND(Recruiting_Data!L844&lt;&gt;"", Recruiting_Data!K844&lt;&gt;"", Recruiting_Data!L844&lt;Recruiting_Data!K844)), TRUE, FALSE))</f>
        <v/>
      </c>
    </row>
    <row r="845">
      <c r="A845" s="5" t="str">
        <f>IF(Recruiting_Data!A845="", "", Recruiting_Data!A845)</f>
        <v/>
      </c>
      <c r="B845" s="5" t="str">
        <f>IF(Recruiting_Data!B845="", "", Recruiting_Data!B845)</f>
        <v/>
      </c>
      <c r="C845" s="5" t="str">
        <f>IF(AND(ISNUMBER(Recruiting_Data!N845), ISNUMBER(Recruiting_Data!P845)), Recruiting_Data!N845 - Recruiting_Data!P845, "")</f>
        <v/>
      </c>
      <c r="E845" s="5" t="str">
        <f>IF(Recruiting_Data!R845="Open", TODAY() - Recruiting_Data!P845, "")</f>
        <v/>
      </c>
      <c r="F845" s="8" t="str">
        <f t="shared" si="1"/>
        <v/>
      </c>
      <c r="G845" s="5" t="str">
        <f>IF(A845="", "", IF(COUNTIF(Recruiting_Data!A:A, A845)&gt;1, TRUE, FALSE))</f>
        <v/>
      </c>
      <c r="H845" s="5" t="str">
        <f>IF(A845="", "", IF(OR(AND(Recruiting_Data!N845&lt;&gt;"", Recruiting_Data!J845&lt;&gt;"", Recruiting_Data!N845&lt;Recruiting_Data!J845), AND(Recruiting_Data!M845&lt;&gt;"", Recruiting_Data!L845&lt;&gt;"", Recruiting_Data!M845&lt;Recruiting_Data!L845), AND(Recruiting_Data!L845&lt;&gt;"", Recruiting_Data!K845&lt;&gt;"", Recruiting_Data!L845&lt;Recruiting_Data!K845)), TRUE, FALSE))</f>
        <v/>
      </c>
    </row>
    <row r="846">
      <c r="A846" s="5" t="str">
        <f>IF(Recruiting_Data!A846="", "", Recruiting_Data!A846)</f>
        <v/>
      </c>
      <c r="B846" s="5" t="str">
        <f>IF(Recruiting_Data!B846="", "", Recruiting_Data!B846)</f>
        <v/>
      </c>
      <c r="C846" s="5" t="str">
        <f>IF(AND(ISNUMBER(Recruiting_Data!N846), ISNUMBER(Recruiting_Data!P846)), Recruiting_Data!N846 - Recruiting_Data!P846, "")</f>
        <v/>
      </c>
      <c r="E846" s="5" t="str">
        <f>IF(Recruiting_Data!R846="Open", TODAY() - Recruiting_Data!P846, "")</f>
        <v/>
      </c>
      <c r="F846" s="8" t="str">
        <f t="shared" si="1"/>
        <v/>
      </c>
      <c r="G846" s="5" t="str">
        <f>IF(A846="", "", IF(COUNTIF(Recruiting_Data!A:A, A846)&gt;1, TRUE, FALSE))</f>
        <v/>
      </c>
      <c r="H846" s="5" t="str">
        <f>IF(A846="", "", IF(OR(AND(Recruiting_Data!N846&lt;&gt;"", Recruiting_Data!J846&lt;&gt;"", Recruiting_Data!N846&lt;Recruiting_Data!J846), AND(Recruiting_Data!M846&lt;&gt;"", Recruiting_Data!L846&lt;&gt;"", Recruiting_Data!M846&lt;Recruiting_Data!L846), AND(Recruiting_Data!L846&lt;&gt;"", Recruiting_Data!K846&lt;&gt;"", Recruiting_Data!L846&lt;Recruiting_Data!K846)), TRUE, FALSE))</f>
        <v/>
      </c>
    </row>
    <row r="847">
      <c r="A847" s="5" t="str">
        <f>IF(Recruiting_Data!A847="", "", Recruiting_Data!A847)</f>
        <v/>
      </c>
      <c r="B847" s="5" t="str">
        <f>IF(Recruiting_Data!B847="", "", Recruiting_Data!B847)</f>
        <v/>
      </c>
      <c r="C847" s="5" t="str">
        <f>IF(AND(ISNUMBER(Recruiting_Data!N847), ISNUMBER(Recruiting_Data!P847)), Recruiting_Data!N847 - Recruiting_Data!P847, "")</f>
        <v/>
      </c>
      <c r="E847" s="5" t="str">
        <f>IF(Recruiting_Data!R847="Open", TODAY() - Recruiting_Data!P847, "")</f>
        <v/>
      </c>
      <c r="F847" s="8" t="str">
        <f t="shared" si="1"/>
        <v/>
      </c>
      <c r="G847" s="5" t="str">
        <f>IF(A847="", "", IF(COUNTIF(Recruiting_Data!A:A, A847)&gt;1, TRUE, FALSE))</f>
        <v/>
      </c>
      <c r="H847" s="5" t="str">
        <f>IF(A847="", "", IF(OR(AND(Recruiting_Data!N847&lt;&gt;"", Recruiting_Data!J847&lt;&gt;"", Recruiting_Data!N847&lt;Recruiting_Data!J847), AND(Recruiting_Data!M847&lt;&gt;"", Recruiting_Data!L847&lt;&gt;"", Recruiting_Data!M847&lt;Recruiting_Data!L847), AND(Recruiting_Data!L847&lt;&gt;"", Recruiting_Data!K847&lt;&gt;"", Recruiting_Data!L847&lt;Recruiting_Data!K847)), TRUE, FALSE))</f>
        <v/>
      </c>
    </row>
    <row r="848">
      <c r="A848" s="5" t="str">
        <f>IF(Recruiting_Data!A848="", "", Recruiting_Data!A848)</f>
        <v/>
      </c>
      <c r="B848" s="5" t="str">
        <f>IF(Recruiting_Data!B848="", "", Recruiting_Data!B848)</f>
        <v/>
      </c>
      <c r="C848" s="5" t="str">
        <f>IF(AND(ISNUMBER(Recruiting_Data!N848), ISNUMBER(Recruiting_Data!P848)), Recruiting_Data!N848 - Recruiting_Data!P848, "")</f>
        <v/>
      </c>
      <c r="E848" s="5" t="str">
        <f>IF(Recruiting_Data!R848="Open", TODAY() - Recruiting_Data!P848, "")</f>
        <v/>
      </c>
      <c r="F848" s="8" t="str">
        <f t="shared" si="1"/>
        <v/>
      </c>
      <c r="G848" s="5" t="str">
        <f>IF(A848="", "", IF(COUNTIF(Recruiting_Data!A:A, A848)&gt;1, TRUE, FALSE))</f>
        <v/>
      </c>
      <c r="H848" s="5" t="str">
        <f>IF(A848="", "", IF(OR(AND(Recruiting_Data!N848&lt;&gt;"", Recruiting_Data!J848&lt;&gt;"", Recruiting_Data!N848&lt;Recruiting_Data!J848), AND(Recruiting_Data!M848&lt;&gt;"", Recruiting_Data!L848&lt;&gt;"", Recruiting_Data!M848&lt;Recruiting_Data!L848), AND(Recruiting_Data!L848&lt;&gt;"", Recruiting_Data!K848&lt;&gt;"", Recruiting_Data!L848&lt;Recruiting_Data!K848)), TRUE, FALSE))</f>
        <v/>
      </c>
    </row>
    <row r="849">
      <c r="A849" s="5" t="str">
        <f>IF(Recruiting_Data!A849="", "", Recruiting_Data!A849)</f>
        <v/>
      </c>
      <c r="B849" s="5" t="str">
        <f>IF(Recruiting_Data!B849="", "", Recruiting_Data!B849)</f>
        <v/>
      </c>
      <c r="C849" s="5" t="str">
        <f>IF(AND(ISNUMBER(Recruiting_Data!N849), ISNUMBER(Recruiting_Data!P849)), Recruiting_Data!N849 - Recruiting_Data!P849, "")</f>
        <v/>
      </c>
      <c r="E849" s="5" t="str">
        <f>IF(Recruiting_Data!R849="Open", TODAY() - Recruiting_Data!P849, "")</f>
        <v/>
      </c>
      <c r="F849" s="8" t="str">
        <f t="shared" si="1"/>
        <v/>
      </c>
      <c r="G849" s="5" t="str">
        <f>IF(A849="", "", IF(COUNTIF(Recruiting_Data!A:A, A849)&gt;1, TRUE, FALSE))</f>
        <v/>
      </c>
      <c r="H849" s="5" t="str">
        <f>IF(A849="", "", IF(OR(AND(Recruiting_Data!N849&lt;&gt;"", Recruiting_Data!J849&lt;&gt;"", Recruiting_Data!N849&lt;Recruiting_Data!J849), AND(Recruiting_Data!M849&lt;&gt;"", Recruiting_Data!L849&lt;&gt;"", Recruiting_Data!M849&lt;Recruiting_Data!L849), AND(Recruiting_Data!L849&lt;&gt;"", Recruiting_Data!K849&lt;&gt;"", Recruiting_Data!L849&lt;Recruiting_Data!K849)), TRUE, FALSE))</f>
        <v/>
      </c>
    </row>
    <row r="850">
      <c r="A850" s="5" t="str">
        <f>IF(Recruiting_Data!A850="", "", Recruiting_Data!A850)</f>
        <v/>
      </c>
      <c r="B850" s="5" t="str">
        <f>IF(Recruiting_Data!B850="", "", Recruiting_Data!B850)</f>
        <v/>
      </c>
      <c r="C850" s="5" t="str">
        <f>IF(AND(ISNUMBER(Recruiting_Data!N850), ISNUMBER(Recruiting_Data!P850)), Recruiting_Data!N850 - Recruiting_Data!P850, "")</f>
        <v/>
      </c>
      <c r="E850" s="5" t="str">
        <f>IF(Recruiting_Data!R850="Open", TODAY() - Recruiting_Data!P850, "")</f>
        <v/>
      </c>
      <c r="F850" s="8" t="str">
        <f t="shared" si="1"/>
        <v/>
      </c>
      <c r="G850" s="5" t="str">
        <f>IF(A850="", "", IF(COUNTIF(Recruiting_Data!A:A, A850)&gt;1, TRUE, FALSE))</f>
        <v/>
      </c>
      <c r="H850" s="5" t="str">
        <f>IF(A850="", "", IF(OR(AND(Recruiting_Data!N850&lt;&gt;"", Recruiting_Data!J850&lt;&gt;"", Recruiting_Data!N850&lt;Recruiting_Data!J850), AND(Recruiting_Data!M850&lt;&gt;"", Recruiting_Data!L850&lt;&gt;"", Recruiting_Data!M850&lt;Recruiting_Data!L850), AND(Recruiting_Data!L850&lt;&gt;"", Recruiting_Data!K850&lt;&gt;"", Recruiting_Data!L850&lt;Recruiting_Data!K850)), TRUE, FALSE))</f>
        <v/>
      </c>
    </row>
    <row r="851">
      <c r="A851" s="5" t="str">
        <f>IF(Recruiting_Data!A851="", "", Recruiting_Data!A851)</f>
        <v/>
      </c>
      <c r="B851" s="5" t="str">
        <f>IF(Recruiting_Data!B851="", "", Recruiting_Data!B851)</f>
        <v/>
      </c>
      <c r="C851" s="5" t="str">
        <f>IF(AND(ISNUMBER(Recruiting_Data!N851), ISNUMBER(Recruiting_Data!P851)), Recruiting_Data!N851 - Recruiting_Data!P851, "")</f>
        <v/>
      </c>
      <c r="E851" s="5" t="str">
        <f>IF(Recruiting_Data!R851="Open", TODAY() - Recruiting_Data!P851, "")</f>
        <v/>
      </c>
      <c r="F851" s="8" t="str">
        <f t="shared" si="1"/>
        <v/>
      </c>
      <c r="G851" s="5" t="str">
        <f>IF(A851="", "", IF(COUNTIF(Recruiting_Data!A:A, A851)&gt;1, TRUE, FALSE))</f>
        <v/>
      </c>
      <c r="H851" s="5" t="str">
        <f>IF(A851="", "", IF(OR(AND(Recruiting_Data!N851&lt;&gt;"", Recruiting_Data!J851&lt;&gt;"", Recruiting_Data!N851&lt;Recruiting_Data!J851), AND(Recruiting_Data!M851&lt;&gt;"", Recruiting_Data!L851&lt;&gt;"", Recruiting_Data!M851&lt;Recruiting_Data!L851), AND(Recruiting_Data!L851&lt;&gt;"", Recruiting_Data!K851&lt;&gt;"", Recruiting_Data!L851&lt;Recruiting_Data!K851)), TRUE, FALSE))</f>
        <v/>
      </c>
    </row>
    <row r="852">
      <c r="A852" s="5" t="str">
        <f>IF(Recruiting_Data!A852="", "", Recruiting_Data!A852)</f>
        <v/>
      </c>
      <c r="B852" s="5" t="str">
        <f>IF(Recruiting_Data!B852="", "", Recruiting_Data!B852)</f>
        <v/>
      </c>
      <c r="C852" s="5" t="str">
        <f>IF(AND(ISNUMBER(Recruiting_Data!N852), ISNUMBER(Recruiting_Data!P852)), Recruiting_Data!N852 - Recruiting_Data!P852, "")</f>
        <v/>
      </c>
      <c r="E852" s="5" t="str">
        <f>IF(Recruiting_Data!R852="Open", TODAY() - Recruiting_Data!P852, "")</f>
        <v/>
      </c>
      <c r="F852" s="8" t="str">
        <f t="shared" si="1"/>
        <v/>
      </c>
      <c r="G852" s="5" t="str">
        <f>IF(A852="", "", IF(COUNTIF(Recruiting_Data!A:A, A852)&gt;1, TRUE, FALSE))</f>
        <v/>
      </c>
      <c r="H852" s="5" t="str">
        <f>IF(A852="", "", IF(OR(AND(Recruiting_Data!N852&lt;&gt;"", Recruiting_Data!J852&lt;&gt;"", Recruiting_Data!N852&lt;Recruiting_Data!J852), AND(Recruiting_Data!M852&lt;&gt;"", Recruiting_Data!L852&lt;&gt;"", Recruiting_Data!M852&lt;Recruiting_Data!L852), AND(Recruiting_Data!L852&lt;&gt;"", Recruiting_Data!K852&lt;&gt;"", Recruiting_Data!L852&lt;Recruiting_Data!K852)), TRUE, FALSE))</f>
        <v/>
      </c>
    </row>
    <row r="853">
      <c r="A853" s="5" t="str">
        <f>IF(Recruiting_Data!A853="", "", Recruiting_Data!A853)</f>
        <v/>
      </c>
      <c r="B853" s="5" t="str">
        <f>IF(Recruiting_Data!B853="", "", Recruiting_Data!B853)</f>
        <v/>
      </c>
      <c r="C853" s="5" t="str">
        <f>IF(AND(ISNUMBER(Recruiting_Data!N853), ISNUMBER(Recruiting_Data!P853)), Recruiting_Data!N853 - Recruiting_Data!P853, "")</f>
        <v/>
      </c>
      <c r="E853" s="5" t="str">
        <f>IF(Recruiting_Data!R853="Open", TODAY() - Recruiting_Data!P853, "")</f>
        <v/>
      </c>
      <c r="F853" s="8" t="str">
        <f t="shared" si="1"/>
        <v/>
      </c>
      <c r="G853" s="5" t="str">
        <f>IF(A853="", "", IF(COUNTIF(Recruiting_Data!A:A, A853)&gt;1, TRUE, FALSE))</f>
        <v/>
      </c>
      <c r="H853" s="5" t="str">
        <f>IF(A853="", "", IF(OR(AND(Recruiting_Data!N853&lt;&gt;"", Recruiting_Data!J853&lt;&gt;"", Recruiting_Data!N853&lt;Recruiting_Data!J853), AND(Recruiting_Data!M853&lt;&gt;"", Recruiting_Data!L853&lt;&gt;"", Recruiting_Data!M853&lt;Recruiting_Data!L853), AND(Recruiting_Data!L853&lt;&gt;"", Recruiting_Data!K853&lt;&gt;"", Recruiting_Data!L853&lt;Recruiting_Data!K853)), TRUE, FALSE))</f>
        <v/>
      </c>
    </row>
    <row r="854">
      <c r="A854" s="5" t="str">
        <f>IF(Recruiting_Data!A854="", "", Recruiting_Data!A854)</f>
        <v/>
      </c>
      <c r="B854" s="5" t="str">
        <f>IF(Recruiting_Data!B854="", "", Recruiting_Data!B854)</f>
        <v/>
      </c>
      <c r="C854" s="5" t="str">
        <f>IF(AND(ISNUMBER(Recruiting_Data!N854), ISNUMBER(Recruiting_Data!P854)), Recruiting_Data!N854 - Recruiting_Data!P854, "")</f>
        <v/>
      </c>
      <c r="E854" s="5" t="str">
        <f>IF(Recruiting_Data!R854="Open", TODAY() - Recruiting_Data!P854, "")</f>
        <v/>
      </c>
      <c r="F854" s="8" t="str">
        <f t="shared" si="1"/>
        <v/>
      </c>
      <c r="G854" s="5" t="str">
        <f>IF(A854="", "", IF(COUNTIF(Recruiting_Data!A:A, A854)&gt;1, TRUE, FALSE))</f>
        <v/>
      </c>
      <c r="H854" s="5" t="str">
        <f>IF(A854="", "", IF(OR(AND(Recruiting_Data!N854&lt;&gt;"", Recruiting_Data!J854&lt;&gt;"", Recruiting_Data!N854&lt;Recruiting_Data!J854), AND(Recruiting_Data!M854&lt;&gt;"", Recruiting_Data!L854&lt;&gt;"", Recruiting_Data!M854&lt;Recruiting_Data!L854), AND(Recruiting_Data!L854&lt;&gt;"", Recruiting_Data!K854&lt;&gt;"", Recruiting_Data!L854&lt;Recruiting_Data!K854)), TRUE, FALSE))</f>
        <v/>
      </c>
    </row>
    <row r="855">
      <c r="A855" s="5" t="str">
        <f>IF(Recruiting_Data!A855="", "", Recruiting_Data!A855)</f>
        <v/>
      </c>
      <c r="B855" s="5" t="str">
        <f>IF(Recruiting_Data!B855="", "", Recruiting_Data!B855)</f>
        <v/>
      </c>
      <c r="C855" s="5" t="str">
        <f>IF(AND(ISNUMBER(Recruiting_Data!N855), ISNUMBER(Recruiting_Data!P855)), Recruiting_Data!N855 - Recruiting_Data!P855, "")</f>
        <v/>
      </c>
      <c r="E855" s="5" t="str">
        <f>IF(Recruiting_Data!R855="Open", TODAY() - Recruiting_Data!P855, "")</f>
        <v/>
      </c>
      <c r="F855" s="8" t="str">
        <f t="shared" si="1"/>
        <v/>
      </c>
      <c r="G855" s="5" t="str">
        <f>IF(A855="", "", IF(COUNTIF(Recruiting_Data!A:A, A855)&gt;1, TRUE, FALSE))</f>
        <v/>
      </c>
      <c r="H855" s="5" t="str">
        <f>IF(A855="", "", IF(OR(AND(Recruiting_Data!N855&lt;&gt;"", Recruiting_Data!J855&lt;&gt;"", Recruiting_Data!N855&lt;Recruiting_Data!J855), AND(Recruiting_Data!M855&lt;&gt;"", Recruiting_Data!L855&lt;&gt;"", Recruiting_Data!M855&lt;Recruiting_Data!L855), AND(Recruiting_Data!L855&lt;&gt;"", Recruiting_Data!K855&lt;&gt;"", Recruiting_Data!L855&lt;Recruiting_Data!K855)), TRUE, FALSE))</f>
        <v/>
      </c>
    </row>
    <row r="856">
      <c r="A856" s="5" t="str">
        <f>IF(Recruiting_Data!A856="", "", Recruiting_Data!A856)</f>
        <v/>
      </c>
      <c r="B856" s="5" t="str">
        <f>IF(Recruiting_Data!B856="", "", Recruiting_Data!B856)</f>
        <v/>
      </c>
      <c r="C856" s="5" t="str">
        <f>IF(AND(ISNUMBER(Recruiting_Data!N856), ISNUMBER(Recruiting_Data!P856)), Recruiting_Data!N856 - Recruiting_Data!P856, "")</f>
        <v/>
      </c>
      <c r="E856" s="5" t="str">
        <f>IF(Recruiting_Data!R856="Open", TODAY() - Recruiting_Data!P856, "")</f>
        <v/>
      </c>
      <c r="F856" s="8" t="str">
        <f t="shared" si="1"/>
        <v/>
      </c>
      <c r="G856" s="5" t="str">
        <f>IF(A856="", "", IF(COUNTIF(Recruiting_Data!A:A, A856)&gt;1, TRUE, FALSE))</f>
        <v/>
      </c>
      <c r="H856" s="5" t="str">
        <f>IF(A856="", "", IF(OR(AND(Recruiting_Data!N856&lt;&gt;"", Recruiting_Data!J856&lt;&gt;"", Recruiting_Data!N856&lt;Recruiting_Data!J856), AND(Recruiting_Data!M856&lt;&gt;"", Recruiting_Data!L856&lt;&gt;"", Recruiting_Data!M856&lt;Recruiting_Data!L856), AND(Recruiting_Data!L856&lt;&gt;"", Recruiting_Data!K856&lt;&gt;"", Recruiting_Data!L856&lt;Recruiting_Data!K856)), TRUE, FALSE))</f>
        <v/>
      </c>
    </row>
    <row r="857">
      <c r="A857" s="5" t="str">
        <f>IF(Recruiting_Data!A857="", "", Recruiting_Data!A857)</f>
        <v/>
      </c>
      <c r="B857" s="5" t="str">
        <f>IF(Recruiting_Data!B857="", "", Recruiting_Data!B857)</f>
        <v/>
      </c>
      <c r="C857" s="5" t="str">
        <f>IF(AND(ISNUMBER(Recruiting_Data!N857), ISNUMBER(Recruiting_Data!P857)), Recruiting_Data!N857 - Recruiting_Data!P857, "")</f>
        <v/>
      </c>
      <c r="E857" s="5" t="str">
        <f>IF(Recruiting_Data!R857="Open", TODAY() - Recruiting_Data!P857, "")</f>
        <v/>
      </c>
      <c r="F857" s="8" t="str">
        <f t="shared" si="1"/>
        <v/>
      </c>
      <c r="G857" s="5" t="str">
        <f>IF(A857="", "", IF(COUNTIF(Recruiting_Data!A:A, A857)&gt;1, TRUE, FALSE))</f>
        <v/>
      </c>
      <c r="H857" s="5" t="str">
        <f>IF(A857="", "", IF(OR(AND(Recruiting_Data!N857&lt;&gt;"", Recruiting_Data!J857&lt;&gt;"", Recruiting_Data!N857&lt;Recruiting_Data!J857), AND(Recruiting_Data!M857&lt;&gt;"", Recruiting_Data!L857&lt;&gt;"", Recruiting_Data!M857&lt;Recruiting_Data!L857), AND(Recruiting_Data!L857&lt;&gt;"", Recruiting_Data!K857&lt;&gt;"", Recruiting_Data!L857&lt;Recruiting_Data!K857)), TRUE, FALSE))</f>
        <v/>
      </c>
    </row>
    <row r="858">
      <c r="A858" s="5" t="str">
        <f>IF(Recruiting_Data!A858="", "", Recruiting_Data!A858)</f>
        <v/>
      </c>
      <c r="B858" s="5" t="str">
        <f>IF(Recruiting_Data!B858="", "", Recruiting_Data!B858)</f>
        <v/>
      </c>
      <c r="C858" s="5" t="str">
        <f>IF(AND(ISNUMBER(Recruiting_Data!N858), ISNUMBER(Recruiting_Data!P858)), Recruiting_Data!N858 - Recruiting_Data!P858, "")</f>
        <v/>
      </c>
      <c r="E858" s="5" t="str">
        <f>IF(Recruiting_Data!R858="Open", TODAY() - Recruiting_Data!P858, "")</f>
        <v/>
      </c>
      <c r="F858" s="8" t="str">
        <f t="shared" si="1"/>
        <v/>
      </c>
      <c r="G858" s="5" t="str">
        <f>IF(A858="", "", IF(COUNTIF(Recruiting_Data!A:A, A858)&gt;1, TRUE, FALSE))</f>
        <v/>
      </c>
      <c r="H858" s="5" t="str">
        <f>IF(A858="", "", IF(OR(AND(Recruiting_Data!N858&lt;&gt;"", Recruiting_Data!J858&lt;&gt;"", Recruiting_Data!N858&lt;Recruiting_Data!J858), AND(Recruiting_Data!M858&lt;&gt;"", Recruiting_Data!L858&lt;&gt;"", Recruiting_Data!M858&lt;Recruiting_Data!L858), AND(Recruiting_Data!L858&lt;&gt;"", Recruiting_Data!K858&lt;&gt;"", Recruiting_Data!L858&lt;Recruiting_Data!K858)), TRUE, FALSE))</f>
        <v/>
      </c>
    </row>
    <row r="859">
      <c r="A859" s="5" t="str">
        <f>IF(Recruiting_Data!A859="", "", Recruiting_Data!A859)</f>
        <v/>
      </c>
      <c r="B859" s="5" t="str">
        <f>IF(Recruiting_Data!B859="", "", Recruiting_Data!B859)</f>
        <v/>
      </c>
      <c r="C859" s="5" t="str">
        <f>IF(AND(ISNUMBER(Recruiting_Data!N859), ISNUMBER(Recruiting_Data!P859)), Recruiting_Data!N859 - Recruiting_Data!P859, "")</f>
        <v/>
      </c>
      <c r="E859" s="5" t="str">
        <f>IF(Recruiting_Data!R859="Open", TODAY() - Recruiting_Data!P859, "")</f>
        <v/>
      </c>
      <c r="F859" s="8" t="str">
        <f t="shared" si="1"/>
        <v/>
      </c>
      <c r="G859" s="5" t="str">
        <f>IF(A859="", "", IF(COUNTIF(Recruiting_Data!A:A, A859)&gt;1, TRUE, FALSE))</f>
        <v/>
      </c>
      <c r="H859" s="5" t="str">
        <f>IF(A859="", "", IF(OR(AND(Recruiting_Data!N859&lt;&gt;"", Recruiting_Data!J859&lt;&gt;"", Recruiting_Data!N859&lt;Recruiting_Data!J859), AND(Recruiting_Data!M859&lt;&gt;"", Recruiting_Data!L859&lt;&gt;"", Recruiting_Data!M859&lt;Recruiting_Data!L859), AND(Recruiting_Data!L859&lt;&gt;"", Recruiting_Data!K859&lt;&gt;"", Recruiting_Data!L859&lt;Recruiting_Data!K859)), TRUE, FALSE))</f>
        <v/>
      </c>
    </row>
    <row r="860">
      <c r="A860" s="5" t="str">
        <f>IF(Recruiting_Data!A860="", "", Recruiting_Data!A860)</f>
        <v/>
      </c>
      <c r="B860" s="5" t="str">
        <f>IF(Recruiting_Data!B860="", "", Recruiting_Data!B860)</f>
        <v/>
      </c>
      <c r="C860" s="5" t="str">
        <f>IF(AND(ISNUMBER(Recruiting_Data!N860), ISNUMBER(Recruiting_Data!P860)), Recruiting_Data!N860 - Recruiting_Data!P860, "")</f>
        <v/>
      </c>
      <c r="E860" s="5" t="str">
        <f>IF(Recruiting_Data!R860="Open", TODAY() - Recruiting_Data!P860, "")</f>
        <v/>
      </c>
      <c r="F860" s="8" t="str">
        <f t="shared" si="1"/>
        <v/>
      </c>
      <c r="G860" s="5" t="str">
        <f>IF(A860="", "", IF(COUNTIF(Recruiting_Data!A:A, A860)&gt;1, TRUE, FALSE))</f>
        <v/>
      </c>
      <c r="H860" s="5" t="str">
        <f>IF(A860="", "", IF(OR(AND(Recruiting_Data!N860&lt;&gt;"", Recruiting_Data!J860&lt;&gt;"", Recruiting_Data!N860&lt;Recruiting_Data!J860), AND(Recruiting_Data!M860&lt;&gt;"", Recruiting_Data!L860&lt;&gt;"", Recruiting_Data!M860&lt;Recruiting_Data!L860), AND(Recruiting_Data!L860&lt;&gt;"", Recruiting_Data!K860&lt;&gt;"", Recruiting_Data!L860&lt;Recruiting_Data!K860)), TRUE, FALSE))</f>
        <v/>
      </c>
    </row>
    <row r="861">
      <c r="A861" s="5" t="str">
        <f>IF(Recruiting_Data!A861="", "", Recruiting_Data!A861)</f>
        <v/>
      </c>
      <c r="B861" s="5" t="str">
        <f>IF(Recruiting_Data!B861="", "", Recruiting_Data!B861)</f>
        <v/>
      </c>
      <c r="C861" s="5" t="str">
        <f>IF(AND(ISNUMBER(Recruiting_Data!N861), ISNUMBER(Recruiting_Data!P861)), Recruiting_Data!N861 - Recruiting_Data!P861, "")</f>
        <v/>
      </c>
      <c r="E861" s="5" t="str">
        <f>IF(Recruiting_Data!R861="Open", TODAY() - Recruiting_Data!P861, "")</f>
        <v/>
      </c>
      <c r="F861" s="8" t="str">
        <f t="shared" si="1"/>
        <v/>
      </c>
      <c r="G861" s="5" t="str">
        <f>IF(A861="", "", IF(COUNTIF(Recruiting_Data!A:A, A861)&gt;1, TRUE, FALSE))</f>
        <v/>
      </c>
      <c r="H861" s="5" t="str">
        <f>IF(A861="", "", IF(OR(AND(Recruiting_Data!N861&lt;&gt;"", Recruiting_Data!J861&lt;&gt;"", Recruiting_Data!N861&lt;Recruiting_Data!J861), AND(Recruiting_Data!M861&lt;&gt;"", Recruiting_Data!L861&lt;&gt;"", Recruiting_Data!M861&lt;Recruiting_Data!L861), AND(Recruiting_Data!L861&lt;&gt;"", Recruiting_Data!K861&lt;&gt;"", Recruiting_Data!L861&lt;Recruiting_Data!K861)), TRUE, FALSE))</f>
        <v/>
      </c>
    </row>
    <row r="862">
      <c r="A862" s="5" t="str">
        <f>IF(Recruiting_Data!A862="", "", Recruiting_Data!A862)</f>
        <v/>
      </c>
      <c r="B862" s="5" t="str">
        <f>IF(Recruiting_Data!B862="", "", Recruiting_Data!B862)</f>
        <v/>
      </c>
      <c r="C862" s="5" t="str">
        <f>IF(AND(ISNUMBER(Recruiting_Data!N862), ISNUMBER(Recruiting_Data!P862)), Recruiting_Data!N862 - Recruiting_Data!P862, "")</f>
        <v/>
      </c>
      <c r="E862" s="5" t="str">
        <f>IF(Recruiting_Data!R862="Open", TODAY() - Recruiting_Data!P862, "")</f>
        <v/>
      </c>
      <c r="F862" s="8" t="str">
        <f t="shared" si="1"/>
        <v/>
      </c>
      <c r="G862" s="5" t="str">
        <f>IF(A862="", "", IF(COUNTIF(Recruiting_Data!A:A, A862)&gt;1, TRUE, FALSE))</f>
        <v/>
      </c>
      <c r="H862" s="5" t="str">
        <f>IF(A862="", "", IF(OR(AND(Recruiting_Data!N862&lt;&gt;"", Recruiting_Data!J862&lt;&gt;"", Recruiting_Data!N862&lt;Recruiting_Data!J862), AND(Recruiting_Data!M862&lt;&gt;"", Recruiting_Data!L862&lt;&gt;"", Recruiting_Data!M862&lt;Recruiting_Data!L862), AND(Recruiting_Data!L862&lt;&gt;"", Recruiting_Data!K862&lt;&gt;"", Recruiting_Data!L862&lt;Recruiting_Data!K862)), TRUE, FALSE))</f>
        <v/>
      </c>
    </row>
    <row r="863">
      <c r="A863" s="5" t="str">
        <f>IF(Recruiting_Data!A863="", "", Recruiting_Data!A863)</f>
        <v/>
      </c>
      <c r="B863" s="5" t="str">
        <f>IF(Recruiting_Data!B863="", "", Recruiting_Data!B863)</f>
        <v/>
      </c>
      <c r="C863" s="5" t="str">
        <f>IF(AND(ISNUMBER(Recruiting_Data!N863), ISNUMBER(Recruiting_Data!P863)), Recruiting_Data!N863 - Recruiting_Data!P863, "")</f>
        <v/>
      </c>
      <c r="E863" s="5" t="str">
        <f>IF(Recruiting_Data!R863="Open", TODAY() - Recruiting_Data!P863, "")</f>
        <v/>
      </c>
      <c r="F863" s="8" t="str">
        <f t="shared" si="1"/>
        <v/>
      </c>
      <c r="G863" s="5" t="str">
        <f>IF(A863="", "", IF(COUNTIF(Recruiting_Data!A:A, A863)&gt;1, TRUE, FALSE))</f>
        <v/>
      </c>
      <c r="H863" s="5" t="str">
        <f>IF(A863="", "", IF(OR(AND(Recruiting_Data!N863&lt;&gt;"", Recruiting_Data!J863&lt;&gt;"", Recruiting_Data!N863&lt;Recruiting_Data!J863), AND(Recruiting_Data!M863&lt;&gt;"", Recruiting_Data!L863&lt;&gt;"", Recruiting_Data!M863&lt;Recruiting_Data!L863), AND(Recruiting_Data!L863&lt;&gt;"", Recruiting_Data!K863&lt;&gt;"", Recruiting_Data!L863&lt;Recruiting_Data!K863)), TRUE, FALSE))</f>
        <v/>
      </c>
    </row>
    <row r="864">
      <c r="A864" s="5" t="str">
        <f>IF(Recruiting_Data!A864="", "", Recruiting_Data!A864)</f>
        <v/>
      </c>
      <c r="B864" s="5" t="str">
        <f>IF(Recruiting_Data!B864="", "", Recruiting_Data!B864)</f>
        <v/>
      </c>
      <c r="C864" s="5" t="str">
        <f>IF(AND(ISNUMBER(Recruiting_Data!N864), ISNUMBER(Recruiting_Data!P864)), Recruiting_Data!N864 - Recruiting_Data!P864, "")</f>
        <v/>
      </c>
      <c r="E864" s="5" t="str">
        <f>IF(Recruiting_Data!R864="Open", TODAY() - Recruiting_Data!P864, "")</f>
        <v/>
      </c>
      <c r="F864" s="8" t="str">
        <f t="shared" si="1"/>
        <v/>
      </c>
      <c r="G864" s="5" t="str">
        <f>IF(A864="", "", IF(COUNTIF(Recruiting_Data!A:A, A864)&gt;1, TRUE, FALSE))</f>
        <v/>
      </c>
      <c r="H864" s="5" t="str">
        <f>IF(A864="", "", IF(OR(AND(Recruiting_Data!N864&lt;&gt;"", Recruiting_Data!J864&lt;&gt;"", Recruiting_Data!N864&lt;Recruiting_Data!J864), AND(Recruiting_Data!M864&lt;&gt;"", Recruiting_Data!L864&lt;&gt;"", Recruiting_Data!M864&lt;Recruiting_Data!L864), AND(Recruiting_Data!L864&lt;&gt;"", Recruiting_Data!K864&lt;&gt;"", Recruiting_Data!L864&lt;Recruiting_Data!K864)), TRUE, FALSE))</f>
        <v/>
      </c>
    </row>
    <row r="865">
      <c r="A865" s="5" t="str">
        <f>IF(Recruiting_Data!A865="", "", Recruiting_Data!A865)</f>
        <v/>
      </c>
      <c r="B865" s="5" t="str">
        <f>IF(Recruiting_Data!B865="", "", Recruiting_Data!B865)</f>
        <v/>
      </c>
      <c r="C865" s="5" t="str">
        <f>IF(AND(ISNUMBER(Recruiting_Data!N865), ISNUMBER(Recruiting_Data!P865)), Recruiting_Data!N865 - Recruiting_Data!P865, "")</f>
        <v/>
      </c>
      <c r="E865" s="5" t="str">
        <f>IF(Recruiting_Data!R865="Open", TODAY() - Recruiting_Data!P865, "")</f>
        <v/>
      </c>
      <c r="F865" s="8" t="str">
        <f t="shared" si="1"/>
        <v/>
      </c>
      <c r="G865" s="5" t="str">
        <f>IF(A865="", "", IF(COUNTIF(Recruiting_Data!A:A, A865)&gt;1, TRUE, FALSE))</f>
        <v/>
      </c>
      <c r="H865" s="5" t="str">
        <f>IF(A865="", "", IF(OR(AND(Recruiting_Data!N865&lt;&gt;"", Recruiting_Data!J865&lt;&gt;"", Recruiting_Data!N865&lt;Recruiting_Data!J865), AND(Recruiting_Data!M865&lt;&gt;"", Recruiting_Data!L865&lt;&gt;"", Recruiting_Data!M865&lt;Recruiting_Data!L865), AND(Recruiting_Data!L865&lt;&gt;"", Recruiting_Data!K865&lt;&gt;"", Recruiting_Data!L865&lt;Recruiting_Data!K865)), TRUE, FALSE))</f>
        <v/>
      </c>
    </row>
    <row r="866">
      <c r="A866" s="5" t="str">
        <f>IF(Recruiting_Data!A866="", "", Recruiting_Data!A866)</f>
        <v/>
      </c>
      <c r="B866" s="5" t="str">
        <f>IF(Recruiting_Data!B866="", "", Recruiting_Data!B866)</f>
        <v/>
      </c>
      <c r="C866" s="5" t="str">
        <f>IF(AND(ISNUMBER(Recruiting_Data!N866), ISNUMBER(Recruiting_Data!P866)), Recruiting_Data!N866 - Recruiting_Data!P866, "")</f>
        <v/>
      </c>
      <c r="E866" s="5" t="str">
        <f>IF(Recruiting_Data!R866="Open", TODAY() - Recruiting_Data!P866, "")</f>
        <v/>
      </c>
      <c r="F866" s="8" t="str">
        <f t="shared" si="1"/>
        <v/>
      </c>
      <c r="G866" s="5" t="str">
        <f>IF(A866="", "", IF(COUNTIF(Recruiting_Data!A:A, A866)&gt;1, TRUE, FALSE))</f>
        <v/>
      </c>
      <c r="H866" s="5" t="str">
        <f>IF(A866="", "", IF(OR(AND(Recruiting_Data!N866&lt;&gt;"", Recruiting_Data!J866&lt;&gt;"", Recruiting_Data!N866&lt;Recruiting_Data!J866), AND(Recruiting_Data!M866&lt;&gt;"", Recruiting_Data!L866&lt;&gt;"", Recruiting_Data!M866&lt;Recruiting_Data!L866), AND(Recruiting_Data!L866&lt;&gt;"", Recruiting_Data!K866&lt;&gt;"", Recruiting_Data!L866&lt;Recruiting_Data!K866)), TRUE, FALSE))</f>
        <v/>
      </c>
    </row>
    <row r="867">
      <c r="A867" s="5" t="str">
        <f>IF(Recruiting_Data!A867="", "", Recruiting_Data!A867)</f>
        <v/>
      </c>
      <c r="B867" s="5" t="str">
        <f>IF(Recruiting_Data!B867="", "", Recruiting_Data!B867)</f>
        <v/>
      </c>
      <c r="C867" s="5" t="str">
        <f>IF(AND(ISNUMBER(Recruiting_Data!N867), ISNUMBER(Recruiting_Data!P867)), Recruiting_Data!N867 - Recruiting_Data!P867, "")</f>
        <v/>
      </c>
      <c r="E867" s="5" t="str">
        <f>IF(Recruiting_Data!R867="Open", TODAY() - Recruiting_Data!P867, "")</f>
        <v/>
      </c>
      <c r="F867" s="8" t="str">
        <f t="shared" si="1"/>
        <v/>
      </c>
      <c r="G867" s="5" t="str">
        <f>IF(A867="", "", IF(COUNTIF(Recruiting_Data!A:A, A867)&gt;1, TRUE, FALSE))</f>
        <v/>
      </c>
      <c r="H867" s="5" t="str">
        <f>IF(A867="", "", IF(OR(AND(Recruiting_Data!N867&lt;&gt;"", Recruiting_Data!J867&lt;&gt;"", Recruiting_Data!N867&lt;Recruiting_Data!J867), AND(Recruiting_Data!M867&lt;&gt;"", Recruiting_Data!L867&lt;&gt;"", Recruiting_Data!M867&lt;Recruiting_Data!L867), AND(Recruiting_Data!L867&lt;&gt;"", Recruiting_Data!K867&lt;&gt;"", Recruiting_Data!L867&lt;Recruiting_Data!K867)), TRUE, FALSE))</f>
        <v/>
      </c>
    </row>
    <row r="868">
      <c r="A868" s="5" t="str">
        <f>IF(Recruiting_Data!A868="", "", Recruiting_Data!A868)</f>
        <v/>
      </c>
      <c r="B868" s="5" t="str">
        <f>IF(Recruiting_Data!B868="", "", Recruiting_Data!B868)</f>
        <v/>
      </c>
      <c r="C868" s="5" t="str">
        <f>IF(AND(ISNUMBER(Recruiting_Data!N868), ISNUMBER(Recruiting_Data!P868)), Recruiting_Data!N868 - Recruiting_Data!P868, "")</f>
        <v/>
      </c>
      <c r="E868" s="5" t="str">
        <f>IF(Recruiting_Data!R868="Open", TODAY() - Recruiting_Data!P868, "")</f>
        <v/>
      </c>
      <c r="F868" s="8" t="str">
        <f t="shared" si="1"/>
        <v/>
      </c>
      <c r="G868" s="5" t="str">
        <f>IF(A868="", "", IF(COUNTIF(Recruiting_Data!A:A, A868)&gt;1, TRUE, FALSE))</f>
        <v/>
      </c>
      <c r="H868" s="5" t="str">
        <f>IF(A868="", "", IF(OR(AND(Recruiting_Data!N868&lt;&gt;"", Recruiting_Data!J868&lt;&gt;"", Recruiting_Data!N868&lt;Recruiting_Data!J868), AND(Recruiting_Data!M868&lt;&gt;"", Recruiting_Data!L868&lt;&gt;"", Recruiting_Data!M868&lt;Recruiting_Data!L868), AND(Recruiting_Data!L868&lt;&gt;"", Recruiting_Data!K868&lt;&gt;"", Recruiting_Data!L868&lt;Recruiting_Data!K868)), TRUE, FALSE))</f>
        <v/>
      </c>
    </row>
    <row r="869">
      <c r="A869" s="5" t="str">
        <f>IF(Recruiting_Data!A869="", "", Recruiting_Data!A869)</f>
        <v/>
      </c>
      <c r="B869" s="5" t="str">
        <f>IF(Recruiting_Data!B869="", "", Recruiting_Data!B869)</f>
        <v/>
      </c>
      <c r="C869" s="5" t="str">
        <f>IF(AND(ISNUMBER(Recruiting_Data!N869), ISNUMBER(Recruiting_Data!P869)), Recruiting_Data!N869 - Recruiting_Data!P869, "")</f>
        <v/>
      </c>
      <c r="E869" s="5" t="str">
        <f>IF(Recruiting_Data!R869="Open", TODAY() - Recruiting_Data!P869, "")</f>
        <v/>
      </c>
      <c r="F869" s="8" t="str">
        <f t="shared" si="1"/>
        <v/>
      </c>
      <c r="G869" s="5" t="str">
        <f>IF(A869="", "", IF(COUNTIF(Recruiting_Data!A:A, A869)&gt;1, TRUE, FALSE))</f>
        <v/>
      </c>
      <c r="H869" s="5" t="str">
        <f>IF(A869="", "", IF(OR(AND(Recruiting_Data!N869&lt;&gt;"", Recruiting_Data!J869&lt;&gt;"", Recruiting_Data!N869&lt;Recruiting_Data!J869), AND(Recruiting_Data!M869&lt;&gt;"", Recruiting_Data!L869&lt;&gt;"", Recruiting_Data!M869&lt;Recruiting_Data!L869), AND(Recruiting_Data!L869&lt;&gt;"", Recruiting_Data!K869&lt;&gt;"", Recruiting_Data!L869&lt;Recruiting_Data!K869)), TRUE, FALSE))</f>
        <v/>
      </c>
    </row>
    <row r="870">
      <c r="A870" s="5" t="str">
        <f>IF(Recruiting_Data!A870="", "", Recruiting_Data!A870)</f>
        <v/>
      </c>
      <c r="B870" s="5" t="str">
        <f>IF(Recruiting_Data!B870="", "", Recruiting_Data!B870)</f>
        <v/>
      </c>
      <c r="C870" s="5" t="str">
        <f>IF(AND(ISNUMBER(Recruiting_Data!N870), ISNUMBER(Recruiting_Data!P870)), Recruiting_Data!N870 - Recruiting_Data!P870, "")</f>
        <v/>
      </c>
      <c r="E870" s="5" t="str">
        <f>IF(Recruiting_Data!R870="Open", TODAY() - Recruiting_Data!P870, "")</f>
        <v/>
      </c>
      <c r="F870" s="8" t="str">
        <f t="shared" si="1"/>
        <v/>
      </c>
      <c r="G870" s="5" t="str">
        <f>IF(A870="", "", IF(COUNTIF(Recruiting_Data!A:A, A870)&gt;1, TRUE, FALSE))</f>
        <v/>
      </c>
      <c r="H870" s="5" t="str">
        <f>IF(A870="", "", IF(OR(AND(Recruiting_Data!N870&lt;&gt;"", Recruiting_Data!J870&lt;&gt;"", Recruiting_Data!N870&lt;Recruiting_Data!J870), AND(Recruiting_Data!M870&lt;&gt;"", Recruiting_Data!L870&lt;&gt;"", Recruiting_Data!M870&lt;Recruiting_Data!L870), AND(Recruiting_Data!L870&lt;&gt;"", Recruiting_Data!K870&lt;&gt;"", Recruiting_Data!L870&lt;Recruiting_Data!K870)), TRUE, FALSE))</f>
        <v/>
      </c>
    </row>
    <row r="871">
      <c r="A871" s="5" t="str">
        <f>IF(Recruiting_Data!A871="", "", Recruiting_Data!A871)</f>
        <v/>
      </c>
      <c r="B871" s="5" t="str">
        <f>IF(Recruiting_Data!B871="", "", Recruiting_Data!B871)</f>
        <v/>
      </c>
      <c r="C871" s="5" t="str">
        <f>IF(AND(ISNUMBER(Recruiting_Data!N871), ISNUMBER(Recruiting_Data!P871)), Recruiting_Data!N871 - Recruiting_Data!P871, "")</f>
        <v/>
      </c>
      <c r="E871" s="5" t="str">
        <f>IF(Recruiting_Data!R871="Open", TODAY() - Recruiting_Data!P871, "")</f>
        <v/>
      </c>
      <c r="F871" s="8" t="str">
        <f t="shared" si="1"/>
        <v/>
      </c>
      <c r="G871" s="5" t="str">
        <f>IF(A871="", "", IF(COUNTIF(Recruiting_Data!A:A, A871)&gt;1, TRUE, FALSE))</f>
        <v/>
      </c>
      <c r="H871" s="5" t="str">
        <f>IF(A871="", "", IF(OR(AND(Recruiting_Data!N871&lt;&gt;"", Recruiting_Data!J871&lt;&gt;"", Recruiting_Data!N871&lt;Recruiting_Data!J871), AND(Recruiting_Data!M871&lt;&gt;"", Recruiting_Data!L871&lt;&gt;"", Recruiting_Data!M871&lt;Recruiting_Data!L871), AND(Recruiting_Data!L871&lt;&gt;"", Recruiting_Data!K871&lt;&gt;"", Recruiting_Data!L871&lt;Recruiting_Data!K871)), TRUE, FALSE))</f>
        <v/>
      </c>
    </row>
    <row r="872">
      <c r="A872" s="5" t="str">
        <f>IF(Recruiting_Data!A872="", "", Recruiting_Data!A872)</f>
        <v/>
      </c>
      <c r="B872" s="5" t="str">
        <f>IF(Recruiting_Data!B872="", "", Recruiting_Data!B872)</f>
        <v/>
      </c>
      <c r="C872" s="5" t="str">
        <f>IF(AND(ISNUMBER(Recruiting_Data!N872), ISNUMBER(Recruiting_Data!P872)), Recruiting_Data!N872 - Recruiting_Data!P872, "")</f>
        <v/>
      </c>
      <c r="E872" s="5" t="str">
        <f>IF(Recruiting_Data!R872="Open", TODAY() - Recruiting_Data!P872, "")</f>
        <v/>
      </c>
      <c r="F872" s="8" t="str">
        <f t="shared" si="1"/>
        <v/>
      </c>
      <c r="G872" s="5" t="str">
        <f>IF(A872="", "", IF(COUNTIF(Recruiting_Data!A:A, A872)&gt;1, TRUE, FALSE))</f>
        <v/>
      </c>
      <c r="H872" s="5" t="str">
        <f>IF(A872="", "", IF(OR(AND(Recruiting_Data!N872&lt;&gt;"", Recruiting_Data!J872&lt;&gt;"", Recruiting_Data!N872&lt;Recruiting_Data!J872), AND(Recruiting_Data!M872&lt;&gt;"", Recruiting_Data!L872&lt;&gt;"", Recruiting_Data!M872&lt;Recruiting_Data!L872), AND(Recruiting_Data!L872&lt;&gt;"", Recruiting_Data!K872&lt;&gt;"", Recruiting_Data!L872&lt;Recruiting_Data!K872)), TRUE, FALSE))</f>
        <v/>
      </c>
    </row>
    <row r="873">
      <c r="A873" s="5" t="str">
        <f>IF(Recruiting_Data!A873="", "", Recruiting_Data!A873)</f>
        <v/>
      </c>
      <c r="B873" s="5" t="str">
        <f>IF(Recruiting_Data!B873="", "", Recruiting_Data!B873)</f>
        <v/>
      </c>
      <c r="C873" s="5" t="str">
        <f>IF(AND(ISNUMBER(Recruiting_Data!N873), ISNUMBER(Recruiting_Data!P873)), Recruiting_Data!N873 - Recruiting_Data!P873, "")</f>
        <v/>
      </c>
      <c r="E873" s="5" t="str">
        <f>IF(Recruiting_Data!R873="Open", TODAY() - Recruiting_Data!P873, "")</f>
        <v/>
      </c>
      <c r="F873" s="8" t="str">
        <f t="shared" si="1"/>
        <v/>
      </c>
      <c r="G873" s="5" t="str">
        <f>IF(A873="", "", IF(COUNTIF(Recruiting_Data!A:A, A873)&gt;1, TRUE, FALSE))</f>
        <v/>
      </c>
      <c r="H873" s="5" t="str">
        <f>IF(A873="", "", IF(OR(AND(Recruiting_Data!N873&lt;&gt;"", Recruiting_Data!J873&lt;&gt;"", Recruiting_Data!N873&lt;Recruiting_Data!J873), AND(Recruiting_Data!M873&lt;&gt;"", Recruiting_Data!L873&lt;&gt;"", Recruiting_Data!M873&lt;Recruiting_Data!L873), AND(Recruiting_Data!L873&lt;&gt;"", Recruiting_Data!K873&lt;&gt;"", Recruiting_Data!L873&lt;Recruiting_Data!K873)), TRUE, FALSE))</f>
        <v/>
      </c>
    </row>
    <row r="874">
      <c r="A874" s="5" t="str">
        <f>IF(Recruiting_Data!A874="", "", Recruiting_Data!A874)</f>
        <v/>
      </c>
      <c r="B874" s="5" t="str">
        <f>IF(Recruiting_Data!B874="", "", Recruiting_Data!B874)</f>
        <v/>
      </c>
      <c r="C874" s="5" t="str">
        <f>IF(AND(ISNUMBER(Recruiting_Data!N874), ISNUMBER(Recruiting_Data!P874)), Recruiting_Data!N874 - Recruiting_Data!P874, "")</f>
        <v/>
      </c>
      <c r="E874" s="5" t="str">
        <f>IF(Recruiting_Data!R874="Open", TODAY() - Recruiting_Data!P874, "")</f>
        <v/>
      </c>
      <c r="F874" s="8" t="str">
        <f t="shared" si="1"/>
        <v/>
      </c>
      <c r="G874" s="5" t="str">
        <f>IF(A874="", "", IF(COUNTIF(Recruiting_Data!A:A, A874)&gt;1, TRUE, FALSE))</f>
        <v/>
      </c>
      <c r="H874" s="5" t="str">
        <f>IF(A874="", "", IF(OR(AND(Recruiting_Data!N874&lt;&gt;"", Recruiting_Data!J874&lt;&gt;"", Recruiting_Data!N874&lt;Recruiting_Data!J874), AND(Recruiting_Data!M874&lt;&gt;"", Recruiting_Data!L874&lt;&gt;"", Recruiting_Data!M874&lt;Recruiting_Data!L874), AND(Recruiting_Data!L874&lt;&gt;"", Recruiting_Data!K874&lt;&gt;"", Recruiting_Data!L874&lt;Recruiting_Data!K874)), TRUE, FALSE))</f>
        <v/>
      </c>
    </row>
    <row r="875">
      <c r="A875" s="5" t="str">
        <f>IF(Recruiting_Data!A875="", "", Recruiting_Data!A875)</f>
        <v/>
      </c>
      <c r="B875" s="5" t="str">
        <f>IF(Recruiting_Data!B875="", "", Recruiting_Data!B875)</f>
        <v/>
      </c>
      <c r="C875" s="5" t="str">
        <f>IF(AND(ISNUMBER(Recruiting_Data!N875), ISNUMBER(Recruiting_Data!P875)), Recruiting_Data!N875 - Recruiting_Data!P875, "")</f>
        <v/>
      </c>
      <c r="E875" s="5" t="str">
        <f>IF(Recruiting_Data!R875="Open", TODAY() - Recruiting_Data!P875, "")</f>
        <v/>
      </c>
      <c r="F875" s="8" t="str">
        <f t="shared" si="1"/>
        <v/>
      </c>
      <c r="G875" s="5" t="str">
        <f>IF(A875="", "", IF(COUNTIF(Recruiting_Data!A:A, A875)&gt;1, TRUE, FALSE))</f>
        <v/>
      </c>
      <c r="H875" s="5" t="str">
        <f>IF(A875="", "", IF(OR(AND(Recruiting_Data!N875&lt;&gt;"", Recruiting_Data!J875&lt;&gt;"", Recruiting_Data!N875&lt;Recruiting_Data!J875), AND(Recruiting_Data!M875&lt;&gt;"", Recruiting_Data!L875&lt;&gt;"", Recruiting_Data!M875&lt;Recruiting_Data!L875), AND(Recruiting_Data!L875&lt;&gt;"", Recruiting_Data!K875&lt;&gt;"", Recruiting_Data!L875&lt;Recruiting_Data!K875)), TRUE, FALSE))</f>
        <v/>
      </c>
    </row>
    <row r="876">
      <c r="A876" s="5" t="str">
        <f>IF(Recruiting_Data!A876="", "", Recruiting_Data!A876)</f>
        <v/>
      </c>
      <c r="B876" s="5" t="str">
        <f>IF(Recruiting_Data!B876="", "", Recruiting_Data!B876)</f>
        <v/>
      </c>
      <c r="C876" s="5" t="str">
        <f>IF(AND(ISNUMBER(Recruiting_Data!N876), ISNUMBER(Recruiting_Data!P876)), Recruiting_Data!N876 - Recruiting_Data!P876, "")</f>
        <v/>
      </c>
      <c r="E876" s="5" t="str">
        <f>IF(Recruiting_Data!R876="Open", TODAY() - Recruiting_Data!P876, "")</f>
        <v/>
      </c>
      <c r="F876" s="8" t="str">
        <f t="shared" si="1"/>
        <v/>
      </c>
      <c r="G876" s="5" t="str">
        <f>IF(A876="", "", IF(COUNTIF(Recruiting_Data!A:A, A876)&gt;1, TRUE, FALSE))</f>
        <v/>
      </c>
      <c r="H876" s="5" t="str">
        <f>IF(A876="", "", IF(OR(AND(Recruiting_Data!N876&lt;&gt;"", Recruiting_Data!J876&lt;&gt;"", Recruiting_Data!N876&lt;Recruiting_Data!J876), AND(Recruiting_Data!M876&lt;&gt;"", Recruiting_Data!L876&lt;&gt;"", Recruiting_Data!M876&lt;Recruiting_Data!L876), AND(Recruiting_Data!L876&lt;&gt;"", Recruiting_Data!K876&lt;&gt;"", Recruiting_Data!L876&lt;Recruiting_Data!K876)), TRUE, FALSE))</f>
        <v/>
      </c>
    </row>
    <row r="877">
      <c r="A877" s="5" t="str">
        <f>IF(Recruiting_Data!A877="", "", Recruiting_Data!A877)</f>
        <v/>
      </c>
      <c r="B877" s="5" t="str">
        <f>IF(Recruiting_Data!B877="", "", Recruiting_Data!B877)</f>
        <v/>
      </c>
      <c r="C877" s="5" t="str">
        <f>IF(AND(ISNUMBER(Recruiting_Data!N877), ISNUMBER(Recruiting_Data!P877)), Recruiting_Data!N877 - Recruiting_Data!P877, "")</f>
        <v/>
      </c>
      <c r="E877" s="5" t="str">
        <f>IF(Recruiting_Data!R877="Open", TODAY() - Recruiting_Data!P877, "")</f>
        <v/>
      </c>
      <c r="F877" s="8" t="str">
        <f t="shared" si="1"/>
        <v/>
      </c>
      <c r="G877" s="5" t="str">
        <f>IF(A877="", "", IF(COUNTIF(Recruiting_Data!A:A, A877)&gt;1, TRUE, FALSE))</f>
        <v/>
      </c>
      <c r="H877" s="5" t="str">
        <f>IF(A877="", "", IF(OR(AND(Recruiting_Data!N877&lt;&gt;"", Recruiting_Data!J877&lt;&gt;"", Recruiting_Data!N877&lt;Recruiting_Data!J877), AND(Recruiting_Data!M877&lt;&gt;"", Recruiting_Data!L877&lt;&gt;"", Recruiting_Data!M877&lt;Recruiting_Data!L877), AND(Recruiting_Data!L877&lt;&gt;"", Recruiting_Data!K877&lt;&gt;"", Recruiting_Data!L877&lt;Recruiting_Data!K877)), TRUE, FALSE))</f>
        <v/>
      </c>
    </row>
    <row r="878">
      <c r="A878" s="5" t="str">
        <f>IF(Recruiting_Data!A878="", "", Recruiting_Data!A878)</f>
        <v/>
      </c>
      <c r="B878" s="5" t="str">
        <f>IF(Recruiting_Data!B878="", "", Recruiting_Data!B878)</f>
        <v/>
      </c>
      <c r="C878" s="5" t="str">
        <f>IF(AND(ISNUMBER(Recruiting_Data!N878), ISNUMBER(Recruiting_Data!P878)), Recruiting_Data!N878 - Recruiting_Data!P878, "")</f>
        <v/>
      </c>
      <c r="E878" s="5" t="str">
        <f>IF(Recruiting_Data!R878="Open", TODAY() - Recruiting_Data!P878, "")</f>
        <v/>
      </c>
      <c r="F878" s="8" t="str">
        <f t="shared" si="1"/>
        <v/>
      </c>
      <c r="G878" s="5" t="str">
        <f>IF(A878="", "", IF(COUNTIF(Recruiting_Data!A:A, A878)&gt;1, TRUE, FALSE))</f>
        <v/>
      </c>
      <c r="H878" s="5" t="str">
        <f>IF(A878="", "", IF(OR(AND(Recruiting_Data!N878&lt;&gt;"", Recruiting_Data!J878&lt;&gt;"", Recruiting_Data!N878&lt;Recruiting_Data!J878), AND(Recruiting_Data!M878&lt;&gt;"", Recruiting_Data!L878&lt;&gt;"", Recruiting_Data!M878&lt;Recruiting_Data!L878), AND(Recruiting_Data!L878&lt;&gt;"", Recruiting_Data!K878&lt;&gt;"", Recruiting_Data!L878&lt;Recruiting_Data!K878)), TRUE, FALSE))</f>
        <v/>
      </c>
    </row>
    <row r="879">
      <c r="A879" s="5" t="str">
        <f>IF(Recruiting_Data!A879="", "", Recruiting_Data!A879)</f>
        <v/>
      </c>
      <c r="B879" s="5" t="str">
        <f>IF(Recruiting_Data!B879="", "", Recruiting_Data!B879)</f>
        <v/>
      </c>
      <c r="C879" s="5" t="str">
        <f>IF(AND(ISNUMBER(Recruiting_Data!N879), ISNUMBER(Recruiting_Data!P879)), Recruiting_Data!N879 - Recruiting_Data!P879, "")</f>
        <v/>
      </c>
      <c r="E879" s="5" t="str">
        <f>IF(Recruiting_Data!R879="Open", TODAY() - Recruiting_Data!P879, "")</f>
        <v/>
      </c>
      <c r="F879" s="8" t="str">
        <f t="shared" si="1"/>
        <v/>
      </c>
      <c r="G879" s="5" t="str">
        <f>IF(A879="", "", IF(COUNTIF(Recruiting_Data!A:A, A879)&gt;1, TRUE, FALSE))</f>
        <v/>
      </c>
      <c r="H879" s="5" t="str">
        <f>IF(A879="", "", IF(OR(AND(Recruiting_Data!N879&lt;&gt;"", Recruiting_Data!J879&lt;&gt;"", Recruiting_Data!N879&lt;Recruiting_Data!J879), AND(Recruiting_Data!M879&lt;&gt;"", Recruiting_Data!L879&lt;&gt;"", Recruiting_Data!M879&lt;Recruiting_Data!L879), AND(Recruiting_Data!L879&lt;&gt;"", Recruiting_Data!K879&lt;&gt;"", Recruiting_Data!L879&lt;Recruiting_Data!K879)), TRUE, FALSE))</f>
        <v/>
      </c>
    </row>
    <row r="880">
      <c r="A880" s="5" t="str">
        <f>IF(Recruiting_Data!A880="", "", Recruiting_Data!A880)</f>
        <v/>
      </c>
      <c r="B880" s="5" t="str">
        <f>IF(Recruiting_Data!B880="", "", Recruiting_Data!B880)</f>
        <v/>
      </c>
      <c r="C880" s="5" t="str">
        <f>IF(AND(ISNUMBER(Recruiting_Data!N880), ISNUMBER(Recruiting_Data!P880)), Recruiting_Data!N880 - Recruiting_Data!P880, "")</f>
        <v/>
      </c>
      <c r="E880" s="5" t="str">
        <f>IF(Recruiting_Data!R880="Open", TODAY() - Recruiting_Data!P880, "")</f>
        <v/>
      </c>
      <c r="F880" s="8" t="str">
        <f t="shared" si="1"/>
        <v/>
      </c>
      <c r="G880" s="5" t="str">
        <f>IF(A880="", "", IF(COUNTIF(Recruiting_Data!A:A, A880)&gt;1, TRUE, FALSE))</f>
        <v/>
      </c>
      <c r="H880" s="5" t="str">
        <f>IF(A880="", "", IF(OR(AND(Recruiting_Data!N880&lt;&gt;"", Recruiting_Data!J880&lt;&gt;"", Recruiting_Data!N880&lt;Recruiting_Data!J880), AND(Recruiting_Data!M880&lt;&gt;"", Recruiting_Data!L880&lt;&gt;"", Recruiting_Data!M880&lt;Recruiting_Data!L880), AND(Recruiting_Data!L880&lt;&gt;"", Recruiting_Data!K880&lt;&gt;"", Recruiting_Data!L880&lt;Recruiting_Data!K880)), TRUE, FALSE))</f>
        <v/>
      </c>
    </row>
    <row r="881">
      <c r="A881" s="5" t="str">
        <f>IF(Recruiting_Data!A881="", "", Recruiting_Data!A881)</f>
        <v/>
      </c>
      <c r="B881" s="5" t="str">
        <f>IF(Recruiting_Data!B881="", "", Recruiting_Data!B881)</f>
        <v/>
      </c>
      <c r="C881" s="5" t="str">
        <f>IF(AND(ISNUMBER(Recruiting_Data!N881), ISNUMBER(Recruiting_Data!P881)), Recruiting_Data!N881 - Recruiting_Data!P881, "")</f>
        <v/>
      </c>
      <c r="E881" s="5" t="str">
        <f>IF(Recruiting_Data!R881="Open", TODAY() - Recruiting_Data!P881, "")</f>
        <v/>
      </c>
      <c r="F881" s="8" t="str">
        <f t="shared" si="1"/>
        <v/>
      </c>
      <c r="G881" s="5" t="str">
        <f>IF(A881="", "", IF(COUNTIF(Recruiting_Data!A:A, A881)&gt;1, TRUE, FALSE))</f>
        <v/>
      </c>
      <c r="H881" s="5" t="str">
        <f>IF(A881="", "", IF(OR(AND(Recruiting_Data!N881&lt;&gt;"", Recruiting_Data!J881&lt;&gt;"", Recruiting_Data!N881&lt;Recruiting_Data!J881), AND(Recruiting_Data!M881&lt;&gt;"", Recruiting_Data!L881&lt;&gt;"", Recruiting_Data!M881&lt;Recruiting_Data!L881), AND(Recruiting_Data!L881&lt;&gt;"", Recruiting_Data!K881&lt;&gt;"", Recruiting_Data!L881&lt;Recruiting_Data!K881)), TRUE, FALSE))</f>
        <v/>
      </c>
    </row>
    <row r="882">
      <c r="A882" s="5" t="str">
        <f>IF(Recruiting_Data!A882="", "", Recruiting_Data!A882)</f>
        <v/>
      </c>
      <c r="B882" s="5" t="str">
        <f>IF(Recruiting_Data!B882="", "", Recruiting_Data!B882)</f>
        <v/>
      </c>
      <c r="C882" s="5" t="str">
        <f>IF(AND(ISNUMBER(Recruiting_Data!N882), ISNUMBER(Recruiting_Data!P882)), Recruiting_Data!N882 - Recruiting_Data!P882, "")</f>
        <v/>
      </c>
      <c r="E882" s="5" t="str">
        <f>IF(Recruiting_Data!R882="Open", TODAY() - Recruiting_Data!P882, "")</f>
        <v/>
      </c>
      <c r="F882" s="8" t="str">
        <f t="shared" si="1"/>
        <v/>
      </c>
      <c r="G882" s="5" t="str">
        <f>IF(A882="", "", IF(COUNTIF(Recruiting_Data!A:A, A882)&gt;1, TRUE, FALSE))</f>
        <v/>
      </c>
      <c r="H882" s="5" t="str">
        <f>IF(A882="", "", IF(OR(AND(Recruiting_Data!N882&lt;&gt;"", Recruiting_Data!J882&lt;&gt;"", Recruiting_Data!N882&lt;Recruiting_Data!J882), AND(Recruiting_Data!M882&lt;&gt;"", Recruiting_Data!L882&lt;&gt;"", Recruiting_Data!M882&lt;Recruiting_Data!L882), AND(Recruiting_Data!L882&lt;&gt;"", Recruiting_Data!K882&lt;&gt;"", Recruiting_Data!L882&lt;Recruiting_Data!K882)), TRUE, FALSE))</f>
        <v/>
      </c>
    </row>
    <row r="883">
      <c r="A883" s="5" t="str">
        <f>IF(Recruiting_Data!A883="", "", Recruiting_Data!A883)</f>
        <v/>
      </c>
      <c r="B883" s="5" t="str">
        <f>IF(Recruiting_Data!B883="", "", Recruiting_Data!B883)</f>
        <v/>
      </c>
      <c r="C883" s="5" t="str">
        <f>IF(AND(ISNUMBER(Recruiting_Data!N883), ISNUMBER(Recruiting_Data!P883)), Recruiting_Data!N883 - Recruiting_Data!P883, "")</f>
        <v/>
      </c>
      <c r="E883" s="5" t="str">
        <f>IF(Recruiting_Data!R883="Open", TODAY() - Recruiting_Data!P883, "")</f>
        <v/>
      </c>
      <c r="F883" s="8" t="str">
        <f t="shared" si="1"/>
        <v/>
      </c>
      <c r="G883" s="5" t="str">
        <f>IF(A883="", "", IF(COUNTIF(Recruiting_Data!A:A, A883)&gt;1, TRUE, FALSE))</f>
        <v/>
      </c>
      <c r="H883" s="5" t="str">
        <f>IF(A883="", "", IF(OR(AND(Recruiting_Data!N883&lt;&gt;"", Recruiting_Data!J883&lt;&gt;"", Recruiting_Data!N883&lt;Recruiting_Data!J883), AND(Recruiting_Data!M883&lt;&gt;"", Recruiting_Data!L883&lt;&gt;"", Recruiting_Data!M883&lt;Recruiting_Data!L883), AND(Recruiting_Data!L883&lt;&gt;"", Recruiting_Data!K883&lt;&gt;"", Recruiting_Data!L883&lt;Recruiting_Data!K883)), TRUE, FALSE))</f>
        <v/>
      </c>
    </row>
    <row r="884">
      <c r="A884" s="5" t="str">
        <f>IF(Recruiting_Data!A884="", "", Recruiting_Data!A884)</f>
        <v/>
      </c>
      <c r="B884" s="5" t="str">
        <f>IF(Recruiting_Data!B884="", "", Recruiting_Data!B884)</f>
        <v/>
      </c>
      <c r="C884" s="5" t="str">
        <f>IF(AND(ISNUMBER(Recruiting_Data!N884), ISNUMBER(Recruiting_Data!P884)), Recruiting_Data!N884 - Recruiting_Data!P884, "")</f>
        <v/>
      </c>
      <c r="E884" s="5" t="str">
        <f>IF(Recruiting_Data!R884="Open", TODAY() - Recruiting_Data!P884, "")</f>
        <v/>
      </c>
      <c r="F884" s="8" t="str">
        <f t="shared" si="1"/>
        <v/>
      </c>
      <c r="G884" s="5" t="str">
        <f>IF(A884="", "", IF(COUNTIF(Recruiting_Data!A:A, A884)&gt;1, TRUE, FALSE))</f>
        <v/>
      </c>
      <c r="H884" s="5" t="str">
        <f>IF(A884="", "", IF(OR(AND(Recruiting_Data!N884&lt;&gt;"", Recruiting_Data!J884&lt;&gt;"", Recruiting_Data!N884&lt;Recruiting_Data!J884), AND(Recruiting_Data!M884&lt;&gt;"", Recruiting_Data!L884&lt;&gt;"", Recruiting_Data!M884&lt;Recruiting_Data!L884), AND(Recruiting_Data!L884&lt;&gt;"", Recruiting_Data!K884&lt;&gt;"", Recruiting_Data!L884&lt;Recruiting_Data!K884)), TRUE, FALSE))</f>
        <v/>
      </c>
    </row>
    <row r="885">
      <c r="A885" s="5" t="str">
        <f>IF(Recruiting_Data!A885="", "", Recruiting_Data!A885)</f>
        <v/>
      </c>
      <c r="B885" s="5" t="str">
        <f>IF(Recruiting_Data!B885="", "", Recruiting_Data!B885)</f>
        <v/>
      </c>
      <c r="C885" s="5" t="str">
        <f>IF(AND(ISNUMBER(Recruiting_Data!N885), ISNUMBER(Recruiting_Data!P885)), Recruiting_Data!N885 - Recruiting_Data!P885, "")</f>
        <v/>
      </c>
      <c r="E885" s="5" t="str">
        <f>IF(Recruiting_Data!R885="Open", TODAY() - Recruiting_Data!P885, "")</f>
        <v/>
      </c>
      <c r="F885" s="8" t="str">
        <f t="shared" si="1"/>
        <v/>
      </c>
      <c r="G885" s="5" t="str">
        <f>IF(A885="", "", IF(COUNTIF(Recruiting_Data!A:A, A885)&gt;1, TRUE, FALSE))</f>
        <v/>
      </c>
      <c r="H885" s="5" t="str">
        <f>IF(A885="", "", IF(OR(AND(Recruiting_Data!N885&lt;&gt;"", Recruiting_Data!J885&lt;&gt;"", Recruiting_Data!N885&lt;Recruiting_Data!J885), AND(Recruiting_Data!M885&lt;&gt;"", Recruiting_Data!L885&lt;&gt;"", Recruiting_Data!M885&lt;Recruiting_Data!L885), AND(Recruiting_Data!L885&lt;&gt;"", Recruiting_Data!K885&lt;&gt;"", Recruiting_Data!L885&lt;Recruiting_Data!K885)), TRUE, FALSE))</f>
        <v/>
      </c>
    </row>
    <row r="886">
      <c r="A886" s="5" t="str">
        <f>IF(Recruiting_Data!A886="", "", Recruiting_Data!A886)</f>
        <v/>
      </c>
      <c r="B886" s="5" t="str">
        <f>IF(Recruiting_Data!B886="", "", Recruiting_Data!B886)</f>
        <v/>
      </c>
      <c r="C886" s="5" t="str">
        <f>IF(AND(ISNUMBER(Recruiting_Data!N886), ISNUMBER(Recruiting_Data!P886)), Recruiting_Data!N886 - Recruiting_Data!P886, "")</f>
        <v/>
      </c>
      <c r="E886" s="5" t="str">
        <f>IF(Recruiting_Data!R886="Open", TODAY() - Recruiting_Data!P886, "")</f>
        <v/>
      </c>
      <c r="F886" s="8" t="str">
        <f t="shared" si="1"/>
        <v/>
      </c>
      <c r="G886" s="5" t="str">
        <f>IF(A886="", "", IF(COUNTIF(Recruiting_Data!A:A, A886)&gt;1, TRUE, FALSE))</f>
        <v/>
      </c>
      <c r="H886" s="5" t="str">
        <f>IF(A886="", "", IF(OR(AND(Recruiting_Data!N886&lt;&gt;"", Recruiting_Data!J886&lt;&gt;"", Recruiting_Data!N886&lt;Recruiting_Data!J886), AND(Recruiting_Data!M886&lt;&gt;"", Recruiting_Data!L886&lt;&gt;"", Recruiting_Data!M886&lt;Recruiting_Data!L886), AND(Recruiting_Data!L886&lt;&gt;"", Recruiting_Data!K886&lt;&gt;"", Recruiting_Data!L886&lt;Recruiting_Data!K886)), TRUE, FALSE))</f>
        <v/>
      </c>
    </row>
    <row r="887">
      <c r="A887" s="5" t="str">
        <f>IF(Recruiting_Data!A887="", "", Recruiting_Data!A887)</f>
        <v/>
      </c>
      <c r="B887" s="5" t="str">
        <f>IF(Recruiting_Data!B887="", "", Recruiting_Data!B887)</f>
        <v/>
      </c>
      <c r="C887" s="5" t="str">
        <f>IF(AND(ISNUMBER(Recruiting_Data!N887), ISNUMBER(Recruiting_Data!P887)), Recruiting_Data!N887 - Recruiting_Data!P887, "")</f>
        <v/>
      </c>
      <c r="E887" s="5" t="str">
        <f>IF(Recruiting_Data!R887="Open", TODAY() - Recruiting_Data!P887, "")</f>
        <v/>
      </c>
      <c r="F887" s="8" t="str">
        <f t="shared" si="1"/>
        <v/>
      </c>
      <c r="G887" s="5" t="str">
        <f>IF(A887="", "", IF(COUNTIF(Recruiting_Data!A:A, A887)&gt;1, TRUE, FALSE))</f>
        <v/>
      </c>
      <c r="H887" s="5" t="str">
        <f>IF(A887="", "", IF(OR(AND(Recruiting_Data!N887&lt;&gt;"", Recruiting_Data!J887&lt;&gt;"", Recruiting_Data!N887&lt;Recruiting_Data!J887), AND(Recruiting_Data!M887&lt;&gt;"", Recruiting_Data!L887&lt;&gt;"", Recruiting_Data!M887&lt;Recruiting_Data!L887), AND(Recruiting_Data!L887&lt;&gt;"", Recruiting_Data!K887&lt;&gt;"", Recruiting_Data!L887&lt;Recruiting_Data!K887)), TRUE, FALSE))</f>
        <v/>
      </c>
    </row>
    <row r="888">
      <c r="A888" s="5" t="str">
        <f>IF(Recruiting_Data!A888="", "", Recruiting_Data!A888)</f>
        <v/>
      </c>
      <c r="B888" s="5" t="str">
        <f>IF(Recruiting_Data!B888="", "", Recruiting_Data!B888)</f>
        <v/>
      </c>
      <c r="C888" s="5" t="str">
        <f>IF(AND(ISNUMBER(Recruiting_Data!N888), ISNUMBER(Recruiting_Data!P888)), Recruiting_Data!N888 - Recruiting_Data!P888, "")</f>
        <v/>
      </c>
      <c r="E888" s="5" t="str">
        <f>IF(Recruiting_Data!R888="Open", TODAY() - Recruiting_Data!P888, "")</f>
        <v/>
      </c>
      <c r="F888" s="8" t="str">
        <f t="shared" si="1"/>
        <v/>
      </c>
      <c r="G888" s="5" t="str">
        <f>IF(A888="", "", IF(COUNTIF(Recruiting_Data!A:A, A888)&gt;1, TRUE, FALSE))</f>
        <v/>
      </c>
      <c r="H888" s="5" t="str">
        <f>IF(A888="", "", IF(OR(AND(Recruiting_Data!N888&lt;&gt;"", Recruiting_Data!J888&lt;&gt;"", Recruiting_Data!N888&lt;Recruiting_Data!J888), AND(Recruiting_Data!M888&lt;&gt;"", Recruiting_Data!L888&lt;&gt;"", Recruiting_Data!M888&lt;Recruiting_Data!L888), AND(Recruiting_Data!L888&lt;&gt;"", Recruiting_Data!K888&lt;&gt;"", Recruiting_Data!L888&lt;Recruiting_Data!K888)), TRUE, FALSE))</f>
        <v/>
      </c>
    </row>
    <row r="889">
      <c r="A889" s="5" t="str">
        <f>IF(Recruiting_Data!A889="", "", Recruiting_Data!A889)</f>
        <v/>
      </c>
      <c r="B889" s="5" t="str">
        <f>IF(Recruiting_Data!B889="", "", Recruiting_Data!B889)</f>
        <v/>
      </c>
      <c r="C889" s="5" t="str">
        <f>IF(AND(ISNUMBER(Recruiting_Data!N889), ISNUMBER(Recruiting_Data!P889)), Recruiting_Data!N889 - Recruiting_Data!P889, "")</f>
        <v/>
      </c>
      <c r="E889" s="5" t="str">
        <f>IF(Recruiting_Data!R889="Open", TODAY() - Recruiting_Data!P889, "")</f>
        <v/>
      </c>
      <c r="F889" s="8" t="str">
        <f t="shared" si="1"/>
        <v/>
      </c>
      <c r="G889" s="5" t="str">
        <f>IF(A889="", "", IF(COUNTIF(Recruiting_Data!A:A, A889)&gt;1, TRUE, FALSE))</f>
        <v/>
      </c>
      <c r="H889" s="5" t="str">
        <f>IF(A889="", "", IF(OR(AND(Recruiting_Data!N889&lt;&gt;"", Recruiting_Data!J889&lt;&gt;"", Recruiting_Data!N889&lt;Recruiting_Data!J889), AND(Recruiting_Data!M889&lt;&gt;"", Recruiting_Data!L889&lt;&gt;"", Recruiting_Data!M889&lt;Recruiting_Data!L889), AND(Recruiting_Data!L889&lt;&gt;"", Recruiting_Data!K889&lt;&gt;"", Recruiting_Data!L889&lt;Recruiting_Data!K889)), TRUE, FALSE))</f>
        <v/>
      </c>
    </row>
    <row r="890">
      <c r="A890" s="5" t="str">
        <f>IF(Recruiting_Data!A890="", "", Recruiting_Data!A890)</f>
        <v/>
      </c>
      <c r="B890" s="5" t="str">
        <f>IF(Recruiting_Data!B890="", "", Recruiting_Data!B890)</f>
        <v/>
      </c>
      <c r="C890" s="5" t="str">
        <f>IF(AND(ISNUMBER(Recruiting_Data!N890), ISNUMBER(Recruiting_Data!P890)), Recruiting_Data!N890 - Recruiting_Data!P890, "")</f>
        <v/>
      </c>
      <c r="E890" s="5" t="str">
        <f>IF(Recruiting_Data!R890="Open", TODAY() - Recruiting_Data!P890, "")</f>
        <v/>
      </c>
      <c r="F890" s="8" t="str">
        <f t="shared" si="1"/>
        <v/>
      </c>
      <c r="G890" s="5" t="str">
        <f>IF(A890="", "", IF(COUNTIF(Recruiting_Data!A:A, A890)&gt;1, TRUE, FALSE))</f>
        <v/>
      </c>
      <c r="H890" s="5" t="str">
        <f>IF(A890="", "", IF(OR(AND(Recruiting_Data!N890&lt;&gt;"", Recruiting_Data!J890&lt;&gt;"", Recruiting_Data!N890&lt;Recruiting_Data!J890), AND(Recruiting_Data!M890&lt;&gt;"", Recruiting_Data!L890&lt;&gt;"", Recruiting_Data!M890&lt;Recruiting_Data!L890), AND(Recruiting_Data!L890&lt;&gt;"", Recruiting_Data!K890&lt;&gt;"", Recruiting_Data!L890&lt;Recruiting_Data!K890)), TRUE, FALSE))</f>
        <v/>
      </c>
    </row>
    <row r="891">
      <c r="A891" s="5" t="str">
        <f>IF(Recruiting_Data!A891="", "", Recruiting_Data!A891)</f>
        <v/>
      </c>
      <c r="B891" s="5" t="str">
        <f>IF(Recruiting_Data!B891="", "", Recruiting_Data!B891)</f>
        <v/>
      </c>
      <c r="C891" s="5" t="str">
        <f>IF(AND(ISNUMBER(Recruiting_Data!N891), ISNUMBER(Recruiting_Data!P891)), Recruiting_Data!N891 - Recruiting_Data!P891, "")</f>
        <v/>
      </c>
      <c r="E891" s="5" t="str">
        <f>IF(Recruiting_Data!R891="Open", TODAY() - Recruiting_Data!P891, "")</f>
        <v/>
      </c>
      <c r="F891" s="8" t="str">
        <f t="shared" si="1"/>
        <v/>
      </c>
      <c r="G891" s="5" t="str">
        <f>IF(A891="", "", IF(COUNTIF(Recruiting_Data!A:A, A891)&gt;1, TRUE, FALSE))</f>
        <v/>
      </c>
      <c r="H891" s="5" t="str">
        <f>IF(A891="", "", IF(OR(AND(Recruiting_Data!N891&lt;&gt;"", Recruiting_Data!J891&lt;&gt;"", Recruiting_Data!N891&lt;Recruiting_Data!J891), AND(Recruiting_Data!M891&lt;&gt;"", Recruiting_Data!L891&lt;&gt;"", Recruiting_Data!M891&lt;Recruiting_Data!L891), AND(Recruiting_Data!L891&lt;&gt;"", Recruiting_Data!K891&lt;&gt;"", Recruiting_Data!L891&lt;Recruiting_Data!K891)), TRUE, FALSE))</f>
        <v/>
      </c>
    </row>
    <row r="892">
      <c r="A892" s="5" t="str">
        <f>IF(Recruiting_Data!A892="", "", Recruiting_Data!A892)</f>
        <v/>
      </c>
      <c r="B892" s="5" t="str">
        <f>IF(Recruiting_Data!B892="", "", Recruiting_Data!B892)</f>
        <v/>
      </c>
      <c r="C892" s="5" t="str">
        <f>IF(AND(ISNUMBER(Recruiting_Data!N892), ISNUMBER(Recruiting_Data!P892)), Recruiting_Data!N892 - Recruiting_Data!P892, "")</f>
        <v/>
      </c>
      <c r="E892" s="5" t="str">
        <f>IF(Recruiting_Data!R892="Open", TODAY() - Recruiting_Data!P892, "")</f>
        <v/>
      </c>
      <c r="F892" s="8" t="str">
        <f t="shared" si="1"/>
        <v/>
      </c>
      <c r="G892" s="5" t="str">
        <f>IF(A892="", "", IF(COUNTIF(Recruiting_Data!A:A, A892)&gt;1, TRUE, FALSE))</f>
        <v/>
      </c>
      <c r="H892" s="5" t="str">
        <f>IF(A892="", "", IF(OR(AND(Recruiting_Data!N892&lt;&gt;"", Recruiting_Data!J892&lt;&gt;"", Recruiting_Data!N892&lt;Recruiting_Data!J892), AND(Recruiting_Data!M892&lt;&gt;"", Recruiting_Data!L892&lt;&gt;"", Recruiting_Data!M892&lt;Recruiting_Data!L892), AND(Recruiting_Data!L892&lt;&gt;"", Recruiting_Data!K892&lt;&gt;"", Recruiting_Data!L892&lt;Recruiting_Data!K892)), TRUE, FALSE))</f>
        <v/>
      </c>
    </row>
    <row r="893">
      <c r="A893" s="5" t="str">
        <f>IF(Recruiting_Data!A893="", "", Recruiting_Data!A893)</f>
        <v/>
      </c>
      <c r="B893" s="5" t="str">
        <f>IF(Recruiting_Data!B893="", "", Recruiting_Data!B893)</f>
        <v/>
      </c>
      <c r="C893" s="5" t="str">
        <f>IF(AND(ISNUMBER(Recruiting_Data!N893), ISNUMBER(Recruiting_Data!P893)), Recruiting_Data!N893 - Recruiting_Data!P893, "")</f>
        <v/>
      </c>
      <c r="E893" s="5" t="str">
        <f>IF(Recruiting_Data!R893="Open", TODAY() - Recruiting_Data!P893, "")</f>
        <v/>
      </c>
      <c r="F893" s="8" t="str">
        <f t="shared" si="1"/>
        <v/>
      </c>
      <c r="G893" s="5" t="str">
        <f>IF(A893="", "", IF(COUNTIF(Recruiting_Data!A:A, A893)&gt;1, TRUE, FALSE))</f>
        <v/>
      </c>
      <c r="H893" s="5" t="str">
        <f>IF(A893="", "", IF(OR(AND(Recruiting_Data!N893&lt;&gt;"", Recruiting_Data!J893&lt;&gt;"", Recruiting_Data!N893&lt;Recruiting_Data!J893), AND(Recruiting_Data!M893&lt;&gt;"", Recruiting_Data!L893&lt;&gt;"", Recruiting_Data!M893&lt;Recruiting_Data!L893), AND(Recruiting_Data!L893&lt;&gt;"", Recruiting_Data!K893&lt;&gt;"", Recruiting_Data!L893&lt;Recruiting_Data!K893)), TRUE, FALSE))</f>
        <v/>
      </c>
    </row>
    <row r="894">
      <c r="A894" s="5" t="str">
        <f>IF(Recruiting_Data!A894="", "", Recruiting_Data!A894)</f>
        <v/>
      </c>
      <c r="B894" s="5" t="str">
        <f>IF(Recruiting_Data!B894="", "", Recruiting_Data!B894)</f>
        <v/>
      </c>
      <c r="C894" s="5" t="str">
        <f>IF(AND(ISNUMBER(Recruiting_Data!N894), ISNUMBER(Recruiting_Data!P894)), Recruiting_Data!N894 - Recruiting_Data!P894, "")</f>
        <v/>
      </c>
      <c r="E894" s="5" t="str">
        <f>IF(Recruiting_Data!R894="Open", TODAY() - Recruiting_Data!P894, "")</f>
        <v/>
      </c>
      <c r="F894" s="8" t="str">
        <f t="shared" si="1"/>
        <v/>
      </c>
      <c r="G894" s="5" t="str">
        <f>IF(A894="", "", IF(COUNTIF(Recruiting_Data!A:A, A894)&gt;1, TRUE, FALSE))</f>
        <v/>
      </c>
      <c r="H894" s="5" t="str">
        <f>IF(A894="", "", IF(OR(AND(Recruiting_Data!N894&lt;&gt;"", Recruiting_Data!J894&lt;&gt;"", Recruiting_Data!N894&lt;Recruiting_Data!J894), AND(Recruiting_Data!M894&lt;&gt;"", Recruiting_Data!L894&lt;&gt;"", Recruiting_Data!M894&lt;Recruiting_Data!L894), AND(Recruiting_Data!L894&lt;&gt;"", Recruiting_Data!K894&lt;&gt;"", Recruiting_Data!L894&lt;Recruiting_Data!K894)), TRUE, FALSE))</f>
        <v/>
      </c>
    </row>
    <row r="895">
      <c r="A895" s="5" t="str">
        <f>IF(Recruiting_Data!A895="", "", Recruiting_Data!A895)</f>
        <v/>
      </c>
      <c r="B895" s="5" t="str">
        <f>IF(Recruiting_Data!B895="", "", Recruiting_Data!B895)</f>
        <v/>
      </c>
      <c r="C895" s="5" t="str">
        <f>IF(AND(ISNUMBER(Recruiting_Data!N895), ISNUMBER(Recruiting_Data!P895)), Recruiting_Data!N895 - Recruiting_Data!P895, "")</f>
        <v/>
      </c>
      <c r="E895" s="5" t="str">
        <f>IF(Recruiting_Data!R895="Open", TODAY() - Recruiting_Data!P895, "")</f>
        <v/>
      </c>
      <c r="F895" s="8" t="str">
        <f t="shared" si="1"/>
        <v/>
      </c>
      <c r="G895" s="5" t="str">
        <f>IF(A895="", "", IF(COUNTIF(Recruiting_Data!A:A, A895)&gt;1, TRUE, FALSE))</f>
        <v/>
      </c>
      <c r="H895" s="5" t="str">
        <f>IF(A895="", "", IF(OR(AND(Recruiting_Data!N895&lt;&gt;"", Recruiting_Data!J895&lt;&gt;"", Recruiting_Data!N895&lt;Recruiting_Data!J895), AND(Recruiting_Data!M895&lt;&gt;"", Recruiting_Data!L895&lt;&gt;"", Recruiting_Data!M895&lt;Recruiting_Data!L895), AND(Recruiting_Data!L895&lt;&gt;"", Recruiting_Data!K895&lt;&gt;"", Recruiting_Data!L895&lt;Recruiting_Data!K895)), TRUE, FALSE))</f>
        <v/>
      </c>
    </row>
    <row r="896">
      <c r="A896" s="5" t="str">
        <f>IF(Recruiting_Data!A896="", "", Recruiting_Data!A896)</f>
        <v/>
      </c>
      <c r="B896" s="5" t="str">
        <f>IF(Recruiting_Data!B896="", "", Recruiting_Data!B896)</f>
        <v/>
      </c>
      <c r="C896" s="5" t="str">
        <f>IF(AND(ISNUMBER(Recruiting_Data!N896), ISNUMBER(Recruiting_Data!P896)), Recruiting_Data!N896 - Recruiting_Data!P896, "")</f>
        <v/>
      </c>
      <c r="E896" s="5" t="str">
        <f>IF(Recruiting_Data!R896="Open", TODAY() - Recruiting_Data!P896, "")</f>
        <v/>
      </c>
      <c r="F896" s="8" t="str">
        <f t="shared" si="1"/>
        <v/>
      </c>
      <c r="G896" s="5" t="str">
        <f>IF(A896="", "", IF(COUNTIF(Recruiting_Data!A:A, A896)&gt;1, TRUE, FALSE))</f>
        <v/>
      </c>
      <c r="H896" s="5" t="str">
        <f>IF(A896="", "", IF(OR(AND(Recruiting_Data!N896&lt;&gt;"", Recruiting_Data!J896&lt;&gt;"", Recruiting_Data!N896&lt;Recruiting_Data!J896), AND(Recruiting_Data!M896&lt;&gt;"", Recruiting_Data!L896&lt;&gt;"", Recruiting_Data!M896&lt;Recruiting_Data!L896), AND(Recruiting_Data!L896&lt;&gt;"", Recruiting_Data!K896&lt;&gt;"", Recruiting_Data!L896&lt;Recruiting_Data!K896)), TRUE, FALSE))</f>
        <v/>
      </c>
    </row>
    <row r="897">
      <c r="A897" s="5" t="str">
        <f>IF(Recruiting_Data!A897="", "", Recruiting_Data!A897)</f>
        <v/>
      </c>
      <c r="B897" s="5" t="str">
        <f>IF(Recruiting_Data!B897="", "", Recruiting_Data!B897)</f>
        <v/>
      </c>
      <c r="C897" s="5" t="str">
        <f>IF(AND(ISNUMBER(Recruiting_Data!N897), ISNUMBER(Recruiting_Data!P897)), Recruiting_Data!N897 - Recruiting_Data!P897, "")</f>
        <v/>
      </c>
      <c r="E897" s="5" t="str">
        <f>IF(Recruiting_Data!R897="Open", TODAY() - Recruiting_Data!P897, "")</f>
        <v/>
      </c>
      <c r="F897" s="8" t="str">
        <f t="shared" si="1"/>
        <v/>
      </c>
      <c r="G897" s="5" t="str">
        <f>IF(A897="", "", IF(COUNTIF(Recruiting_Data!A:A, A897)&gt;1, TRUE, FALSE))</f>
        <v/>
      </c>
      <c r="H897" s="5" t="str">
        <f>IF(A897="", "", IF(OR(AND(Recruiting_Data!N897&lt;&gt;"", Recruiting_Data!J897&lt;&gt;"", Recruiting_Data!N897&lt;Recruiting_Data!J897), AND(Recruiting_Data!M897&lt;&gt;"", Recruiting_Data!L897&lt;&gt;"", Recruiting_Data!M897&lt;Recruiting_Data!L897), AND(Recruiting_Data!L897&lt;&gt;"", Recruiting_Data!K897&lt;&gt;"", Recruiting_Data!L897&lt;Recruiting_Data!K897)), TRUE, FALSE))</f>
        <v/>
      </c>
    </row>
    <row r="898">
      <c r="A898" s="5" t="str">
        <f>IF(Recruiting_Data!A898="", "", Recruiting_Data!A898)</f>
        <v/>
      </c>
      <c r="B898" s="5" t="str">
        <f>IF(Recruiting_Data!B898="", "", Recruiting_Data!B898)</f>
        <v/>
      </c>
      <c r="C898" s="5" t="str">
        <f>IF(AND(ISNUMBER(Recruiting_Data!N898), ISNUMBER(Recruiting_Data!P898)), Recruiting_Data!N898 - Recruiting_Data!P898, "")</f>
        <v/>
      </c>
      <c r="E898" s="5" t="str">
        <f>IF(Recruiting_Data!R898="Open", TODAY() - Recruiting_Data!P898, "")</f>
        <v/>
      </c>
      <c r="F898" s="8" t="str">
        <f t="shared" si="1"/>
        <v/>
      </c>
      <c r="G898" s="5" t="str">
        <f>IF(A898="", "", IF(COUNTIF(Recruiting_Data!A:A, A898)&gt;1, TRUE, FALSE))</f>
        <v/>
      </c>
      <c r="H898" s="5" t="str">
        <f>IF(A898="", "", IF(OR(AND(Recruiting_Data!N898&lt;&gt;"", Recruiting_Data!J898&lt;&gt;"", Recruiting_Data!N898&lt;Recruiting_Data!J898), AND(Recruiting_Data!M898&lt;&gt;"", Recruiting_Data!L898&lt;&gt;"", Recruiting_Data!M898&lt;Recruiting_Data!L898), AND(Recruiting_Data!L898&lt;&gt;"", Recruiting_Data!K898&lt;&gt;"", Recruiting_Data!L898&lt;Recruiting_Data!K898)), TRUE, FALSE))</f>
        <v/>
      </c>
    </row>
    <row r="899">
      <c r="A899" s="5" t="str">
        <f>IF(Recruiting_Data!A899="", "", Recruiting_Data!A899)</f>
        <v/>
      </c>
      <c r="B899" s="5" t="str">
        <f>IF(Recruiting_Data!B899="", "", Recruiting_Data!B899)</f>
        <v/>
      </c>
      <c r="C899" s="5" t="str">
        <f>IF(AND(ISNUMBER(Recruiting_Data!N899), ISNUMBER(Recruiting_Data!P899)), Recruiting_Data!N899 - Recruiting_Data!P899, "")</f>
        <v/>
      </c>
      <c r="E899" s="5" t="str">
        <f>IF(Recruiting_Data!R899="Open", TODAY() - Recruiting_Data!P899, "")</f>
        <v/>
      </c>
      <c r="F899" s="8" t="str">
        <f t="shared" si="1"/>
        <v/>
      </c>
      <c r="G899" s="5" t="str">
        <f>IF(A899="", "", IF(COUNTIF(Recruiting_Data!A:A, A899)&gt;1, TRUE, FALSE))</f>
        <v/>
      </c>
      <c r="H899" s="5" t="str">
        <f>IF(A899="", "", IF(OR(AND(Recruiting_Data!N899&lt;&gt;"", Recruiting_Data!J899&lt;&gt;"", Recruiting_Data!N899&lt;Recruiting_Data!J899), AND(Recruiting_Data!M899&lt;&gt;"", Recruiting_Data!L899&lt;&gt;"", Recruiting_Data!M899&lt;Recruiting_Data!L899), AND(Recruiting_Data!L899&lt;&gt;"", Recruiting_Data!K899&lt;&gt;"", Recruiting_Data!L899&lt;Recruiting_Data!K899)), TRUE, FALSE))</f>
        <v/>
      </c>
    </row>
    <row r="900">
      <c r="A900" s="5" t="str">
        <f>IF(Recruiting_Data!A900="", "", Recruiting_Data!A900)</f>
        <v/>
      </c>
      <c r="B900" s="5" t="str">
        <f>IF(Recruiting_Data!B900="", "", Recruiting_Data!B900)</f>
        <v/>
      </c>
      <c r="C900" s="5" t="str">
        <f>IF(AND(ISNUMBER(Recruiting_Data!N900), ISNUMBER(Recruiting_Data!P900)), Recruiting_Data!N900 - Recruiting_Data!P900, "")</f>
        <v/>
      </c>
      <c r="E900" s="5" t="str">
        <f>IF(Recruiting_Data!R900="Open", TODAY() - Recruiting_Data!P900, "")</f>
        <v/>
      </c>
      <c r="F900" s="8" t="str">
        <f t="shared" si="1"/>
        <v/>
      </c>
      <c r="G900" s="5" t="str">
        <f>IF(A900="", "", IF(COUNTIF(Recruiting_Data!A:A, A900)&gt;1, TRUE, FALSE))</f>
        <v/>
      </c>
      <c r="H900" s="5" t="str">
        <f>IF(A900="", "", IF(OR(AND(Recruiting_Data!N900&lt;&gt;"", Recruiting_Data!J900&lt;&gt;"", Recruiting_Data!N900&lt;Recruiting_Data!J900), AND(Recruiting_Data!M900&lt;&gt;"", Recruiting_Data!L900&lt;&gt;"", Recruiting_Data!M900&lt;Recruiting_Data!L900), AND(Recruiting_Data!L900&lt;&gt;"", Recruiting_Data!K900&lt;&gt;"", Recruiting_Data!L900&lt;Recruiting_Data!K900)), TRUE, FALSE))</f>
        <v/>
      </c>
    </row>
    <row r="901">
      <c r="A901" s="5" t="str">
        <f>IF(Recruiting_Data!A901="", "", Recruiting_Data!A901)</f>
        <v/>
      </c>
      <c r="B901" s="5" t="str">
        <f>IF(Recruiting_Data!B901="", "", Recruiting_Data!B901)</f>
        <v/>
      </c>
      <c r="C901" s="5" t="str">
        <f>IF(AND(ISNUMBER(Recruiting_Data!N901), ISNUMBER(Recruiting_Data!P901)), Recruiting_Data!N901 - Recruiting_Data!P901, "")</f>
        <v/>
      </c>
      <c r="E901" s="5" t="str">
        <f>IF(Recruiting_Data!R901="Open", TODAY() - Recruiting_Data!P901, "")</f>
        <v/>
      </c>
      <c r="F901" s="8" t="str">
        <f t="shared" si="1"/>
        <v/>
      </c>
      <c r="G901" s="5" t="str">
        <f>IF(A901="", "", IF(COUNTIF(Recruiting_Data!A:A, A901)&gt;1, TRUE, FALSE))</f>
        <v/>
      </c>
      <c r="H901" s="5" t="str">
        <f>IF(A901="", "", IF(OR(AND(Recruiting_Data!N901&lt;&gt;"", Recruiting_Data!J901&lt;&gt;"", Recruiting_Data!N901&lt;Recruiting_Data!J901), AND(Recruiting_Data!M901&lt;&gt;"", Recruiting_Data!L901&lt;&gt;"", Recruiting_Data!M901&lt;Recruiting_Data!L901), AND(Recruiting_Data!L901&lt;&gt;"", Recruiting_Data!K901&lt;&gt;"", Recruiting_Data!L901&lt;Recruiting_Data!K901)), TRUE, FALSE))</f>
        <v/>
      </c>
    </row>
    <row r="902">
      <c r="A902" s="5" t="str">
        <f>IF(Recruiting_Data!A902="", "", Recruiting_Data!A902)</f>
        <v/>
      </c>
      <c r="B902" s="5" t="str">
        <f>IF(Recruiting_Data!B902="", "", Recruiting_Data!B902)</f>
        <v/>
      </c>
      <c r="C902" s="5" t="str">
        <f>IF(AND(ISNUMBER(Recruiting_Data!N902), ISNUMBER(Recruiting_Data!P902)), Recruiting_Data!N902 - Recruiting_Data!P902, "")</f>
        <v/>
      </c>
      <c r="E902" s="5" t="str">
        <f>IF(Recruiting_Data!R902="Open", TODAY() - Recruiting_Data!P902, "")</f>
        <v/>
      </c>
      <c r="F902" s="8" t="str">
        <f t="shared" si="1"/>
        <v/>
      </c>
      <c r="G902" s="5" t="str">
        <f>IF(A902="", "", IF(COUNTIF(Recruiting_Data!A:A, A902)&gt;1, TRUE, FALSE))</f>
        <v/>
      </c>
      <c r="H902" s="5" t="str">
        <f>IF(A902="", "", IF(OR(AND(Recruiting_Data!N902&lt;&gt;"", Recruiting_Data!J902&lt;&gt;"", Recruiting_Data!N902&lt;Recruiting_Data!J902), AND(Recruiting_Data!M902&lt;&gt;"", Recruiting_Data!L902&lt;&gt;"", Recruiting_Data!M902&lt;Recruiting_Data!L902), AND(Recruiting_Data!L902&lt;&gt;"", Recruiting_Data!K902&lt;&gt;"", Recruiting_Data!L902&lt;Recruiting_Data!K902)), TRUE, FALSE))</f>
        <v/>
      </c>
    </row>
    <row r="903">
      <c r="A903" s="5" t="str">
        <f>IF(Recruiting_Data!A903="", "", Recruiting_Data!A903)</f>
        <v/>
      </c>
      <c r="B903" s="5" t="str">
        <f>IF(Recruiting_Data!B903="", "", Recruiting_Data!B903)</f>
        <v/>
      </c>
      <c r="C903" s="5" t="str">
        <f>IF(AND(ISNUMBER(Recruiting_Data!N903), ISNUMBER(Recruiting_Data!P903)), Recruiting_Data!N903 - Recruiting_Data!P903, "")</f>
        <v/>
      </c>
      <c r="E903" s="5" t="str">
        <f>IF(Recruiting_Data!R903="Open", TODAY() - Recruiting_Data!P903, "")</f>
        <v/>
      </c>
      <c r="F903" s="8" t="str">
        <f t="shared" si="1"/>
        <v/>
      </c>
      <c r="G903" s="5" t="str">
        <f>IF(A903="", "", IF(COUNTIF(Recruiting_Data!A:A, A903)&gt;1, TRUE, FALSE))</f>
        <v/>
      </c>
      <c r="H903" s="5" t="str">
        <f>IF(A903="", "", IF(OR(AND(Recruiting_Data!N903&lt;&gt;"", Recruiting_Data!J903&lt;&gt;"", Recruiting_Data!N903&lt;Recruiting_Data!J903), AND(Recruiting_Data!M903&lt;&gt;"", Recruiting_Data!L903&lt;&gt;"", Recruiting_Data!M903&lt;Recruiting_Data!L903), AND(Recruiting_Data!L903&lt;&gt;"", Recruiting_Data!K903&lt;&gt;"", Recruiting_Data!L903&lt;Recruiting_Data!K903)), TRUE, FALSE))</f>
        <v/>
      </c>
    </row>
    <row r="904">
      <c r="A904" s="5" t="str">
        <f>IF(Recruiting_Data!A904="", "", Recruiting_Data!A904)</f>
        <v/>
      </c>
      <c r="B904" s="5" t="str">
        <f>IF(Recruiting_Data!B904="", "", Recruiting_Data!B904)</f>
        <v/>
      </c>
      <c r="C904" s="5" t="str">
        <f>IF(AND(ISNUMBER(Recruiting_Data!N904), ISNUMBER(Recruiting_Data!P904)), Recruiting_Data!N904 - Recruiting_Data!P904, "")</f>
        <v/>
      </c>
      <c r="E904" s="5" t="str">
        <f>IF(Recruiting_Data!R904="Open", TODAY() - Recruiting_Data!P904, "")</f>
        <v/>
      </c>
      <c r="F904" s="8" t="str">
        <f t="shared" si="1"/>
        <v/>
      </c>
      <c r="G904" s="5" t="str">
        <f>IF(A904="", "", IF(COUNTIF(Recruiting_Data!A:A, A904)&gt;1, TRUE, FALSE))</f>
        <v/>
      </c>
      <c r="H904" s="5" t="str">
        <f>IF(A904="", "", IF(OR(AND(Recruiting_Data!N904&lt;&gt;"", Recruiting_Data!J904&lt;&gt;"", Recruiting_Data!N904&lt;Recruiting_Data!J904), AND(Recruiting_Data!M904&lt;&gt;"", Recruiting_Data!L904&lt;&gt;"", Recruiting_Data!M904&lt;Recruiting_Data!L904), AND(Recruiting_Data!L904&lt;&gt;"", Recruiting_Data!K904&lt;&gt;"", Recruiting_Data!L904&lt;Recruiting_Data!K904)), TRUE, FALSE))</f>
        <v/>
      </c>
    </row>
    <row r="905">
      <c r="A905" s="5" t="str">
        <f>IF(Recruiting_Data!A905="", "", Recruiting_Data!A905)</f>
        <v/>
      </c>
      <c r="B905" s="5" t="str">
        <f>IF(Recruiting_Data!B905="", "", Recruiting_Data!B905)</f>
        <v/>
      </c>
      <c r="C905" s="5" t="str">
        <f>IF(AND(ISNUMBER(Recruiting_Data!N905), ISNUMBER(Recruiting_Data!P905)), Recruiting_Data!N905 - Recruiting_Data!P905, "")</f>
        <v/>
      </c>
      <c r="E905" s="5" t="str">
        <f>IF(Recruiting_Data!R905="Open", TODAY() - Recruiting_Data!P905, "")</f>
        <v/>
      </c>
      <c r="F905" s="8" t="str">
        <f t="shared" si="1"/>
        <v/>
      </c>
      <c r="G905" s="5" t="str">
        <f>IF(A905="", "", IF(COUNTIF(Recruiting_Data!A:A, A905)&gt;1, TRUE, FALSE))</f>
        <v/>
      </c>
      <c r="H905" s="5" t="str">
        <f>IF(A905="", "", IF(OR(AND(Recruiting_Data!N905&lt;&gt;"", Recruiting_Data!J905&lt;&gt;"", Recruiting_Data!N905&lt;Recruiting_Data!J905), AND(Recruiting_Data!M905&lt;&gt;"", Recruiting_Data!L905&lt;&gt;"", Recruiting_Data!M905&lt;Recruiting_Data!L905), AND(Recruiting_Data!L905&lt;&gt;"", Recruiting_Data!K905&lt;&gt;"", Recruiting_Data!L905&lt;Recruiting_Data!K905)), TRUE, FALSE))</f>
        <v/>
      </c>
    </row>
    <row r="906">
      <c r="A906" s="5" t="str">
        <f>IF(Recruiting_Data!A906="", "", Recruiting_Data!A906)</f>
        <v/>
      </c>
      <c r="B906" s="5" t="str">
        <f>IF(Recruiting_Data!B906="", "", Recruiting_Data!B906)</f>
        <v/>
      </c>
      <c r="C906" s="5" t="str">
        <f>IF(AND(ISNUMBER(Recruiting_Data!N906), ISNUMBER(Recruiting_Data!P906)), Recruiting_Data!N906 - Recruiting_Data!P906, "")</f>
        <v/>
      </c>
      <c r="E906" s="5" t="str">
        <f>IF(Recruiting_Data!R906="Open", TODAY() - Recruiting_Data!P906, "")</f>
        <v/>
      </c>
      <c r="F906" s="8" t="str">
        <f t="shared" si="1"/>
        <v/>
      </c>
      <c r="G906" s="5" t="str">
        <f>IF(A906="", "", IF(COUNTIF(Recruiting_Data!A:A, A906)&gt;1, TRUE, FALSE))</f>
        <v/>
      </c>
      <c r="H906" s="5" t="str">
        <f>IF(A906="", "", IF(OR(AND(Recruiting_Data!N906&lt;&gt;"", Recruiting_Data!J906&lt;&gt;"", Recruiting_Data!N906&lt;Recruiting_Data!J906), AND(Recruiting_Data!M906&lt;&gt;"", Recruiting_Data!L906&lt;&gt;"", Recruiting_Data!M906&lt;Recruiting_Data!L906), AND(Recruiting_Data!L906&lt;&gt;"", Recruiting_Data!K906&lt;&gt;"", Recruiting_Data!L906&lt;Recruiting_Data!K906)), TRUE, FALSE))</f>
        <v/>
      </c>
    </row>
    <row r="907">
      <c r="A907" s="5" t="str">
        <f>IF(Recruiting_Data!A907="", "", Recruiting_Data!A907)</f>
        <v/>
      </c>
      <c r="B907" s="5" t="str">
        <f>IF(Recruiting_Data!B907="", "", Recruiting_Data!B907)</f>
        <v/>
      </c>
      <c r="C907" s="5" t="str">
        <f>IF(AND(ISNUMBER(Recruiting_Data!N907), ISNUMBER(Recruiting_Data!P907)), Recruiting_Data!N907 - Recruiting_Data!P907, "")</f>
        <v/>
      </c>
      <c r="E907" s="5" t="str">
        <f>IF(Recruiting_Data!R907="Open", TODAY() - Recruiting_Data!P907, "")</f>
        <v/>
      </c>
      <c r="F907" s="8" t="str">
        <f t="shared" si="1"/>
        <v/>
      </c>
      <c r="G907" s="5" t="str">
        <f>IF(A907="", "", IF(COUNTIF(Recruiting_Data!A:A, A907)&gt;1, TRUE, FALSE))</f>
        <v/>
      </c>
      <c r="H907" s="5" t="str">
        <f>IF(A907="", "", IF(OR(AND(Recruiting_Data!N907&lt;&gt;"", Recruiting_Data!J907&lt;&gt;"", Recruiting_Data!N907&lt;Recruiting_Data!J907), AND(Recruiting_Data!M907&lt;&gt;"", Recruiting_Data!L907&lt;&gt;"", Recruiting_Data!M907&lt;Recruiting_Data!L907), AND(Recruiting_Data!L907&lt;&gt;"", Recruiting_Data!K907&lt;&gt;"", Recruiting_Data!L907&lt;Recruiting_Data!K907)), TRUE, FALSE))</f>
        <v/>
      </c>
    </row>
    <row r="908">
      <c r="A908" s="5" t="str">
        <f>IF(Recruiting_Data!A908="", "", Recruiting_Data!A908)</f>
        <v/>
      </c>
      <c r="B908" s="5" t="str">
        <f>IF(Recruiting_Data!B908="", "", Recruiting_Data!B908)</f>
        <v/>
      </c>
      <c r="C908" s="5" t="str">
        <f>IF(AND(ISNUMBER(Recruiting_Data!N908), ISNUMBER(Recruiting_Data!P908)), Recruiting_Data!N908 - Recruiting_Data!P908, "")</f>
        <v/>
      </c>
      <c r="E908" s="5" t="str">
        <f>IF(Recruiting_Data!R908="Open", TODAY() - Recruiting_Data!P908, "")</f>
        <v/>
      </c>
      <c r="F908" s="8" t="str">
        <f t="shared" si="1"/>
        <v/>
      </c>
      <c r="G908" s="5" t="str">
        <f>IF(A908="", "", IF(COUNTIF(Recruiting_Data!A:A, A908)&gt;1, TRUE, FALSE))</f>
        <v/>
      </c>
      <c r="H908" s="5" t="str">
        <f>IF(A908="", "", IF(OR(AND(Recruiting_Data!N908&lt;&gt;"", Recruiting_Data!J908&lt;&gt;"", Recruiting_Data!N908&lt;Recruiting_Data!J908), AND(Recruiting_Data!M908&lt;&gt;"", Recruiting_Data!L908&lt;&gt;"", Recruiting_Data!M908&lt;Recruiting_Data!L908), AND(Recruiting_Data!L908&lt;&gt;"", Recruiting_Data!K908&lt;&gt;"", Recruiting_Data!L908&lt;Recruiting_Data!K908)), TRUE, FALSE))</f>
        <v/>
      </c>
    </row>
    <row r="909">
      <c r="A909" s="5" t="str">
        <f>IF(Recruiting_Data!A909="", "", Recruiting_Data!A909)</f>
        <v/>
      </c>
      <c r="B909" s="5" t="str">
        <f>IF(Recruiting_Data!B909="", "", Recruiting_Data!B909)</f>
        <v/>
      </c>
      <c r="C909" s="5" t="str">
        <f>IF(AND(ISNUMBER(Recruiting_Data!N909), ISNUMBER(Recruiting_Data!P909)), Recruiting_Data!N909 - Recruiting_Data!P909, "")</f>
        <v/>
      </c>
      <c r="E909" s="5" t="str">
        <f>IF(Recruiting_Data!R909="Open", TODAY() - Recruiting_Data!P909, "")</f>
        <v/>
      </c>
      <c r="F909" s="8" t="str">
        <f t="shared" si="1"/>
        <v/>
      </c>
      <c r="G909" s="5" t="str">
        <f>IF(A909="", "", IF(COUNTIF(Recruiting_Data!A:A, A909)&gt;1, TRUE, FALSE))</f>
        <v/>
      </c>
      <c r="H909" s="5" t="str">
        <f>IF(A909="", "", IF(OR(AND(Recruiting_Data!N909&lt;&gt;"", Recruiting_Data!J909&lt;&gt;"", Recruiting_Data!N909&lt;Recruiting_Data!J909), AND(Recruiting_Data!M909&lt;&gt;"", Recruiting_Data!L909&lt;&gt;"", Recruiting_Data!M909&lt;Recruiting_Data!L909), AND(Recruiting_Data!L909&lt;&gt;"", Recruiting_Data!K909&lt;&gt;"", Recruiting_Data!L909&lt;Recruiting_Data!K909)), TRUE, FALSE))</f>
        <v/>
      </c>
    </row>
    <row r="910">
      <c r="A910" s="5" t="str">
        <f>IF(Recruiting_Data!A910="", "", Recruiting_Data!A910)</f>
        <v/>
      </c>
      <c r="B910" s="5" t="str">
        <f>IF(Recruiting_Data!B910="", "", Recruiting_Data!B910)</f>
        <v/>
      </c>
      <c r="C910" s="5" t="str">
        <f>IF(AND(ISNUMBER(Recruiting_Data!N910), ISNUMBER(Recruiting_Data!P910)), Recruiting_Data!N910 - Recruiting_Data!P910, "")</f>
        <v/>
      </c>
      <c r="E910" s="5" t="str">
        <f>IF(Recruiting_Data!R910="Open", TODAY() - Recruiting_Data!P910, "")</f>
        <v/>
      </c>
      <c r="F910" s="8" t="str">
        <f t="shared" si="1"/>
        <v/>
      </c>
      <c r="G910" s="5" t="str">
        <f>IF(A910="", "", IF(COUNTIF(Recruiting_Data!A:A, A910)&gt;1, TRUE, FALSE))</f>
        <v/>
      </c>
      <c r="H910" s="5" t="str">
        <f>IF(A910="", "", IF(OR(AND(Recruiting_Data!N910&lt;&gt;"", Recruiting_Data!J910&lt;&gt;"", Recruiting_Data!N910&lt;Recruiting_Data!J910), AND(Recruiting_Data!M910&lt;&gt;"", Recruiting_Data!L910&lt;&gt;"", Recruiting_Data!M910&lt;Recruiting_Data!L910), AND(Recruiting_Data!L910&lt;&gt;"", Recruiting_Data!K910&lt;&gt;"", Recruiting_Data!L910&lt;Recruiting_Data!K910)), TRUE, FALSE))</f>
        <v/>
      </c>
    </row>
    <row r="911">
      <c r="A911" s="5" t="str">
        <f>IF(Recruiting_Data!A911="", "", Recruiting_Data!A911)</f>
        <v/>
      </c>
      <c r="B911" s="5" t="str">
        <f>IF(Recruiting_Data!B911="", "", Recruiting_Data!B911)</f>
        <v/>
      </c>
      <c r="C911" s="5" t="str">
        <f>IF(AND(ISNUMBER(Recruiting_Data!N911), ISNUMBER(Recruiting_Data!P911)), Recruiting_Data!N911 - Recruiting_Data!P911, "")</f>
        <v/>
      </c>
      <c r="E911" s="5" t="str">
        <f>IF(Recruiting_Data!R911="Open", TODAY() - Recruiting_Data!P911, "")</f>
        <v/>
      </c>
      <c r="F911" s="8" t="str">
        <f t="shared" si="1"/>
        <v/>
      </c>
      <c r="G911" s="5" t="str">
        <f>IF(A911="", "", IF(COUNTIF(Recruiting_Data!A:A, A911)&gt;1, TRUE, FALSE))</f>
        <v/>
      </c>
      <c r="H911" s="5" t="str">
        <f>IF(A911="", "", IF(OR(AND(Recruiting_Data!N911&lt;&gt;"", Recruiting_Data!J911&lt;&gt;"", Recruiting_Data!N911&lt;Recruiting_Data!J911), AND(Recruiting_Data!M911&lt;&gt;"", Recruiting_Data!L911&lt;&gt;"", Recruiting_Data!M911&lt;Recruiting_Data!L911), AND(Recruiting_Data!L911&lt;&gt;"", Recruiting_Data!K911&lt;&gt;"", Recruiting_Data!L911&lt;Recruiting_Data!K911)), TRUE, FALSE))</f>
        <v/>
      </c>
    </row>
    <row r="912">
      <c r="A912" s="5" t="str">
        <f>IF(Recruiting_Data!A912="", "", Recruiting_Data!A912)</f>
        <v/>
      </c>
      <c r="B912" s="5" t="str">
        <f>IF(Recruiting_Data!B912="", "", Recruiting_Data!B912)</f>
        <v/>
      </c>
      <c r="C912" s="5" t="str">
        <f>IF(AND(ISNUMBER(Recruiting_Data!N912), ISNUMBER(Recruiting_Data!P912)), Recruiting_Data!N912 - Recruiting_Data!P912, "")</f>
        <v/>
      </c>
      <c r="E912" s="5" t="str">
        <f>IF(Recruiting_Data!R912="Open", TODAY() - Recruiting_Data!P912, "")</f>
        <v/>
      </c>
      <c r="F912" s="8" t="str">
        <f t="shared" si="1"/>
        <v/>
      </c>
      <c r="G912" s="5" t="str">
        <f>IF(A912="", "", IF(COUNTIF(Recruiting_Data!A:A, A912)&gt;1, TRUE, FALSE))</f>
        <v/>
      </c>
      <c r="H912" s="5" t="str">
        <f>IF(A912="", "", IF(OR(AND(Recruiting_Data!N912&lt;&gt;"", Recruiting_Data!J912&lt;&gt;"", Recruiting_Data!N912&lt;Recruiting_Data!J912), AND(Recruiting_Data!M912&lt;&gt;"", Recruiting_Data!L912&lt;&gt;"", Recruiting_Data!M912&lt;Recruiting_Data!L912), AND(Recruiting_Data!L912&lt;&gt;"", Recruiting_Data!K912&lt;&gt;"", Recruiting_Data!L912&lt;Recruiting_Data!K912)), TRUE, FALSE))</f>
        <v/>
      </c>
    </row>
    <row r="913">
      <c r="A913" s="5" t="str">
        <f>IF(Recruiting_Data!A913="", "", Recruiting_Data!A913)</f>
        <v/>
      </c>
      <c r="B913" s="5" t="str">
        <f>IF(Recruiting_Data!B913="", "", Recruiting_Data!B913)</f>
        <v/>
      </c>
      <c r="C913" s="5" t="str">
        <f>IF(AND(ISNUMBER(Recruiting_Data!N913), ISNUMBER(Recruiting_Data!P913)), Recruiting_Data!N913 - Recruiting_Data!P913, "")</f>
        <v/>
      </c>
      <c r="E913" s="5" t="str">
        <f>IF(Recruiting_Data!R913="Open", TODAY() - Recruiting_Data!P913, "")</f>
        <v/>
      </c>
      <c r="F913" s="8" t="str">
        <f t="shared" si="1"/>
        <v/>
      </c>
      <c r="G913" s="5" t="str">
        <f>IF(A913="", "", IF(COUNTIF(Recruiting_Data!A:A, A913)&gt;1, TRUE, FALSE))</f>
        <v/>
      </c>
      <c r="H913" s="5" t="str">
        <f>IF(A913="", "", IF(OR(AND(Recruiting_Data!N913&lt;&gt;"", Recruiting_Data!J913&lt;&gt;"", Recruiting_Data!N913&lt;Recruiting_Data!J913), AND(Recruiting_Data!M913&lt;&gt;"", Recruiting_Data!L913&lt;&gt;"", Recruiting_Data!M913&lt;Recruiting_Data!L913), AND(Recruiting_Data!L913&lt;&gt;"", Recruiting_Data!K913&lt;&gt;"", Recruiting_Data!L913&lt;Recruiting_Data!K913)), TRUE, FALSE))</f>
        <v/>
      </c>
    </row>
    <row r="914">
      <c r="A914" s="5" t="str">
        <f>IF(Recruiting_Data!A914="", "", Recruiting_Data!A914)</f>
        <v/>
      </c>
      <c r="B914" s="5" t="str">
        <f>IF(Recruiting_Data!B914="", "", Recruiting_Data!B914)</f>
        <v/>
      </c>
      <c r="C914" s="5" t="str">
        <f>IF(AND(ISNUMBER(Recruiting_Data!N914), ISNUMBER(Recruiting_Data!P914)), Recruiting_Data!N914 - Recruiting_Data!P914, "")</f>
        <v/>
      </c>
      <c r="E914" s="5" t="str">
        <f>IF(Recruiting_Data!R914="Open", TODAY() - Recruiting_Data!P914, "")</f>
        <v/>
      </c>
      <c r="F914" s="8" t="str">
        <f t="shared" si="1"/>
        <v/>
      </c>
      <c r="G914" s="5" t="str">
        <f>IF(A914="", "", IF(COUNTIF(Recruiting_Data!A:A, A914)&gt;1, TRUE, FALSE))</f>
        <v/>
      </c>
      <c r="H914" s="5" t="str">
        <f>IF(A914="", "", IF(OR(AND(Recruiting_Data!N914&lt;&gt;"", Recruiting_Data!J914&lt;&gt;"", Recruiting_Data!N914&lt;Recruiting_Data!J914), AND(Recruiting_Data!M914&lt;&gt;"", Recruiting_Data!L914&lt;&gt;"", Recruiting_Data!M914&lt;Recruiting_Data!L914), AND(Recruiting_Data!L914&lt;&gt;"", Recruiting_Data!K914&lt;&gt;"", Recruiting_Data!L914&lt;Recruiting_Data!K914)), TRUE, FALSE))</f>
        <v/>
      </c>
    </row>
    <row r="915">
      <c r="A915" s="5" t="str">
        <f>IF(Recruiting_Data!A915="", "", Recruiting_Data!A915)</f>
        <v/>
      </c>
      <c r="B915" s="5" t="str">
        <f>IF(Recruiting_Data!B915="", "", Recruiting_Data!B915)</f>
        <v/>
      </c>
      <c r="C915" s="5" t="str">
        <f>IF(AND(ISNUMBER(Recruiting_Data!N915), ISNUMBER(Recruiting_Data!P915)), Recruiting_Data!N915 - Recruiting_Data!P915, "")</f>
        <v/>
      </c>
      <c r="E915" s="5" t="str">
        <f>IF(Recruiting_Data!R915="Open", TODAY() - Recruiting_Data!P915, "")</f>
        <v/>
      </c>
      <c r="F915" s="8" t="str">
        <f t="shared" si="1"/>
        <v/>
      </c>
      <c r="G915" s="5" t="str">
        <f>IF(A915="", "", IF(COUNTIF(Recruiting_Data!A:A, A915)&gt;1, TRUE, FALSE))</f>
        <v/>
      </c>
      <c r="H915" s="5" t="str">
        <f>IF(A915="", "", IF(OR(AND(Recruiting_Data!N915&lt;&gt;"", Recruiting_Data!J915&lt;&gt;"", Recruiting_Data!N915&lt;Recruiting_Data!J915), AND(Recruiting_Data!M915&lt;&gt;"", Recruiting_Data!L915&lt;&gt;"", Recruiting_Data!M915&lt;Recruiting_Data!L915), AND(Recruiting_Data!L915&lt;&gt;"", Recruiting_Data!K915&lt;&gt;"", Recruiting_Data!L915&lt;Recruiting_Data!K915)), TRUE, FALSE))</f>
        <v/>
      </c>
    </row>
    <row r="916">
      <c r="A916" s="5" t="str">
        <f>IF(Recruiting_Data!A916="", "", Recruiting_Data!A916)</f>
        <v/>
      </c>
      <c r="B916" s="5" t="str">
        <f>IF(Recruiting_Data!B916="", "", Recruiting_Data!B916)</f>
        <v/>
      </c>
      <c r="C916" s="5" t="str">
        <f>IF(AND(ISNUMBER(Recruiting_Data!N916), ISNUMBER(Recruiting_Data!P916)), Recruiting_Data!N916 - Recruiting_Data!P916, "")</f>
        <v/>
      </c>
      <c r="E916" s="5" t="str">
        <f>IF(Recruiting_Data!R916="Open", TODAY() - Recruiting_Data!P916, "")</f>
        <v/>
      </c>
      <c r="F916" s="8" t="str">
        <f t="shared" si="1"/>
        <v/>
      </c>
      <c r="G916" s="5" t="str">
        <f>IF(A916="", "", IF(COUNTIF(Recruiting_Data!A:A, A916)&gt;1, TRUE, FALSE))</f>
        <v/>
      </c>
      <c r="H916" s="5" t="str">
        <f>IF(A916="", "", IF(OR(AND(Recruiting_Data!N916&lt;&gt;"", Recruiting_Data!J916&lt;&gt;"", Recruiting_Data!N916&lt;Recruiting_Data!J916), AND(Recruiting_Data!M916&lt;&gt;"", Recruiting_Data!L916&lt;&gt;"", Recruiting_Data!M916&lt;Recruiting_Data!L916), AND(Recruiting_Data!L916&lt;&gt;"", Recruiting_Data!K916&lt;&gt;"", Recruiting_Data!L916&lt;Recruiting_Data!K916)), TRUE, FALSE))</f>
        <v/>
      </c>
    </row>
    <row r="917">
      <c r="A917" s="5" t="str">
        <f>IF(Recruiting_Data!A917="", "", Recruiting_Data!A917)</f>
        <v/>
      </c>
      <c r="B917" s="5" t="str">
        <f>IF(Recruiting_Data!B917="", "", Recruiting_Data!B917)</f>
        <v/>
      </c>
      <c r="C917" s="5" t="str">
        <f>IF(AND(ISNUMBER(Recruiting_Data!N917), ISNUMBER(Recruiting_Data!P917)), Recruiting_Data!N917 - Recruiting_Data!P917, "")</f>
        <v/>
      </c>
      <c r="E917" s="5" t="str">
        <f>IF(Recruiting_Data!R917="Open", TODAY() - Recruiting_Data!P917, "")</f>
        <v/>
      </c>
      <c r="F917" s="8" t="str">
        <f t="shared" si="1"/>
        <v/>
      </c>
      <c r="G917" s="5" t="str">
        <f>IF(A917="", "", IF(COUNTIF(Recruiting_Data!A:A, A917)&gt;1, TRUE, FALSE))</f>
        <v/>
      </c>
      <c r="H917" s="5" t="str">
        <f>IF(A917="", "", IF(OR(AND(Recruiting_Data!N917&lt;&gt;"", Recruiting_Data!J917&lt;&gt;"", Recruiting_Data!N917&lt;Recruiting_Data!J917), AND(Recruiting_Data!M917&lt;&gt;"", Recruiting_Data!L917&lt;&gt;"", Recruiting_Data!M917&lt;Recruiting_Data!L917), AND(Recruiting_Data!L917&lt;&gt;"", Recruiting_Data!K917&lt;&gt;"", Recruiting_Data!L917&lt;Recruiting_Data!K917)), TRUE, FALSE))</f>
        <v/>
      </c>
    </row>
    <row r="918">
      <c r="A918" s="5" t="str">
        <f>IF(Recruiting_Data!A918="", "", Recruiting_Data!A918)</f>
        <v/>
      </c>
      <c r="B918" s="5" t="str">
        <f>IF(Recruiting_Data!B918="", "", Recruiting_Data!B918)</f>
        <v/>
      </c>
      <c r="C918" s="5" t="str">
        <f>IF(AND(ISNUMBER(Recruiting_Data!N918), ISNUMBER(Recruiting_Data!P918)), Recruiting_Data!N918 - Recruiting_Data!P918, "")</f>
        <v/>
      </c>
      <c r="E918" s="5" t="str">
        <f>IF(Recruiting_Data!R918="Open", TODAY() - Recruiting_Data!P918, "")</f>
        <v/>
      </c>
      <c r="F918" s="8" t="str">
        <f t="shared" si="1"/>
        <v/>
      </c>
      <c r="G918" s="5" t="str">
        <f>IF(A918="", "", IF(COUNTIF(Recruiting_Data!A:A, A918)&gt;1, TRUE, FALSE))</f>
        <v/>
      </c>
      <c r="H918" s="5" t="str">
        <f>IF(A918="", "", IF(OR(AND(Recruiting_Data!N918&lt;&gt;"", Recruiting_Data!J918&lt;&gt;"", Recruiting_Data!N918&lt;Recruiting_Data!J918), AND(Recruiting_Data!M918&lt;&gt;"", Recruiting_Data!L918&lt;&gt;"", Recruiting_Data!M918&lt;Recruiting_Data!L918), AND(Recruiting_Data!L918&lt;&gt;"", Recruiting_Data!K918&lt;&gt;"", Recruiting_Data!L918&lt;Recruiting_Data!K918)), TRUE, FALSE))</f>
        <v/>
      </c>
    </row>
    <row r="919">
      <c r="A919" s="5" t="str">
        <f>IF(Recruiting_Data!A919="", "", Recruiting_Data!A919)</f>
        <v/>
      </c>
      <c r="B919" s="5" t="str">
        <f>IF(Recruiting_Data!B919="", "", Recruiting_Data!B919)</f>
        <v/>
      </c>
      <c r="C919" s="5" t="str">
        <f>IF(AND(ISNUMBER(Recruiting_Data!N919), ISNUMBER(Recruiting_Data!P919)), Recruiting_Data!N919 - Recruiting_Data!P919, "")</f>
        <v/>
      </c>
      <c r="E919" s="5" t="str">
        <f>IF(Recruiting_Data!R919="Open", TODAY() - Recruiting_Data!P919, "")</f>
        <v/>
      </c>
      <c r="F919" s="8" t="str">
        <f t="shared" si="1"/>
        <v/>
      </c>
      <c r="G919" s="5" t="str">
        <f>IF(A919="", "", IF(COUNTIF(Recruiting_Data!A:A, A919)&gt;1, TRUE, FALSE))</f>
        <v/>
      </c>
      <c r="H919" s="5" t="str">
        <f>IF(A919="", "", IF(OR(AND(Recruiting_Data!N919&lt;&gt;"", Recruiting_Data!J919&lt;&gt;"", Recruiting_Data!N919&lt;Recruiting_Data!J919), AND(Recruiting_Data!M919&lt;&gt;"", Recruiting_Data!L919&lt;&gt;"", Recruiting_Data!M919&lt;Recruiting_Data!L919), AND(Recruiting_Data!L919&lt;&gt;"", Recruiting_Data!K919&lt;&gt;"", Recruiting_Data!L919&lt;Recruiting_Data!K919)), TRUE, FALSE))</f>
        <v/>
      </c>
    </row>
    <row r="920">
      <c r="A920" s="5" t="str">
        <f>IF(Recruiting_Data!A920="", "", Recruiting_Data!A920)</f>
        <v/>
      </c>
      <c r="B920" s="5" t="str">
        <f>IF(Recruiting_Data!B920="", "", Recruiting_Data!B920)</f>
        <v/>
      </c>
      <c r="C920" s="5" t="str">
        <f>IF(AND(ISNUMBER(Recruiting_Data!N920), ISNUMBER(Recruiting_Data!P920)), Recruiting_Data!N920 - Recruiting_Data!P920, "")</f>
        <v/>
      </c>
      <c r="E920" s="5" t="str">
        <f>IF(Recruiting_Data!R920="Open", TODAY() - Recruiting_Data!P920, "")</f>
        <v/>
      </c>
      <c r="F920" s="8" t="str">
        <f t="shared" si="1"/>
        <v/>
      </c>
      <c r="G920" s="5" t="str">
        <f>IF(A920="", "", IF(COUNTIF(Recruiting_Data!A:A, A920)&gt;1, TRUE, FALSE))</f>
        <v/>
      </c>
      <c r="H920" s="5" t="str">
        <f>IF(A920="", "", IF(OR(AND(Recruiting_Data!N920&lt;&gt;"", Recruiting_Data!J920&lt;&gt;"", Recruiting_Data!N920&lt;Recruiting_Data!J920), AND(Recruiting_Data!M920&lt;&gt;"", Recruiting_Data!L920&lt;&gt;"", Recruiting_Data!M920&lt;Recruiting_Data!L920), AND(Recruiting_Data!L920&lt;&gt;"", Recruiting_Data!K920&lt;&gt;"", Recruiting_Data!L920&lt;Recruiting_Data!K920)), TRUE, FALSE))</f>
        <v/>
      </c>
    </row>
    <row r="921">
      <c r="A921" s="5" t="str">
        <f>IF(Recruiting_Data!A921="", "", Recruiting_Data!A921)</f>
        <v/>
      </c>
      <c r="B921" s="5" t="str">
        <f>IF(Recruiting_Data!B921="", "", Recruiting_Data!B921)</f>
        <v/>
      </c>
      <c r="C921" s="5" t="str">
        <f>IF(AND(ISNUMBER(Recruiting_Data!N921), ISNUMBER(Recruiting_Data!P921)), Recruiting_Data!N921 - Recruiting_Data!P921, "")</f>
        <v/>
      </c>
      <c r="E921" s="5" t="str">
        <f>IF(Recruiting_Data!R921="Open", TODAY() - Recruiting_Data!P921, "")</f>
        <v/>
      </c>
      <c r="F921" s="8" t="str">
        <f t="shared" si="1"/>
        <v/>
      </c>
      <c r="G921" s="5" t="str">
        <f>IF(A921="", "", IF(COUNTIF(Recruiting_Data!A:A, A921)&gt;1, TRUE, FALSE))</f>
        <v/>
      </c>
      <c r="H921" s="5" t="str">
        <f>IF(A921="", "", IF(OR(AND(Recruiting_Data!N921&lt;&gt;"", Recruiting_Data!J921&lt;&gt;"", Recruiting_Data!N921&lt;Recruiting_Data!J921), AND(Recruiting_Data!M921&lt;&gt;"", Recruiting_Data!L921&lt;&gt;"", Recruiting_Data!M921&lt;Recruiting_Data!L921), AND(Recruiting_Data!L921&lt;&gt;"", Recruiting_Data!K921&lt;&gt;"", Recruiting_Data!L921&lt;Recruiting_Data!K921)), TRUE, FALSE))</f>
        <v/>
      </c>
    </row>
    <row r="922">
      <c r="A922" s="5" t="str">
        <f>IF(Recruiting_Data!A922="", "", Recruiting_Data!A922)</f>
        <v/>
      </c>
      <c r="B922" s="5" t="str">
        <f>IF(Recruiting_Data!B922="", "", Recruiting_Data!B922)</f>
        <v/>
      </c>
      <c r="C922" s="5" t="str">
        <f>IF(AND(ISNUMBER(Recruiting_Data!N922), ISNUMBER(Recruiting_Data!P922)), Recruiting_Data!N922 - Recruiting_Data!P922, "")</f>
        <v/>
      </c>
      <c r="E922" s="5" t="str">
        <f>IF(Recruiting_Data!R922="Open", TODAY() - Recruiting_Data!P922, "")</f>
        <v/>
      </c>
      <c r="F922" s="8" t="str">
        <f t="shared" si="1"/>
        <v/>
      </c>
      <c r="G922" s="5" t="str">
        <f>IF(A922="", "", IF(COUNTIF(Recruiting_Data!A:A, A922)&gt;1, TRUE, FALSE))</f>
        <v/>
      </c>
      <c r="H922" s="5" t="str">
        <f>IF(A922="", "", IF(OR(AND(Recruiting_Data!N922&lt;&gt;"", Recruiting_Data!J922&lt;&gt;"", Recruiting_Data!N922&lt;Recruiting_Data!J922), AND(Recruiting_Data!M922&lt;&gt;"", Recruiting_Data!L922&lt;&gt;"", Recruiting_Data!M922&lt;Recruiting_Data!L922), AND(Recruiting_Data!L922&lt;&gt;"", Recruiting_Data!K922&lt;&gt;"", Recruiting_Data!L922&lt;Recruiting_Data!K922)), TRUE, FALSE))</f>
        <v/>
      </c>
    </row>
    <row r="923">
      <c r="A923" s="5" t="str">
        <f>IF(Recruiting_Data!A923="", "", Recruiting_Data!A923)</f>
        <v/>
      </c>
      <c r="B923" s="5" t="str">
        <f>IF(Recruiting_Data!B923="", "", Recruiting_Data!B923)</f>
        <v/>
      </c>
      <c r="C923" s="5" t="str">
        <f>IF(AND(ISNUMBER(Recruiting_Data!N923), ISNUMBER(Recruiting_Data!P923)), Recruiting_Data!N923 - Recruiting_Data!P923, "")</f>
        <v/>
      </c>
      <c r="E923" s="5" t="str">
        <f>IF(Recruiting_Data!R923="Open", TODAY() - Recruiting_Data!P923, "")</f>
        <v/>
      </c>
      <c r="F923" s="8" t="str">
        <f t="shared" si="1"/>
        <v/>
      </c>
      <c r="G923" s="5" t="str">
        <f>IF(A923="", "", IF(COUNTIF(Recruiting_Data!A:A, A923)&gt;1, TRUE, FALSE))</f>
        <v/>
      </c>
      <c r="H923" s="5" t="str">
        <f>IF(A923="", "", IF(OR(AND(Recruiting_Data!N923&lt;&gt;"", Recruiting_Data!J923&lt;&gt;"", Recruiting_Data!N923&lt;Recruiting_Data!J923), AND(Recruiting_Data!M923&lt;&gt;"", Recruiting_Data!L923&lt;&gt;"", Recruiting_Data!M923&lt;Recruiting_Data!L923), AND(Recruiting_Data!L923&lt;&gt;"", Recruiting_Data!K923&lt;&gt;"", Recruiting_Data!L923&lt;Recruiting_Data!K923)), TRUE, FALSE))</f>
        <v/>
      </c>
    </row>
    <row r="924">
      <c r="A924" s="5" t="str">
        <f>IF(Recruiting_Data!A924="", "", Recruiting_Data!A924)</f>
        <v/>
      </c>
      <c r="B924" s="5" t="str">
        <f>IF(Recruiting_Data!B924="", "", Recruiting_Data!B924)</f>
        <v/>
      </c>
      <c r="C924" s="5" t="str">
        <f>IF(AND(ISNUMBER(Recruiting_Data!N924), ISNUMBER(Recruiting_Data!P924)), Recruiting_Data!N924 - Recruiting_Data!P924, "")</f>
        <v/>
      </c>
      <c r="E924" s="5" t="str">
        <f>IF(Recruiting_Data!R924="Open", TODAY() - Recruiting_Data!P924, "")</f>
        <v/>
      </c>
      <c r="F924" s="8" t="str">
        <f t="shared" si="1"/>
        <v/>
      </c>
      <c r="G924" s="5" t="str">
        <f>IF(A924="", "", IF(COUNTIF(Recruiting_Data!A:A, A924)&gt;1, TRUE, FALSE))</f>
        <v/>
      </c>
      <c r="H924" s="5" t="str">
        <f>IF(A924="", "", IF(OR(AND(Recruiting_Data!N924&lt;&gt;"", Recruiting_Data!J924&lt;&gt;"", Recruiting_Data!N924&lt;Recruiting_Data!J924), AND(Recruiting_Data!M924&lt;&gt;"", Recruiting_Data!L924&lt;&gt;"", Recruiting_Data!M924&lt;Recruiting_Data!L924), AND(Recruiting_Data!L924&lt;&gt;"", Recruiting_Data!K924&lt;&gt;"", Recruiting_Data!L924&lt;Recruiting_Data!K924)), TRUE, FALSE))</f>
        <v/>
      </c>
    </row>
    <row r="925">
      <c r="A925" s="5" t="str">
        <f>IF(Recruiting_Data!A925="", "", Recruiting_Data!A925)</f>
        <v/>
      </c>
      <c r="B925" s="5" t="str">
        <f>IF(Recruiting_Data!B925="", "", Recruiting_Data!B925)</f>
        <v/>
      </c>
      <c r="C925" s="5" t="str">
        <f>IF(AND(ISNUMBER(Recruiting_Data!N925), ISNUMBER(Recruiting_Data!P925)), Recruiting_Data!N925 - Recruiting_Data!P925, "")</f>
        <v/>
      </c>
      <c r="E925" s="5" t="str">
        <f>IF(Recruiting_Data!R925="Open", TODAY() - Recruiting_Data!P925, "")</f>
        <v/>
      </c>
      <c r="F925" s="8" t="str">
        <f t="shared" si="1"/>
        <v/>
      </c>
      <c r="G925" s="5" t="str">
        <f>IF(A925="", "", IF(COUNTIF(Recruiting_Data!A:A, A925)&gt;1, TRUE, FALSE))</f>
        <v/>
      </c>
      <c r="H925" s="5" t="str">
        <f>IF(A925="", "", IF(OR(AND(Recruiting_Data!N925&lt;&gt;"", Recruiting_Data!J925&lt;&gt;"", Recruiting_Data!N925&lt;Recruiting_Data!J925), AND(Recruiting_Data!M925&lt;&gt;"", Recruiting_Data!L925&lt;&gt;"", Recruiting_Data!M925&lt;Recruiting_Data!L925), AND(Recruiting_Data!L925&lt;&gt;"", Recruiting_Data!K925&lt;&gt;"", Recruiting_Data!L925&lt;Recruiting_Data!K925)), TRUE, FALSE))</f>
        <v/>
      </c>
    </row>
    <row r="926">
      <c r="A926" s="5" t="str">
        <f>IF(Recruiting_Data!A926="", "", Recruiting_Data!A926)</f>
        <v/>
      </c>
      <c r="B926" s="5" t="str">
        <f>IF(Recruiting_Data!B926="", "", Recruiting_Data!B926)</f>
        <v/>
      </c>
      <c r="C926" s="5" t="str">
        <f>IF(AND(ISNUMBER(Recruiting_Data!N926), ISNUMBER(Recruiting_Data!P926)), Recruiting_Data!N926 - Recruiting_Data!P926, "")</f>
        <v/>
      </c>
      <c r="E926" s="5" t="str">
        <f>IF(Recruiting_Data!R926="Open", TODAY() - Recruiting_Data!P926, "")</f>
        <v/>
      </c>
      <c r="F926" s="8" t="str">
        <f t="shared" si="1"/>
        <v/>
      </c>
      <c r="G926" s="5" t="str">
        <f>IF(A926="", "", IF(COUNTIF(Recruiting_Data!A:A, A926)&gt;1, TRUE, FALSE))</f>
        <v/>
      </c>
      <c r="H926" s="5" t="str">
        <f>IF(A926="", "", IF(OR(AND(Recruiting_Data!N926&lt;&gt;"", Recruiting_Data!J926&lt;&gt;"", Recruiting_Data!N926&lt;Recruiting_Data!J926), AND(Recruiting_Data!M926&lt;&gt;"", Recruiting_Data!L926&lt;&gt;"", Recruiting_Data!M926&lt;Recruiting_Data!L926), AND(Recruiting_Data!L926&lt;&gt;"", Recruiting_Data!K926&lt;&gt;"", Recruiting_Data!L926&lt;Recruiting_Data!K926)), TRUE, FALSE))</f>
        <v/>
      </c>
    </row>
    <row r="927">
      <c r="A927" s="5" t="str">
        <f>IF(Recruiting_Data!A927="", "", Recruiting_Data!A927)</f>
        <v/>
      </c>
      <c r="B927" s="5" t="str">
        <f>IF(Recruiting_Data!B927="", "", Recruiting_Data!B927)</f>
        <v/>
      </c>
      <c r="C927" s="5" t="str">
        <f>IF(AND(ISNUMBER(Recruiting_Data!N927), ISNUMBER(Recruiting_Data!P927)), Recruiting_Data!N927 - Recruiting_Data!P927, "")</f>
        <v/>
      </c>
      <c r="E927" s="5" t="str">
        <f>IF(Recruiting_Data!R927="Open", TODAY() - Recruiting_Data!P927, "")</f>
        <v/>
      </c>
      <c r="F927" s="8" t="str">
        <f t="shared" si="1"/>
        <v/>
      </c>
      <c r="G927" s="5" t="str">
        <f>IF(A927="", "", IF(COUNTIF(Recruiting_Data!A:A, A927)&gt;1, TRUE, FALSE))</f>
        <v/>
      </c>
      <c r="H927" s="5" t="str">
        <f>IF(A927="", "", IF(OR(AND(Recruiting_Data!N927&lt;&gt;"", Recruiting_Data!J927&lt;&gt;"", Recruiting_Data!N927&lt;Recruiting_Data!J927), AND(Recruiting_Data!M927&lt;&gt;"", Recruiting_Data!L927&lt;&gt;"", Recruiting_Data!M927&lt;Recruiting_Data!L927), AND(Recruiting_Data!L927&lt;&gt;"", Recruiting_Data!K927&lt;&gt;"", Recruiting_Data!L927&lt;Recruiting_Data!K927)), TRUE, FALSE))</f>
        <v/>
      </c>
    </row>
    <row r="928">
      <c r="A928" s="5" t="str">
        <f>IF(Recruiting_Data!A928="", "", Recruiting_Data!A928)</f>
        <v/>
      </c>
      <c r="B928" s="5" t="str">
        <f>IF(Recruiting_Data!B928="", "", Recruiting_Data!B928)</f>
        <v/>
      </c>
      <c r="C928" s="5" t="str">
        <f>IF(AND(ISNUMBER(Recruiting_Data!N928), ISNUMBER(Recruiting_Data!P928)), Recruiting_Data!N928 - Recruiting_Data!P928, "")</f>
        <v/>
      </c>
      <c r="E928" s="5" t="str">
        <f>IF(Recruiting_Data!R928="Open", TODAY() - Recruiting_Data!P928, "")</f>
        <v/>
      </c>
      <c r="F928" s="8" t="str">
        <f t="shared" si="1"/>
        <v/>
      </c>
      <c r="G928" s="5" t="str">
        <f>IF(A928="", "", IF(COUNTIF(Recruiting_Data!A:A, A928)&gt;1, TRUE, FALSE))</f>
        <v/>
      </c>
      <c r="H928" s="5" t="str">
        <f>IF(A928="", "", IF(OR(AND(Recruiting_Data!N928&lt;&gt;"", Recruiting_Data!J928&lt;&gt;"", Recruiting_Data!N928&lt;Recruiting_Data!J928), AND(Recruiting_Data!M928&lt;&gt;"", Recruiting_Data!L928&lt;&gt;"", Recruiting_Data!M928&lt;Recruiting_Data!L928), AND(Recruiting_Data!L928&lt;&gt;"", Recruiting_Data!K928&lt;&gt;"", Recruiting_Data!L928&lt;Recruiting_Data!K928)), TRUE, FALSE))</f>
        <v/>
      </c>
    </row>
    <row r="929">
      <c r="A929" s="5" t="str">
        <f>IF(Recruiting_Data!A929="", "", Recruiting_Data!A929)</f>
        <v/>
      </c>
      <c r="B929" s="5" t="str">
        <f>IF(Recruiting_Data!B929="", "", Recruiting_Data!B929)</f>
        <v/>
      </c>
      <c r="C929" s="5" t="str">
        <f>IF(AND(ISNUMBER(Recruiting_Data!N929), ISNUMBER(Recruiting_Data!P929)), Recruiting_Data!N929 - Recruiting_Data!P929, "")</f>
        <v/>
      </c>
      <c r="E929" s="5" t="str">
        <f>IF(Recruiting_Data!R929="Open", TODAY() - Recruiting_Data!P929, "")</f>
        <v/>
      </c>
      <c r="F929" s="8" t="str">
        <f t="shared" si="1"/>
        <v/>
      </c>
      <c r="G929" s="5" t="str">
        <f>IF(A929="", "", IF(COUNTIF(Recruiting_Data!A:A, A929)&gt;1, TRUE, FALSE))</f>
        <v/>
      </c>
      <c r="H929" s="5" t="str">
        <f>IF(A929="", "", IF(OR(AND(Recruiting_Data!N929&lt;&gt;"", Recruiting_Data!J929&lt;&gt;"", Recruiting_Data!N929&lt;Recruiting_Data!J929), AND(Recruiting_Data!M929&lt;&gt;"", Recruiting_Data!L929&lt;&gt;"", Recruiting_Data!M929&lt;Recruiting_Data!L929), AND(Recruiting_Data!L929&lt;&gt;"", Recruiting_Data!K929&lt;&gt;"", Recruiting_Data!L929&lt;Recruiting_Data!K929)), TRUE, FALSE))</f>
        <v/>
      </c>
    </row>
    <row r="930">
      <c r="A930" s="5" t="str">
        <f>IF(Recruiting_Data!A930="", "", Recruiting_Data!A930)</f>
        <v/>
      </c>
      <c r="B930" s="5" t="str">
        <f>IF(Recruiting_Data!B930="", "", Recruiting_Data!B930)</f>
        <v/>
      </c>
      <c r="C930" s="5" t="str">
        <f>IF(AND(ISNUMBER(Recruiting_Data!N930), ISNUMBER(Recruiting_Data!P930)), Recruiting_Data!N930 - Recruiting_Data!P930, "")</f>
        <v/>
      </c>
      <c r="E930" s="5" t="str">
        <f>IF(Recruiting_Data!R930="Open", TODAY() - Recruiting_Data!P930, "")</f>
        <v/>
      </c>
      <c r="F930" s="8" t="str">
        <f t="shared" si="1"/>
        <v/>
      </c>
      <c r="G930" s="5" t="str">
        <f>IF(A930="", "", IF(COUNTIF(Recruiting_Data!A:A, A930)&gt;1, TRUE, FALSE))</f>
        <v/>
      </c>
      <c r="H930" s="5" t="str">
        <f>IF(A930="", "", IF(OR(AND(Recruiting_Data!N930&lt;&gt;"", Recruiting_Data!J930&lt;&gt;"", Recruiting_Data!N930&lt;Recruiting_Data!J930), AND(Recruiting_Data!M930&lt;&gt;"", Recruiting_Data!L930&lt;&gt;"", Recruiting_Data!M930&lt;Recruiting_Data!L930), AND(Recruiting_Data!L930&lt;&gt;"", Recruiting_Data!K930&lt;&gt;"", Recruiting_Data!L930&lt;Recruiting_Data!K930)), TRUE, FALSE))</f>
        <v/>
      </c>
    </row>
    <row r="931">
      <c r="A931" s="5" t="str">
        <f>IF(Recruiting_Data!A931="", "", Recruiting_Data!A931)</f>
        <v/>
      </c>
      <c r="B931" s="5" t="str">
        <f>IF(Recruiting_Data!B931="", "", Recruiting_Data!B931)</f>
        <v/>
      </c>
      <c r="C931" s="5" t="str">
        <f>IF(AND(ISNUMBER(Recruiting_Data!N931), ISNUMBER(Recruiting_Data!P931)), Recruiting_Data!N931 - Recruiting_Data!P931, "")</f>
        <v/>
      </c>
      <c r="E931" s="5" t="str">
        <f>IF(Recruiting_Data!R931="Open", TODAY() - Recruiting_Data!P931, "")</f>
        <v/>
      </c>
      <c r="F931" s="8" t="str">
        <f t="shared" si="1"/>
        <v/>
      </c>
      <c r="G931" s="5" t="str">
        <f>IF(A931="", "", IF(COUNTIF(Recruiting_Data!A:A, A931)&gt;1, TRUE, FALSE))</f>
        <v/>
      </c>
      <c r="H931" s="5" t="str">
        <f>IF(A931="", "", IF(OR(AND(Recruiting_Data!N931&lt;&gt;"", Recruiting_Data!J931&lt;&gt;"", Recruiting_Data!N931&lt;Recruiting_Data!J931), AND(Recruiting_Data!M931&lt;&gt;"", Recruiting_Data!L931&lt;&gt;"", Recruiting_Data!M931&lt;Recruiting_Data!L931), AND(Recruiting_Data!L931&lt;&gt;"", Recruiting_Data!K931&lt;&gt;"", Recruiting_Data!L931&lt;Recruiting_Data!K931)), TRUE, FALSE))</f>
        <v/>
      </c>
    </row>
    <row r="932">
      <c r="A932" s="5" t="str">
        <f>IF(Recruiting_Data!A932="", "", Recruiting_Data!A932)</f>
        <v/>
      </c>
      <c r="B932" s="5" t="str">
        <f>IF(Recruiting_Data!B932="", "", Recruiting_Data!B932)</f>
        <v/>
      </c>
      <c r="C932" s="5" t="str">
        <f>IF(AND(ISNUMBER(Recruiting_Data!N932), ISNUMBER(Recruiting_Data!P932)), Recruiting_Data!N932 - Recruiting_Data!P932, "")</f>
        <v/>
      </c>
      <c r="E932" s="5" t="str">
        <f>IF(Recruiting_Data!R932="Open", TODAY() - Recruiting_Data!P932, "")</f>
        <v/>
      </c>
      <c r="F932" s="8" t="str">
        <f t="shared" si="1"/>
        <v/>
      </c>
      <c r="G932" s="5" t="str">
        <f>IF(A932="", "", IF(COUNTIF(Recruiting_Data!A:A, A932)&gt;1, TRUE, FALSE))</f>
        <v/>
      </c>
      <c r="H932" s="5" t="str">
        <f>IF(A932="", "", IF(OR(AND(Recruiting_Data!N932&lt;&gt;"", Recruiting_Data!J932&lt;&gt;"", Recruiting_Data!N932&lt;Recruiting_Data!J932), AND(Recruiting_Data!M932&lt;&gt;"", Recruiting_Data!L932&lt;&gt;"", Recruiting_Data!M932&lt;Recruiting_Data!L932), AND(Recruiting_Data!L932&lt;&gt;"", Recruiting_Data!K932&lt;&gt;"", Recruiting_Data!L932&lt;Recruiting_Data!K932)), TRUE, FALSE))</f>
        <v/>
      </c>
    </row>
    <row r="933">
      <c r="A933" s="5" t="str">
        <f>IF(Recruiting_Data!A933="", "", Recruiting_Data!A933)</f>
        <v/>
      </c>
      <c r="B933" s="5" t="str">
        <f>IF(Recruiting_Data!B933="", "", Recruiting_Data!B933)</f>
        <v/>
      </c>
      <c r="C933" s="5" t="str">
        <f>IF(AND(ISNUMBER(Recruiting_Data!N933), ISNUMBER(Recruiting_Data!P933)), Recruiting_Data!N933 - Recruiting_Data!P933, "")</f>
        <v/>
      </c>
      <c r="E933" s="5" t="str">
        <f>IF(Recruiting_Data!R933="Open", TODAY() - Recruiting_Data!P933, "")</f>
        <v/>
      </c>
      <c r="F933" s="8" t="str">
        <f t="shared" si="1"/>
        <v/>
      </c>
      <c r="G933" s="5" t="str">
        <f>IF(A933="", "", IF(COUNTIF(Recruiting_Data!A:A, A933)&gt;1, TRUE, FALSE))</f>
        <v/>
      </c>
      <c r="H933" s="5" t="str">
        <f>IF(A933="", "", IF(OR(AND(Recruiting_Data!N933&lt;&gt;"", Recruiting_Data!J933&lt;&gt;"", Recruiting_Data!N933&lt;Recruiting_Data!J933), AND(Recruiting_Data!M933&lt;&gt;"", Recruiting_Data!L933&lt;&gt;"", Recruiting_Data!M933&lt;Recruiting_Data!L933), AND(Recruiting_Data!L933&lt;&gt;"", Recruiting_Data!K933&lt;&gt;"", Recruiting_Data!L933&lt;Recruiting_Data!K933)), TRUE, FALSE))</f>
        <v/>
      </c>
    </row>
    <row r="934">
      <c r="A934" s="5" t="str">
        <f>IF(Recruiting_Data!A934="", "", Recruiting_Data!A934)</f>
        <v/>
      </c>
      <c r="B934" s="5" t="str">
        <f>IF(Recruiting_Data!B934="", "", Recruiting_Data!B934)</f>
        <v/>
      </c>
      <c r="C934" s="5" t="str">
        <f>IF(AND(ISNUMBER(Recruiting_Data!N934), ISNUMBER(Recruiting_Data!P934)), Recruiting_Data!N934 - Recruiting_Data!P934, "")</f>
        <v/>
      </c>
      <c r="E934" s="5" t="str">
        <f>IF(Recruiting_Data!R934="Open", TODAY() - Recruiting_Data!P934, "")</f>
        <v/>
      </c>
      <c r="F934" s="8" t="str">
        <f t="shared" si="1"/>
        <v/>
      </c>
      <c r="G934" s="5" t="str">
        <f>IF(A934="", "", IF(COUNTIF(Recruiting_Data!A:A, A934)&gt;1, TRUE, FALSE))</f>
        <v/>
      </c>
      <c r="H934" s="5" t="str">
        <f>IF(A934="", "", IF(OR(AND(Recruiting_Data!N934&lt;&gt;"", Recruiting_Data!J934&lt;&gt;"", Recruiting_Data!N934&lt;Recruiting_Data!J934), AND(Recruiting_Data!M934&lt;&gt;"", Recruiting_Data!L934&lt;&gt;"", Recruiting_Data!M934&lt;Recruiting_Data!L934), AND(Recruiting_Data!L934&lt;&gt;"", Recruiting_Data!K934&lt;&gt;"", Recruiting_Data!L934&lt;Recruiting_Data!K934)), TRUE, FALSE))</f>
        <v/>
      </c>
    </row>
    <row r="935">
      <c r="A935" s="5" t="str">
        <f>IF(Recruiting_Data!A935="", "", Recruiting_Data!A935)</f>
        <v/>
      </c>
      <c r="B935" s="5" t="str">
        <f>IF(Recruiting_Data!B935="", "", Recruiting_Data!B935)</f>
        <v/>
      </c>
      <c r="C935" s="5" t="str">
        <f>IF(AND(ISNUMBER(Recruiting_Data!N935), ISNUMBER(Recruiting_Data!P935)), Recruiting_Data!N935 - Recruiting_Data!P935, "")</f>
        <v/>
      </c>
      <c r="E935" s="5" t="str">
        <f>IF(Recruiting_Data!R935="Open", TODAY() - Recruiting_Data!P935, "")</f>
        <v/>
      </c>
      <c r="F935" s="8" t="str">
        <f t="shared" si="1"/>
        <v/>
      </c>
      <c r="G935" s="5" t="str">
        <f>IF(A935="", "", IF(COUNTIF(Recruiting_Data!A:A, A935)&gt;1, TRUE, FALSE))</f>
        <v/>
      </c>
      <c r="H935" s="5" t="str">
        <f>IF(A935="", "", IF(OR(AND(Recruiting_Data!N935&lt;&gt;"", Recruiting_Data!J935&lt;&gt;"", Recruiting_Data!N935&lt;Recruiting_Data!J935), AND(Recruiting_Data!M935&lt;&gt;"", Recruiting_Data!L935&lt;&gt;"", Recruiting_Data!M935&lt;Recruiting_Data!L935), AND(Recruiting_Data!L935&lt;&gt;"", Recruiting_Data!K935&lt;&gt;"", Recruiting_Data!L935&lt;Recruiting_Data!K935)), TRUE, FALSE))</f>
        <v/>
      </c>
    </row>
    <row r="936">
      <c r="A936" s="5" t="str">
        <f>IF(Recruiting_Data!A936="", "", Recruiting_Data!A936)</f>
        <v/>
      </c>
      <c r="B936" s="5" t="str">
        <f>IF(Recruiting_Data!B936="", "", Recruiting_Data!B936)</f>
        <v/>
      </c>
      <c r="C936" s="5" t="str">
        <f>IF(AND(ISNUMBER(Recruiting_Data!N936), ISNUMBER(Recruiting_Data!P936)), Recruiting_Data!N936 - Recruiting_Data!P936, "")</f>
        <v/>
      </c>
      <c r="E936" s="5" t="str">
        <f>IF(Recruiting_Data!R936="Open", TODAY() - Recruiting_Data!P936, "")</f>
        <v/>
      </c>
      <c r="F936" s="8" t="str">
        <f t="shared" si="1"/>
        <v/>
      </c>
      <c r="G936" s="5" t="str">
        <f>IF(A936="", "", IF(COUNTIF(Recruiting_Data!A:A, A936)&gt;1, TRUE, FALSE))</f>
        <v/>
      </c>
      <c r="H936" s="5" t="str">
        <f>IF(A936="", "", IF(OR(AND(Recruiting_Data!N936&lt;&gt;"", Recruiting_Data!J936&lt;&gt;"", Recruiting_Data!N936&lt;Recruiting_Data!J936), AND(Recruiting_Data!M936&lt;&gt;"", Recruiting_Data!L936&lt;&gt;"", Recruiting_Data!M936&lt;Recruiting_Data!L936), AND(Recruiting_Data!L936&lt;&gt;"", Recruiting_Data!K936&lt;&gt;"", Recruiting_Data!L936&lt;Recruiting_Data!K936)), TRUE, FALSE))</f>
        <v/>
      </c>
    </row>
    <row r="937">
      <c r="A937" s="5" t="str">
        <f>IF(Recruiting_Data!A937="", "", Recruiting_Data!A937)</f>
        <v/>
      </c>
      <c r="B937" s="5" t="str">
        <f>IF(Recruiting_Data!B937="", "", Recruiting_Data!B937)</f>
        <v/>
      </c>
      <c r="C937" s="5" t="str">
        <f>IF(AND(ISNUMBER(Recruiting_Data!N937), ISNUMBER(Recruiting_Data!P937)), Recruiting_Data!N937 - Recruiting_Data!P937, "")</f>
        <v/>
      </c>
      <c r="E937" s="5" t="str">
        <f>IF(Recruiting_Data!R937="Open", TODAY() - Recruiting_Data!P937, "")</f>
        <v/>
      </c>
      <c r="F937" s="8" t="str">
        <f t="shared" si="1"/>
        <v/>
      </c>
      <c r="G937" s="5" t="str">
        <f>IF(A937="", "", IF(COUNTIF(Recruiting_Data!A:A, A937)&gt;1, TRUE, FALSE))</f>
        <v/>
      </c>
      <c r="H937" s="5" t="str">
        <f>IF(A937="", "", IF(OR(AND(Recruiting_Data!N937&lt;&gt;"", Recruiting_Data!J937&lt;&gt;"", Recruiting_Data!N937&lt;Recruiting_Data!J937), AND(Recruiting_Data!M937&lt;&gt;"", Recruiting_Data!L937&lt;&gt;"", Recruiting_Data!M937&lt;Recruiting_Data!L937), AND(Recruiting_Data!L937&lt;&gt;"", Recruiting_Data!K937&lt;&gt;"", Recruiting_Data!L937&lt;Recruiting_Data!K937)), TRUE, FALSE))</f>
        <v/>
      </c>
    </row>
    <row r="938">
      <c r="A938" s="5" t="str">
        <f>IF(Recruiting_Data!A938="", "", Recruiting_Data!A938)</f>
        <v/>
      </c>
      <c r="B938" s="5" t="str">
        <f>IF(Recruiting_Data!B938="", "", Recruiting_Data!B938)</f>
        <v/>
      </c>
      <c r="C938" s="5" t="str">
        <f>IF(AND(ISNUMBER(Recruiting_Data!N938), ISNUMBER(Recruiting_Data!P938)), Recruiting_Data!N938 - Recruiting_Data!P938, "")</f>
        <v/>
      </c>
      <c r="E938" s="5" t="str">
        <f>IF(Recruiting_Data!R938="Open", TODAY() - Recruiting_Data!P938, "")</f>
        <v/>
      </c>
      <c r="F938" s="8" t="str">
        <f t="shared" si="1"/>
        <v/>
      </c>
      <c r="G938" s="5" t="str">
        <f>IF(A938="", "", IF(COUNTIF(Recruiting_Data!A:A, A938)&gt;1, TRUE, FALSE))</f>
        <v/>
      </c>
      <c r="H938" s="5" t="str">
        <f>IF(A938="", "", IF(OR(AND(Recruiting_Data!N938&lt;&gt;"", Recruiting_Data!J938&lt;&gt;"", Recruiting_Data!N938&lt;Recruiting_Data!J938), AND(Recruiting_Data!M938&lt;&gt;"", Recruiting_Data!L938&lt;&gt;"", Recruiting_Data!M938&lt;Recruiting_Data!L938), AND(Recruiting_Data!L938&lt;&gt;"", Recruiting_Data!K938&lt;&gt;"", Recruiting_Data!L938&lt;Recruiting_Data!K938)), TRUE, FALSE))</f>
        <v/>
      </c>
    </row>
    <row r="939">
      <c r="A939" s="5" t="str">
        <f>IF(Recruiting_Data!A939="", "", Recruiting_Data!A939)</f>
        <v/>
      </c>
      <c r="B939" s="5" t="str">
        <f>IF(Recruiting_Data!B939="", "", Recruiting_Data!B939)</f>
        <v/>
      </c>
      <c r="C939" s="5" t="str">
        <f>IF(AND(ISNUMBER(Recruiting_Data!N939), ISNUMBER(Recruiting_Data!P939)), Recruiting_Data!N939 - Recruiting_Data!P939, "")</f>
        <v/>
      </c>
      <c r="E939" s="5" t="str">
        <f>IF(Recruiting_Data!R939="Open", TODAY() - Recruiting_Data!P939, "")</f>
        <v/>
      </c>
      <c r="F939" s="8" t="str">
        <f t="shared" si="1"/>
        <v/>
      </c>
      <c r="G939" s="5" t="str">
        <f>IF(A939="", "", IF(COUNTIF(Recruiting_Data!A:A, A939)&gt;1, TRUE, FALSE))</f>
        <v/>
      </c>
      <c r="H939" s="5" t="str">
        <f>IF(A939="", "", IF(OR(AND(Recruiting_Data!N939&lt;&gt;"", Recruiting_Data!J939&lt;&gt;"", Recruiting_Data!N939&lt;Recruiting_Data!J939), AND(Recruiting_Data!M939&lt;&gt;"", Recruiting_Data!L939&lt;&gt;"", Recruiting_Data!M939&lt;Recruiting_Data!L939), AND(Recruiting_Data!L939&lt;&gt;"", Recruiting_Data!K939&lt;&gt;"", Recruiting_Data!L939&lt;Recruiting_Data!K939)), TRUE, FALSE))</f>
        <v/>
      </c>
    </row>
    <row r="940">
      <c r="A940" s="5" t="str">
        <f>IF(Recruiting_Data!A940="", "", Recruiting_Data!A940)</f>
        <v/>
      </c>
      <c r="B940" s="5" t="str">
        <f>IF(Recruiting_Data!B940="", "", Recruiting_Data!B940)</f>
        <v/>
      </c>
      <c r="C940" s="5" t="str">
        <f>IF(AND(ISNUMBER(Recruiting_Data!N940), ISNUMBER(Recruiting_Data!P940)), Recruiting_Data!N940 - Recruiting_Data!P940, "")</f>
        <v/>
      </c>
      <c r="E940" s="5" t="str">
        <f>IF(Recruiting_Data!R940="Open", TODAY() - Recruiting_Data!P940, "")</f>
        <v/>
      </c>
      <c r="F940" s="8" t="str">
        <f t="shared" si="1"/>
        <v/>
      </c>
      <c r="G940" s="5" t="str">
        <f>IF(A940="", "", IF(COUNTIF(Recruiting_Data!A:A, A940)&gt;1, TRUE, FALSE))</f>
        <v/>
      </c>
      <c r="H940" s="5" t="str">
        <f>IF(A940="", "", IF(OR(AND(Recruiting_Data!N940&lt;&gt;"", Recruiting_Data!J940&lt;&gt;"", Recruiting_Data!N940&lt;Recruiting_Data!J940), AND(Recruiting_Data!M940&lt;&gt;"", Recruiting_Data!L940&lt;&gt;"", Recruiting_Data!M940&lt;Recruiting_Data!L940), AND(Recruiting_Data!L940&lt;&gt;"", Recruiting_Data!K940&lt;&gt;"", Recruiting_Data!L940&lt;Recruiting_Data!K940)), TRUE, FALSE))</f>
        <v/>
      </c>
    </row>
    <row r="941">
      <c r="A941" s="5" t="str">
        <f>IF(Recruiting_Data!A941="", "", Recruiting_Data!A941)</f>
        <v/>
      </c>
      <c r="B941" s="5" t="str">
        <f>IF(Recruiting_Data!B941="", "", Recruiting_Data!B941)</f>
        <v/>
      </c>
      <c r="C941" s="5" t="str">
        <f>IF(AND(ISNUMBER(Recruiting_Data!N941), ISNUMBER(Recruiting_Data!P941)), Recruiting_Data!N941 - Recruiting_Data!P941, "")</f>
        <v/>
      </c>
      <c r="E941" s="5" t="str">
        <f>IF(Recruiting_Data!R941="Open", TODAY() - Recruiting_Data!P941, "")</f>
        <v/>
      </c>
      <c r="F941" s="8" t="str">
        <f t="shared" si="1"/>
        <v/>
      </c>
      <c r="G941" s="5" t="str">
        <f>IF(A941="", "", IF(COUNTIF(Recruiting_Data!A:A, A941)&gt;1, TRUE, FALSE))</f>
        <v/>
      </c>
      <c r="H941" s="5" t="str">
        <f>IF(A941="", "", IF(OR(AND(Recruiting_Data!N941&lt;&gt;"", Recruiting_Data!J941&lt;&gt;"", Recruiting_Data!N941&lt;Recruiting_Data!J941), AND(Recruiting_Data!M941&lt;&gt;"", Recruiting_Data!L941&lt;&gt;"", Recruiting_Data!M941&lt;Recruiting_Data!L941), AND(Recruiting_Data!L941&lt;&gt;"", Recruiting_Data!K941&lt;&gt;"", Recruiting_Data!L941&lt;Recruiting_Data!K941)), TRUE, FALSE))</f>
        <v/>
      </c>
    </row>
    <row r="942">
      <c r="A942" s="5" t="str">
        <f>IF(Recruiting_Data!A942="", "", Recruiting_Data!A942)</f>
        <v/>
      </c>
      <c r="B942" s="5" t="str">
        <f>IF(Recruiting_Data!B942="", "", Recruiting_Data!B942)</f>
        <v/>
      </c>
      <c r="C942" s="5" t="str">
        <f>IF(AND(ISNUMBER(Recruiting_Data!N942), ISNUMBER(Recruiting_Data!P942)), Recruiting_Data!N942 - Recruiting_Data!P942, "")</f>
        <v/>
      </c>
      <c r="E942" s="5" t="str">
        <f>IF(Recruiting_Data!R942="Open", TODAY() - Recruiting_Data!P942, "")</f>
        <v/>
      </c>
      <c r="F942" s="8" t="str">
        <f t="shared" si="1"/>
        <v/>
      </c>
      <c r="G942" s="5" t="str">
        <f>IF(A942="", "", IF(COUNTIF(Recruiting_Data!A:A, A942)&gt;1, TRUE, FALSE))</f>
        <v/>
      </c>
      <c r="H942" s="5" t="str">
        <f>IF(A942="", "", IF(OR(AND(Recruiting_Data!N942&lt;&gt;"", Recruiting_Data!J942&lt;&gt;"", Recruiting_Data!N942&lt;Recruiting_Data!J942), AND(Recruiting_Data!M942&lt;&gt;"", Recruiting_Data!L942&lt;&gt;"", Recruiting_Data!M942&lt;Recruiting_Data!L942), AND(Recruiting_Data!L942&lt;&gt;"", Recruiting_Data!K942&lt;&gt;"", Recruiting_Data!L942&lt;Recruiting_Data!K942)), TRUE, FALSE))</f>
        <v/>
      </c>
    </row>
    <row r="943">
      <c r="A943" s="5" t="str">
        <f>IF(Recruiting_Data!A943="", "", Recruiting_Data!A943)</f>
        <v/>
      </c>
      <c r="B943" s="5" t="str">
        <f>IF(Recruiting_Data!B943="", "", Recruiting_Data!B943)</f>
        <v/>
      </c>
      <c r="C943" s="5" t="str">
        <f>IF(AND(ISNUMBER(Recruiting_Data!N943), ISNUMBER(Recruiting_Data!P943)), Recruiting_Data!N943 - Recruiting_Data!P943, "")</f>
        <v/>
      </c>
      <c r="E943" s="5" t="str">
        <f>IF(Recruiting_Data!R943="Open", TODAY() - Recruiting_Data!P943, "")</f>
        <v/>
      </c>
      <c r="F943" s="8" t="str">
        <f t="shared" si="1"/>
        <v/>
      </c>
      <c r="G943" s="5" t="str">
        <f>IF(A943="", "", IF(COUNTIF(Recruiting_Data!A:A, A943)&gt;1, TRUE, FALSE))</f>
        <v/>
      </c>
      <c r="H943" s="5" t="str">
        <f>IF(A943="", "", IF(OR(AND(Recruiting_Data!N943&lt;&gt;"", Recruiting_Data!J943&lt;&gt;"", Recruiting_Data!N943&lt;Recruiting_Data!J943), AND(Recruiting_Data!M943&lt;&gt;"", Recruiting_Data!L943&lt;&gt;"", Recruiting_Data!M943&lt;Recruiting_Data!L943), AND(Recruiting_Data!L943&lt;&gt;"", Recruiting_Data!K943&lt;&gt;"", Recruiting_Data!L943&lt;Recruiting_Data!K943)), TRUE, FALSE))</f>
        <v/>
      </c>
    </row>
    <row r="944">
      <c r="A944" s="5" t="str">
        <f>IF(Recruiting_Data!A944="", "", Recruiting_Data!A944)</f>
        <v/>
      </c>
      <c r="B944" s="5" t="str">
        <f>IF(Recruiting_Data!B944="", "", Recruiting_Data!B944)</f>
        <v/>
      </c>
      <c r="C944" s="5" t="str">
        <f>IF(AND(ISNUMBER(Recruiting_Data!N944), ISNUMBER(Recruiting_Data!P944)), Recruiting_Data!N944 - Recruiting_Data!P944, "")</f>
        <v/>
      </c>
      <c r="E944" s="5" t="str">
        <f>IF(Recruiting_Data!R944="Open", TODAY() - Recruiting_Data!P944, "")</f>
        <v/>
      </c>
      <c r="F944" s="8" t="str">
        <f t="shared" si="1"/>
        <v/>
      </c>
      <c r="G944" s="5" t="str">
        <f>IF(A944="", "", IF(COUNTIF(Recruiting_Data!A:A, A944)&gt;1, TRUE, FALSE))</f>
        <v/>
      </c>
      <c r="H944" s="5" t="str">
        <f>IF(A944="", "", IF(OR(AND(Recruiting_Data!N944&lt;&gt;"", Recruiting_Data!J944&lt;&gt;"", Recruiting_Data!N944&lt;Recruiting_Data!J944), AND(Recruiting_Data!M944&lt;&gt;"", Recruiting_Data!L944&lt;&gt;"", Recruiting_Data!M944&lt;Recruiting_Data!L944), AND(Recruiting_Data!L944&lt;&gt;"", Recruiting_Data!K944&lt;&gt;"", Recruiting_Data!L944&lt;Recruiting_Data!K944)), TRUE, FALSE))</f>
        <v/>
      </c>
    </row>
    <row r="945">
      <c r="A945" s="5" t="str">
        <f>IF(Recruiting_Data!A945="", "", Recruiting_Data!A945)</f>
        <v/>
      </c>
      <c r="B945" s="5" t="str">
        <f>IF(Recruiting_Data!B945="", "", Recruiting_Data!B945)</f>
        <v/>
      </c>
      <c r="C945" s="5" t="str">
        <f>IF(AND(ISNUMBER(Recruiting_Data!N945), ISNUMBER(Recruiting_Data!P945)), Recruiting_Data!N945 - Recruiting_Data!P945, "")</f>
        <v/>
      </c>
      <c r="E945" s="5" t="str">
        <f>IF(Recruiting_Data!R945="Open", TODAY() - Recruiting_Data!P945, "")</f>
        <v/>
      </c>
      <c r="F945" s="8" t="str">
        <f t="shared" si="1"/>
        <v/>
      </c>
      <c r="G945" s="5" t="str">
        <f>IF(A945="", "", IF(COUNTIF(Recruiting_Data!A:A, A945)&gt;1, TRUE, FALSE))</f>
        <v/>
      </c>
      <c r="H945" s="5" t="str">
        <f>IF(A945="", "", IF(OR(AND(Recruiting_Data!N945&lt;&gt;"", Recruiting_Data!J945&lt;&gt;"", Recruiting_Data!N945&lt;Recruiting_Data!J945), AND(Recruiting_Data!M945&lt;&gt;"", Recruiting_Data!L945&lt;&gt;"", Recruiting_Data!M945&lt;Recruiting_Data!L945), AND(Recruiting_Data!L945&lt;&gt;"", Recruiting_Data!K945&lt;&gt;"", Recruiting_Data!L945&lt;Recruiting_Data!K945)), TRUE, FALSE))</f>
        <v/>
      </c>
    </row>
    <row r="946">
      <c r="A946" s="5" t="str">
        <f>IF(Recruiting_Data!A946="", "", Recruiting_Data!A946)</f>
        <v/>
      </c>
      <c r="B946" s="5" t="str">
        <f>IF(Recruiting_Data!B946="", "", Recruiting_Data!B946)</f>
        <v/>
      </c>
      <c r="C946" s="5" t="str">
        <f>IF(AND(ISNUMBER(Recruiting_Data!N946), ISNUMBER(Recruiting_Data!P946)), Recruiting_Data!N946 - Recruiting_Data!P946, "")</f>
        <v/>
      </c>
      <c r="E946" s="5" t="str">
        <f>IF(Recruiting_Data!R946="Open", TODAY() - Recruiting_Data!P946, "")</f>
        <v/>
      </c>
      <c r="F946" s="8" t="str">
        <f t="shared" si="1"/>
        <v/>
      </c>
      <c r="G946" s="5" t="str">
        <f>IF(A946="", "", IF(COUNTIF(Recruiting_Data!A:A, A946)&gt;1, TRUE, FALSE))</f>
        <v/>
      </c>
      <c r="H946" s="5" t="str">
        <f>IF(A946="", "", IF(OR(AND(Recruiting_Data!N946&lt;&gt;"", Recruiting_Data!J946&lt;&gt;"", Recruiting_Data!N946&lt;Recruiting_Data!J946), AND(Recruiting_Data!M946&lt;&gt;"", Recruiting_Data!L946&lt;&gt;"", Recruiting_Data!M946&lt;Recruiting_Data!L946), AND(Recruiting_Data!L946&lt;&gt;"", Recruiting_Data!K946&lt;&gt;"", Recruiting_Data!L946&lt;Recruiting_Data!K946)), TRUE, FALSE))</f>
        <v/>
      </c>
    </row>
    <row r="947">
      <c r="A947" s="5" t="str">
        <f>IF(Recruiting_Data!A947="", "", Recruiting_Data!A947)</f>
        <v/>
      </c>
      <c r="B947" s="5" t="str">
        <f>IF(Recruiting_Data!B947="", "", Recruiting_Data!B947)</f>
        <v/>
      </c>
      <c r="C947" s="5" t="str">
        <f>IF(AND(ISNUMBER(Recruiting_Data!N947), ISNUMBER(Recruiting_Data!P947)), Recruiting_Data!N947 - Recruiting_Data!P947, "")</f>
        <v/>
      </c>
      <c r="E947" s="5" t="str">
        <f>IF(Recruiting_Data!R947="Open", TODAY() - Recruiting_Data!P947, "")</f>
        <v/>
      </c>
      <c r="F947" s="8" t="str">
        <f t="shared" si="1"/>
        <v/>
      </c>
      <c r="G947" s="5" t="str">
        <f>IF(A947="", "", IF(COUNTIF(Recruiting_Data!A:A, A947)&gt;1, TRUE, FALSE))</f>
        <v/>
      </c>
      <c r="H947" s="5" t="str">
        <f>IF(A947="", "", IF(OR(AND(Recruiting_Data!N947&lt;&gt;"", Recruiting_Data!J947&lt;&gt;"", Recruiting_Data!N947&lt;Recruiting_Data!J947), AND(Recruiting_Data!M947&lt;&gt;"", Recruiting_Data!L947&lt;&gt;"", Recruiting_Data!M947&lt;Recruiting_Data!L947), AND(Recruiting_Data!L947&lt;&gt;"", Recruiting_Data!K947&lt;&gt;"", Recruiting_Data!L947&lt;Recruiting_Data!K947)), TRUE, FALSE))</f>
        <v/>
      </c>
    </row>
    <row r="948">
      <c r="A948" s="5" t="str">
        <f>IF(Recruiting_Data!A948="", "", Recruiting_Data!A948)</f>
        <v/>
      </c>
      <c r="B948" s="5" t="str">
        <f>IF(Recruiting_Data!B948="", "", Recruiting_Data!B948)</f>
        <v/>
      </c>
      <c r="C948" s="5" t="str">
        <f>IF(AND(ISNUMBER(Recruiting_Data!N948), ISNUMBER(Recruiting_Data!P948)), Recruiting_Data!N948 - Recruiting_Data!P948, "")</f>
        <v/>
      </c>
      <c r="E948" s="5" t="str">
        <f>IF(Recruiting_Data!R948="Open", TODAY() - Recruiting_Data!P948, "")</f>
        <v/>
      </c>
      <c r="F948" s="8" t="str">
        <f t="shared" si="1"/>
        <v/>
      </c>
      <c r="G948" s="5" t="str">
        <f>IF(A948="", "", IF(COUNTIF(Recruiting_Data!A:A, A948)&gt;1, TRUE, FALSE))</f>
        <v/>
      </c>
      <c r="H948" s="5" t="str">
        <f>IF(A948="", "", IF(OR(AND(Recruiting_Data!N948&lt;&gt;"", Recruiting_Data!J948&lt;&gt;"", Recruiting_Data!N948&lt;Recruiting_Data!J948), AND(Recruiting_Data!M948&lt;&gt;"", Recruiting_Data!L948&lt;&gt;"", Recruiting_Data!M948&lt;Recruiting_Data!L948), AND(Recruiting_Data!L948&lt;&gt;"", Recruiting_Data!K948&lt;&gt;"", Recruiting_Data!L948&lt;Recruiting_Data!K948)), TRUE, FALSE))</f>
        <v/>
      </c>
    </row>
    <row r="949">
      <c r="A949" s="5" t="str">
        <f>IF(Recruiting_Data!A949="", "", Recruiting_Data!A949)</f>
        <v/>
      </c>
      <c r="B949" s="5" t="str">
        <f>IF(Recruiting_Data!B949="", "", Recruiting_Data!B949)</f>
        <v/>
      </c>
      <c r="C949" s="5" t="str">
        <f>IF(AND(ISNUMBER(Recruiting_Data!N949), ISNUMBER(Recruiting_Data!P949)), Recruiting_Data!N949 - Recruiting_Data!P949, "")</f>
        <v/>
      </c>
      <c r="E949" s="5" t="str">
        <f>IF(Recruiting_Data!R949="Open", TODAY() - Recruiting_Data!P949, "")</f>
        <v/>
      </c>
      <c r="F949" s="8" t="str">
        <f t="shared" si="1"/>
        <v/>
      </c>
      <c r="G949" s="5" t="str">
        <f>IF(A949="", "", IF(COUNTIF(Recruiting_Data!A:A, A949)&gt;1, TRUE, FALSE))</f>
        <v/>
      </c>
      <c r="H949" s="5" t="str">
        <f>IF(A949="", "", IF(OR(AND(Recruiting_Data!N949&lt;&gt;"", Recruiting_Data!J949&lt;&gt;"", Recruiting_Data!N949&lt;Recruiting_Data!J949), AND(Recruiting_Data!M949&lt;&gt;"", Recruiting_Data!L949&lt;&gt;"", Recruiting_Data!M949&lt;Recruiting_Data!L949), AND(Recruiting_Data!L949&lt;&gt;"", Recruiting_Data!K949&lt;&gt;"", Recruiting_Data!L949&lt;Recruiting_Data!K949)), TRUE, FALSE))</f>
        <v/>
      </c>
    </row>
    <row r="950">
      <c r="A950" s="5" t="str">
        <f>IF(Recruiting_Data!A950="", "", Recruiting_Data!A950)</f>
        <v/>
      </c>
      <c r="B950" s="5" t="str">
        <f>IF(Recruiting_Data!B950="", "", Recruiting_Data!B950)</f>
        <v/>
      </c>
      <c r="C950" s="5" t="str">
        <f>IF(AND(ISNUMBER(Recruiting_Data!N950), ISNUMBER(Recruiting_Data!P950)), Recruiting_Data!N950 - Recruiting_Data!P950, "")</f>
        <v/>
      </c>
      <c r="E950" s="5" t="str">
        <f>IF(Recruiting_Data!R950="Open", TODAY() - Recruiting_Data!P950, "")</f>
        <v/>
      </c>
      <c r="F950" s="8" t="str">
        <f t="shared" si="1"/>
        <v/>
      </c>
      <c r="G950" s="5" t="str">
        <f>IF(A950="", "", IF(COUNTIF(Recruiting_Data!A:A, A950)&gt;1, TRUE, FALSE))</f>
        <v/>
      </c>
      <c r="H950" s="5" t="str">
        <f>IF(A950="", "", IF(OR(AND(Recruiting_Data!N950&lt;&gt;"", Recruiting_Data!J950&lt;&gt;"", Recruiting_Data!N950&lt;Recruiting_Data!J950), AND(Recruiting_Data!M950&lt;&gt;"", Recruiting_Data!L950&lt;&gt;"", Recruiting_Data!M950&lt;Recruiting_Data!L950), AND(Recruiting_Data!L950&lt;&gt;"", Recruiting_Data!K950&lt;&gt;"", Recruiting_Data!L950&lt;Recruiting_Data!K950)), TRUE, FALSE))</f>
        <v/>
      </c>
    </row>
    <row r="951">
      <c r="A951" s="5" t="str">
        <f>IF(Recruiting_Data!A951="", "", Recruiting_Data!A951)</f>
        <v/>
      </c>
      <c r="B951" s="5" t="str">
        <f>IF(Recruiting_Data!B951="", "", Recruiting_Data!B951)</f>
        <v/>
      </c>
      <c r="C951" s="5" t="str">
        <f>IF(AND(ISNUMBER(Recruiting_Data!N951), ISNUMBER(Recruiting_Data!P951)), Recruiting_Data!N951 - Recruiting_Data!P951, "")</f>
        <v/>
      </c>
      <c r="E951" s="5" t="str">
        <f>IF(Recruiting_Data!R951="Open", TODAY() - Recruiting_Data!P951, "")</f>
        <v/>
      </c>
      <c r="F951" s="8" t="str">
        <f t="shared" si="1"/>
        <v/>
      </c>
      <c r="G951" s="5" t="str">
        <f>IF(A951="", "", IF(COUNTIF(Recruiting_Data!A:A, A951)&gt;1, TRUE, FALSE))</f>
        <v/>
      </c>
      <c r="H951" s="5" t="str">
        <f>IF(A951="", "", IF(OR(AND(Recruiting_Data!N951&lt;&gt;"", Recruiting_Data!J951&lt;&gt;"", Recruiting_Data!N951&lt;Recruiting_Data!J951), AND(Recruiting_Data!M951&lt;&gt;"", Recruiting_Data!L951&lt;&gt;"", Recruiting_Data!M951&lt;Recruiting_Data!L951), AND(Recruiting_Data!L951&lt;&gt;"", Recruiting_Data!K951&lt;&gt;"", Recruiting_Data!L951&lt;Recruiting_Data!K951)), TRUE, FALSE))</f>
        <v/>
      </c>
    </row>
    <row r="952">
      <c r="A952" s="5" t="str">
        <f>IF(Recruiting_Data!A952="", "", Recruiting_Data!A952)</f>
        <v/>
      </c>
      <c r="B952" s="5" t="str">
        <f>IF(Recruiting_Data!B952="", "", Recruiting_Data!B952)</f>
        <v/>
      </c>
      <c r="C952" s="5" t="str">
        <f>IF(AND(ISNUMBER(Recruiting_Data!N952), ISNUMBER(Recruiting_Data!P952)), Recruiting_Data!N952 - Recruiting_Data!P952, "")</f>
        <v/>
      </c>
      <c r="E952" s="5" t="str">
        <f>IF(Recruiting_Data!R952="Open", TODAY() - Recruiting_Data!P952, "")</f>
        <v/>
      </c>
      <c r="F952" s="8" t="str">
        <f t="shared" si="1"/>
        <v/>
      </c>
      <c r="G952" s="5" t="str">
        <f>IF(A952="", "", IF(COUNTIF(Recruiting_Data!A:A, A952)&gt;1, TRUE, FALSE))</f>
        <v/>
      </c>
      <c r="H952" s="5" t="str">
        <f>IF(A952="", "", IF(OR(AND(Recruiting_Data!N952&lt;&gt;"", Recruiting_Data!J952&lt;&gt;"", Recruiting_Data!N952&lt;Recruiting_Data!J952), AND(Recruiting_Data!M952&lt;&gt;"", Recruiting_Data!L952&lt;&gt;"", Recruiting_Data!M952&lt;Recruiting_Data!L952), AND(Recruiting_Data!L952&lt;&gt;"", Recruiting_Data!K952&lt;&gt;"", Recruiting_Data!L952&lt;Recruiting_Data!K952)), TRUE, FALSE))</f>
        <v/>
      </c>
    </row>
    <row r="953">
      <c r="A953" s="5" t="str">
        <f>IF(Recruiting_Data!A953="", "", Recruiting_Data!A953)</f>
        <v/>
      </c>
      <c r="B953" s="5" t="str">
        <f>IF(Recruiting_Data!B953="", "", Recruiting_Data!B953)</f>
        <v/>
      </c>
      <c r="C953" s="5" t="str">
        <f>IF(AND(ISNUMBER(Recruiting_Data!N953), ISNUMBER(Recruiting_Data!P953)), Recruiting_Data!N953 - Recruiting_Data!P953, "")</f>
        <v/>
      </c>
      <c r="E953" s="5" t="str">
        <f>IF(Recruiting_Data!R953="Open", TODAY() - Recruiting_Data!P953, "")</f>
        <v/>
      </c>
      <c r="F953" s="8" t="str">
        <f t="shared" si="1"/>
        <v/>
      </c>
      <c r="G953" s="5" t="str">
        <f>IF(A953="", "", IF(COUNTIF(Recruiting_Data!A:A, A953)&gt;1, TRUE, FALSE))</f>
        <v/>
      </c>
      <c r="H953" s="5" t="str">
        <f>IF(A953="", "", IF(OR(AND(Recruiting_Data!N953&lt;&gt;"", Recruiting_Data!J953&lt;&gt;"", Recruiting_Data!N953&lt;Recruiting_Data!J953), AND(Recruiting_Data!M953&lt;&gt;"", Recruiting_Data!L953&lt;&gt;"", Recruiting_Data!M953&lt;Recruiting_Data!L953), AND(Recruiting_Data!L953&lt;&gt;"", Recruiting_Data!K953&lt;&gt;"", Recruiting_Data!L953&lt;Recruiting_Data!K953)), TRUE, FALSE))</f>
        <v/>
      </c>
    </row>
    <row r="954">
      <c r="A954" s="5" t="str">
        <f>IF(Recruiting_Data!A954="", "", Recruiting_Data!A954)</f>
        <v/>
      </c>
      <c r="B954" s="5" t="str">
        <f>IF(Recruiting_Data!B954="", "", Recruiting_Data!B954)</f>
        <v/>
      </c>
      <c r="C954" s="5" t="str">
        <f>IF(AND(ISNUMBER(Recruiting_Data!N954), ISNUMBER(Recruiting_Data!P954)), Recruiting_Data!N954 - Recruiting_Data!P954, "")</f>
        <v/>
      </c>
      <c r="E954" s="5" t="str">
        <f>IF(Recruiting_Data!R954="Open", TODAY() - Recruiting_Data!P954, "")</f>
        <v/>
      </c>
      <c r="F954" s="8" t="str">
        <f t="shared" si="1"/>
        <v/>
      </c>
      <c r="G954" s="5" t="str">
        <f>IF(A954="", "", IF(COUNTIF(Recruiting_Data!A:A, A954)&gt;1, TRUE, FALSE))</f>
        <v/>
      </c>
      <c r="H954" s="5" t="str">
        <f>IF(A954="", "", IF(OR(AND(Recruiting_Data!N954&lt;&gt;"", Recruiting_Data!J954&lt;&gt;"", Recruiting_Data!N954&lt;Recruiting_Data!J954), AND(Recruiting_Data!M954&lt;&gt;"", Recruiting_Data!L954&lt;&gt;"", Recruiting_Data!M954&lt;Recruiting_Data!L954), AND(Recruiting_Data!L954&lt;&gt;"", Recruiting_Data!K954&lt;&gt;"", Recruiting_Data!L954&lt;Recruiting_Data!K954)), TRUE, FALSE))</f>
        <v/>
      </c>
    </row>
    <row r="955">
      <c r="A955" s="5" t="str">
        <f>IF(Recruiting_Data!A955="", "", Recruiting_Data!A955)</f>
        <v/>
      </c>
      <c r="B955" s="5" t="str">
        <f>IF(Recruiting_Data!B955="", "", Recruiting_Data!B955)</f>
        <v/>
      </c>
      <c r="C955" s="5" t="str">
        <f>IF(AND(ISNUMBER(Recruiting_Data!N955), ISNUMBER(Recruiting_Data!P955)), Recruiting_Data!N955 - Recruiting_Data!P955, "")</f>
        <v/>
      </c>
      <c r="E955" s="5" t="str">
        <f>IF(Recruiting_Data!R955="Open", TODAY() - Recruiting_Data!P955, "")</f>
        <v/>
      </c>
      <c r="F955" s="8" t="str">
        <f t="shared" si="1"/>
        <v/>
      </c>
      <c r="G955" s="5" t="str">
        <f>IF(A955="", "", IF(COUNTIF(Recruiting_Data!A:A, A955)&gt;1, TRUE, FALSE))</f>
        <v/>
      </c>
      <c r="H955" s="5" t="str">
        <f>IF(A955="", "", IF(OR(AND(Recruiting_Data!N955&lt;&gt;"", Recruiting_Data!J955&lt;&gt;"", Recruiting_Data!N955&lt;Recruiting_Data!J955), AND(Recruiting_Data!M955&lt;&gt;"", Recruiting_Data!L955&lt;&gt;"", Recruiting_Data!M955&lt;Recruiting_Data!L955), AND(Recruiting_Data!L955&lt;&gt;"", Recruiting_Data!K955&lt;&gt;"", Recruiting_Data!L955&lt;Recruiting_Data!K955)), TRUE, FALSE))</f>
        <v/>
      </c>
    </row>
    <row r="956">
      <c r="A956" s="5" t="str">
        <f>IF(Recruiting_Data!A956="", "", Recruiting_Data!A956)</f>
        <v/>
      </c>
      <c r="B956" s="5" t="str">
        <f>IF(Recruiting_Data!B956="", "", Recruiting_Data!B956)</f>
        <v/>
      </c>
      <c r="C956" s="5" t="str">
        <f>IF(AND(ISNUMBER(Recruiting_Data!N956), ISNUMBER(Recruiting_Data!P956)), Recruiting_Data!N956 - Recruiting_Data!P956, "")</f>
        <v/>
      </c>
      <c r="E956" s="5" t="str">
        <f>IF(Recruiting_Data!R956="Open", TODAY() - Recruiting_Data!P956, "")</f>
        <v/>
      </c>
      <c r="F956" s="8" t="str">
        <f t="shared" si="1"/>
        <v/>
      </c>
      <c r="G956" s="5" t="str">
        <f>IF(A956="", "", IF(COUNTIF(Recruiting_Data!A:A, A956)&gt;1, TRUE, FALSE))</f>
        <v/>
      </c>
      <c r="H956" s="5" t="str">
        <f>IF(A956="", "", IF(OR(AND(Recruiting_Data!N956&lt;&gt;"", Recruiting_Data!J956&lt;&gt;"", Recruiting_Data!N956&lt;Recruiting_Data!J956), AND(Recruiting_Data!M956&lt;&gt;"", Recruiting_Data!L956&lt;&gt;"", Recruiting_Data!M956&lt;Recruiting_Data!L956), AND(Recruiting_Data!L956&lt;&gt;"", Recruiting_Data!K956&lt;&gt;"", Recruiting_Data!L956&lt;Recruiting_Data!K956)), TRUE, FALSE))</f>
        <v/>
      </c>
    </row>
    <row r="957">
      <c r="A957" s="5" t="str">
        <f>IF(Recruiting_Data!A957="", "", Recruiting_Data!A957)</f>
        <v/>
      </c>
      <c r="B957" s="5" t="str">
        <f>IF(Recruiting_Data!B957="", "", Recruiting_Data!B957)</f>
        <v/>
      </c>
      <c r="C957" s="5" t="str">
        <f>IF(AND(ISNUMBER(Recruiting_Data!N957), ISNUMBER(Recruiting_Data!P957)), Recruiting_Data!N957 - Recruiting_Data!P957, "")</f>
        <v/>
      </c>
      <c r="E957" s="5" t="str">
        <f>IF(Recruiting_Data!R957="Open", TODAY() - Recruiting_Data!P957, "")</f>
        <v/>
      </c>
      <c r="F957" s="8" t="str">
        <f t="shared" si="1"/>
        <v/>
      </c>
      <c r="G957" s="5" t="str">
        <f>IF(A957="", "", IF(COUNTIF(Recruiting_Data!A:A, A957)&gt;1, TRUE, FALSE))</f>
        <v/>
      </c>
      <c r="H957" s="5" t="str">
        <f>IF(A957="", "", IF(OR(AND(Recruiting_Data!N957&lt;&gt;"", Recruiting_Data!J957&lt;&gt;"", Recruiting_Data!N957&lt;Recruiting_Data!J957), AND(Recruiting_Data!M957&lt;&gt;"", Recruiting_Data!L957&lt;&gt;"", Recruiting_Data!M957&lt;Recruiting_Data!L957), AND(Recruiting_Data!L957&lt;&gt;"", Recruiting_Data!K957&lt;&gt;"", Recruiting_Data!L957&lt;Recruiting_Data!K957)), TRUE, FALSE))</f>
        <v/>
      </c>
    </row>
    <row r="958">
      <c r="A958" s="5" t="str">
        <f>IF(Recruiting_Data!A958="", "", Recruiting_Data!A958)</f>
        <v/>
      </c>
      <c r="B958" s="5" t="str">
        <f>IF(Recruiting_Data!B958="", "", Recruiting_Data!B958)</f>
        <v/>
      </c>
      <c r="C958" s="5" t="str">
        <f>IF(AND(ISNUMBER(Recruiting_Data!N958), ISNUMBER(Recruiting_Data!P958)), Recruiting_Data!N958 - Recruiting_Data!P958, "")</f>
        <v/>
      </c>
      <c r="E958" s="5" t="str">
        <f>IF(Recruiting_Data!R958="Open", TODAY() - Recruiting_Data!P958, "")</f>
        <v/>
      </c>
      <c r="F958" s="8" t="str">
        <f t="shared" si="1"/>
        <v/>
      </c>
      <c r="G958" s="5" t="str">
        <f>IF(A958="", "", IF(COUNTIF(Recruiting_Data!A:A, A958)&gt;1, TRUE, FALSE))</f>
        <v/>
      </c>
      <c r="H958" s="5" t="str">
        <f>IF(A958="", "", IF(OR(AND(Recruiting_Data!N958&lt;&gt;"", Recruiting_Data!J958&lt;&gt;"", Recruiting_Data!N958&lt;Recruiting_Data!J958), AND(Recruiting_Data!M958&lt;&gt;"", Recruiting_Data!L958&lt;&gt;"", Recruiting_Data!M958&lt;Recruiting_Data!L958), AND(Recruiting_Data!L958&lt;&gt;"", Recruiting_Data!K958&lt;&gt;"", Recruiting_Data!L958&lt;Recruiting_Data!K958)), TRUE, FALSE))</f>
        <v/>
      </c>
    </row>
    <row r="959">
      <c r="A959" s="5" t="str">
        <f>IF(Recruiting_Data!A959="", "", Recruiting_Data!A959)</f>
        <v/>
      </c>
      <c r="B959" s="5" t="str">
        <f>IF(Recruiting_Data!B959="", "", Recruiting_Data!B959)</f>
        <v/>
      </c>
      <c r="C959" s="5" t="str">
        <f>IF(AND(ISNUMBER(Recruiting_Data!N959), ISNUMBER(Recruiting_Data!P959)), Recruiting_Data!N959 - Recruiting_Data!P959, "")</f>
        <v/>
      </c>
      <c r="E959" s="5" t="str">
        <f>IF(Recruiting_Data!R959="Open", TODAY() - Recruiting_Data!P959, "")</f>
        <v/>
      </c>
      <c r="F959" s="8" t="str">
        <f t="shared" si="1"/>
        <v/>
      </c>
      <c r="G959" s="5" t="str">
        <f>IF(A959="", "", IF(COUNTIF(Recruiting_Data!A:A, A959)&gt;1, TRUE, FALSE))</f>
        <v/>
      </c>
      <c r="H959" s="5" t="str">
        <f>IF(A959="", "", IF(OR(AND(Recruiting_Data!N959&lt;&gt;"", Recruiting_Data!J959&lt;&gt;"", Recruiting_Data!N959&lt;Recruiting_Data!J959), AND(Recruiting_Data!M959&lt;&gt;"", Recruiting_Data!L959&lt;&gt;"", Recruiting_Data!M959&lt;Recruiting_Data!L959), AND(Recruiting_Data!L959&lt;&gt;"", Recruiting_Data!K959&lt;&gt;"", Recruiting_Data!L959&lt;Recruiting_Data!K959)), TRUE, FALSE))</f>
        <v/>
      </c>
    </row>
    <row r="960">
      <c r="A960" s="5" t="str">
        <f>IF(Recruiting_Data!A960="", "", Recruiting_Data!A960)</f>
        <v/>
      </c>
      <c r="B960" s="5" t="str">
        <f>IF(Recruiting_Data!B960="", "", Recruiting_Data!B960)</f>
        <v/>
      </c>
      <c r="C960" s="5" t="str">
        <f>IF(AND(ISNUMBER(Recruiting_Data!N960), ISNUMBER(Recruiting_Data!P960)), Recruiting_Data!N960 - Recruiting_Data!P960, "")</f>
        <v/>
      </c>
      <c r="E960" s="5" t="str">
        <f>IF(Recruiting_Data!R960="Open", TODAY() - Recruiting_Data!P960, "")</f>
        <v/>
      </c>
      <c r="F960" s="8" t="str">
        <f t="shared" si="1"/>
        <v/>
      </c>
      <c r="G960" s="5" t="str">
        <f>IF(A960="", "", IF(COUNTIF(Recruiting_Data!A:A, A960)&gt;1, TRUE, FALSE))</f>
        <v/>
      </c>
      <c r="H960" s="5" t="str">
        <f>IF(A960="", "", IF(OR(AND(Recruiting_Data!N960&lt;&gt;"", Recruiting_Data!J960&lt;&gt;"", Recruiting_Data!N960&lt;Recruiting_Data!J960), AND(Recruiting_Data!M960&lt;&gt;"", Recruiting_Data!L960&lt;&gt;"", Recruiting_Data!M960&lt;Recruiting_Data!L960), AND(Recruiting_Data!L960&lt;&gt;"", Recruiting_Data!K960&lt;&gt;"", Recruiting_Data!L960&lt;Recruiting_Data!K960)), TRUE, FALSE))</f>
        <v/>
      </c>
    </row>
    <row r="961">
      <c r="A961" s="5" t="str">
        <f>IF(Recruiting_Data!A961="", "", Recruiting_Data!A961)</f>
        <v/>
      </c>
      <c r="B961" s="5" t="str">
        <f>IF(Recruiting_Data!B961="", "", Recruiting_Data!B961)</f>
        <v/>
      </c>
      <c r="C961" s="5" t="str">
        <f>IF(AND(ISNUMBER(Recruiting_Data!N961), ISNUMBER(Recruiting_Data!P961)), Recruiting_Data!N961 - Recruiting_Data!P961, "")</f>
        <v/>
      </c>
      <c r="E961" s="5" t="str">
        <f>IF(Recruiting_Data!R961="Open", TODAY() - Recruiting_Data!P961, "")</f>
        <v/>
      </c>
      <c r="F961" s="8" t="str">
        <f t="shared" si="1"/>
        <v/>
      </c>
      <c r="G961" s="5" t="str">
        <f>IF(A961="", "", IF(COUNTIF(Recruiting_Data!A:A, A961)&gt;1, TRUE, FALSE))</f>
        <v/>
      </c>
      <c r="H961" s="5" t="str">
        <f>IF(A961="", "", IF(OR(AND(Recruiting_Data!N961&lt;&gt;"", Recruiting_Data!J961&lt;&gt;"", Recruiting_Data!N961&lt;Recruiting_Data!J961), AND(Recruiting_Data!M961&lt;&gt;"", Recruiting_Data!L961&lt;&gt;"", Recruiting_Data!M961&lt;Recruiting_Data!L961), AND(Recruiting_Data!L961&lt;&gt;"", Recruiting_Data!K961&lt;&gt;"", Recruiting_Data!L961&lt;Recruiting_Data!K961)), TRUE, FALSE))</f>
        <v/>
      </c>
    </row>
    <row r="962">
      <c r="A962" s="5" t="str">
        <f>IF(Recruiting_Data!A962="", "", Recruiting_Data!A962)</f>
        <v/>
      </c>
      <c r="B962" s="5" t="str">
        <f>IF(Recruiting_Data!B962="", "", Recruiting_Data!B962)</f>
        <v/>
      </c>
      <c r="C962" s="5" t="str">
        <f>IF(AND(ISNUMBER(Recruiting_Data!N962), ISNUMBER(Recruiting_Data!P962)), Recruiting_Data!N962 - Recruiting_Data!P962, "")</f>
        <v/>
      </c>
      <c r="E962" s="5" t="str">
        <f>IF(Recruiting_Data!R962="Open", TODAY() - Recruiting_Data!P962, "")</f>
        <v/>
      </c>
      <c r="F962" s="8" t="str">
        <f t="shared" si="1"/>
        <v/>
      </c>
      <c r="G962" s="5" t="str">
        <f>IF(A962="", "", IF(COUNTIF(Recruiting_Data!A:A, A962)&gt;1, TRUE, FALSE))</f>
        <v/>
      </c>
      <c r="H962" s="5" t="str">
        <f>IF(A962="", "", IF(OR(AND(Recruiting_Data!N962&lt;&gt;"", Recruiting_Data!J962&lt;&gt;"", Recruiting_Data!N962&lt;Recruiting_Data!J962), AND(Recruiting_Data!M962&lt;&gt;"", Recruiting_Data!L962&lt;&gt;"", Recruiting_Data!M962&lt;Recruiting_Data!L962), AND(Recruiting_Data!L962&lt;&gt;"", Recruiting_Data!K962&lt;&gt;"", Recruiting_Data!L962&lt;Recruiting_Data!K962)), TRUE, FALSE))</f>
        <v/>
      </c>
    </row>
    <row r="963">
      <c r="A963" s="5" t="str">
        <f>IF(Recruiting_Data!A963="", "", Recruiting_Data!A963)</f>
        <v/>
      </c>
      <c r="B963" s="5" t="str">
        <f>IF(Recruiting_Data!B963="", "", Recruiting_Data!B963)</f>
        <v/>
      </c>
      <c r="C963" s="5" t="str">
        <f>IF(AND(ISNUMBER(Recruiting_Data!N963), ISNUMBER(Recruiting_Data!P963)), Recruiting_Data!N963 - Recruiting_Data!P963, "")</f>
        <v/>
      </c>
      <c r="E963" s="5" t="str">
        <f>IF(Recruiting_Data!R963="Open", TODAY() - Recruiting_Data!P963, "")</f>
        <v/>
      </c>
      <c r="F963" s="8" t="str">
        <f t="shared" si="1"/>
        <v/>
      </c>
      <c r="G963" s="5" t="str">
        <f>IF(A963="", "", IF(COUNTIF(Recruiting_Data!A:A, A963)&gt;1, TRUE, FALSE))</f>
        <v/>
      </c>
      <c r="H963" s="5" t="str">
        <f>IF(A963="", "", IF(OR(AND(Recruiting_Data!N963&lt;&gt;"", Recruiting_Data!J963&lt;&gt;"", Recruiting_Data!N963&lt;Recruiting_Data!J963), AND(Recruiting_Data!M963&lt;&gt;"", Recruiting_Data!L963&lt;&gt;"", Recruiting_Data!M963&lt;Recruiting_Data!L963), AND(Recruiting_Data!L963&lt;&gt;"", Recruiting_Data!K963&lt;&gt;"", Recruiting_Data!L963&lt;Recruiting_Data!K963)), TRUE, FALSE))</f>
        <v/>
      </c>
    </row>
    <row r="964">
      <c r="A964" s="5" t="str">
        <f>IF(Recruiting_Data!A964="", "", Recruiting_Data!A964)</f>
        <v/>
      </c>
      <c r="B964" s="5" t="str">
        <f>IF(Recruiting_Data!B964="", "", Recruiting_Data!B964)</f>
        <v/>
      </c>
      <c r="C964" s="5" t="str">
        <f>IF(AND(ISNUMBER(Recruiting_Data!N964), ISNUMBER(Recruiting_Data!P964)), Recruiting_Data!N964 - Recruiting_Data!P964, "")</f>
        <v/>
      </c>
      <c r="E964" s="5" t="str">
        <f>IF(Recruiting_Data!R964="Open", TODAY() - Recruiting_Data!P964, "")</f>
        <v/>
      </c>
      <c r="F964" s="8" t="str">
        <f t="shared" si="1"/>
        <v/>
      </c>
      <c r="G964" s="5" t="str">
        <f>IF(A964="", "", IF(COUNTIF(Recruiting_Data!A:A, A964)&gt;1, TRUE, FALSE))</f>
        <v/>
      </c>
      <c r="H964" s="5" t="str">
        <f>IF(A964="", "", IF(OR(AND(Recruiting_Data!N964&lt;&gt;"", Recruiting_Data!J964&lt;&gt;"", Recruiting_Data!N964&lt;Recruiting_Data!J964), AND(Recruiting_Data!M964&lt;&gt;"", Recruiting_Data!L964&lt;&gt;"", Recruiting_Data!M964&lt;Recruiting_Data!L964), AND(Recruiting_Data!L964&lt;&gt;"", Recruiting_Data!K964&lt;&gt;"", Recruiting_Data!L964&lt;Recruiting_Data!K964)), TRUE, FALSE))</f>
        <v/>
      </c>
    </row>
    <row r="965">
      <c r="A965" s="5" t="str">
        <f>IF(Recruiting_Data!A965="", "", Recruiting_Data!A965)</f>
        <v/>
      </c>
      <c r="B965" s="5" t="str">
        <f>IF(Recruiting_Data!B965="", "", Recruiting_Data!B965)</f>
        <v/>
      </c>
      <c r="C965" s="5" t="str">
        <f>IF(AND(ISNUMBER(Recruiting_Data!N965), ISNUMBER(Recruiting_Data!P965)), Recruiting_Data!N965 - Recruiting_Data!P965, "")</f>
        <v/>
      </c>
      <c r="E965" s="5" t="str">
        <f>IF(Recruiting_Data!R965="Open", TODAY() - Recruiting_Data!P965, "")</f>
        <v/>
      </c>
      <c r="F965" s="8" t="str">
        <f t="shared" si="1"/>
        <v/>
      </c>
      <c r="G965" s="5" t="str">
        <f>IF(A965="", "", IF(COUNTIF(Recruiting_Data!A:A, A965)&gt;1, TRUE, FALSE))</f>
        <v/>
      </c>
      <c r="H965" s="5" t="str">
        <f>IF(A965="", "", IF(OR(AND(Recruiting_Data!N965&lt;&gt;"", Recruiting_Data!J965&lt;&gt;"", Recruiting_Data!N965&lt;Recruiting_Data!J965), AND(Recruiting_Data!M965&lt;&gt;"", Recruiting_Data!L965&lt;&gt;"", Recruiting_Data!M965&lt;Recruiting_Data!L965), AND(Recruiting_Data!L965&lt;&gt;"", Recruiting_Data!K965&lt;&gt;"", Recruiting_Data!L965&lt;Recruiting_Data!K965)), TRUE, FALSE))</f>
        <v/>
      </c>
    </row>
    <row r="966">
      <c r="A966" s="5" t="str">
        <f>IF(Recruiting_Data!A966="", "", Recruiting_Data!A966)</f>
        <v/>
      </c>
      <c r="B966" s="5" t="str">
        <f>IF(Recruiting_Data!B966="", "", Recruiting_Data!B966)</f>
        <v/>
      </c>
      <c r="C966" s="5" t="str">
        <f>IF(AND(ISNUMBER(Recruiting_Data!N966), ISNUMBER(Recruiting_Data!P966)), Recruiting_Data!N966 - Recruiting_Data!P966, "")</f>
        <v/>
      </c>
      <c r="E966" s="5" t="str">
        <f>IF(Recruiting_Data!R966="Open", TODAY() - Recruiting_Data!P966, "")</f>
        <v/>
      </c>
      <c r="F966" s="8" t="str">
        <f t="shared" si="1"/>
        <v/>
      </c>
      <c r="G966" s="5" t="str">
        <f>IF(A966="", "", IF(COUNTIF(Recruiting_Data!A:A, A966)&gt;1, TRUE, FALSE))</f>
        <v/>
      </c>
      <c r="H966" s="5" t="str">
        <f>IF(A966="", "", IF(OR(AND(Recruiting_Data!N966&lt;&gt;"", Recruiting_Data!J966&lt;&gt;"", Recruiting_Data!N966&lt;Recruiting_Data!J966), AND(Recruiting_Data!M966&lt;&gt;"", Recruiting_Data!L966&lt;&gt;"", Recruiting_Data!M966&lt;Recruiting_Data!L966), AND(Recruiting_Data!L966&lt;&gt;"", Recruiting_Data!K966&lt;&gt;"", Recruiting_Data!L966&lt;Recruiting_Data!K966)), TRUE, FALSE))</f>
        <v/>
      </c>
    </row>
    <row r="967">
      <c r="A967" s="5" t="str">
        <f>IF(Recruiting_Data!A967="", "", Recruiting_Data!A967)</f>
        <v/>
      </c>
      <c r="B967" s="5" t="str">
        <f>IF(Recruiting_Data!B967="", "", Recruiting_Data!B967)</f>
        <v/>
      </c>
      <c r="C967" s="5" t="str">
        <f>IF(AND(ISNUMBER(Recruiting_Data!N967), ISNUMBER(Recruiting_Data!P967)), Recruiting_Data!N967 - Recruiting_Data!P967, "")</f>
        <v/>
      </c>
      <c r="E967" s="5" t="str">
        <f>IF(Recruiting_Data!R967="Open", TODAY() - Recruiting_Data!P967, "")</f>
        <v/>
      </c>
      <c r="F967" s="8" t="str">
        <f t="shared" si="1"/>
        <v/>
      </c>
      <c r="G967" s="5" t="str">
        <f>IF(A967="", "", IF(COUNTIF(Recruiting_Data!A:A, A967)&gt;1, TRUE, FALSE))</f>
        <v/>
      </c>
      <c r="H967" s="5" t="str">
        <f>IF(A967="", "", IF(OR(AND(Recruiting_Data!N967&lt;&gt;"", Recruiting_Data!J967&lt;&gt;"", Recruiting_Data!N967&lt;Recruiting_Data!J967), AND(Recruiting_Data!M967&lt;&gt;"", Recruiting_Data!L967&lt;&gt;"", Recruiting_Data!M967&lt;Recruiting_Data!L967), AND(Recruiting_Data!L967&lt;&gt;"", Recruiting_Data!K967&lt;&gt;"", Recruiting_Data!L967&lt;Recruiting_Data!K967)), TRUE, FALSE))</f>
        <v/>
      </c>
    </row>
    <row r="968">
      <c r="A968" s="5" t="str">
        <f>IF(Recruiting_Data!A968="", "", Recruiting_Data!A968)</f>
        <v/>
      </c>
      <c r="B968" s="5" t="str">
        <f>IF(Recruiting_Data!B968="", "", Recruiting_Data!B968)</f>
        <v/>
      </c>
      <c r="C968" s="5" t="str">
        <f>IF(AND(ISNUMBER(Recruiting_Data!N968), ISNUMBER(Recruiting_Data!P968)), Recruiting_Data!N968 - Recruiting_Data!P968, "")</f>
        <v/>
      </c>
      <c r="E968" s="5" t="str">
        <f>IF(Recruiting_Data!R968="Open", TODAY() - Recruiting_Data!P968, "")</f>
        <v/>
      </c>
      <c r="F968" s="8" t="str">
        <f t="shared" si="1"/>
        <v/>
      </c>
      <c r="G968" s="5" t="str">
        <f>IF(A968="", "", IF(COUNTIF(Recruiting_Data!A:A, A968)&gt;1, TRUE, FALSE))</f>
        <v/>
      </c>
      <c r="H968" s="5" t="str">
        <f>IF(A968="", "", IF(OR(AND(Recruiting_Data!N968&lt;&gt;"", Recruiting_Data!J968&lt;&gt;"", Recruiting_Data!N968&lt;Recruiting_Data!J968), AND(Recruiting_Data!M968&lt;&gt;"", Recruiting_Data!L968&lt;&gt;"", Recruiting_Data!M968&lt;Recruiting_Data!L968), AND(Recruiting_Data!L968&lt;&gt;"", Recruiting_Data!K968&lt;&gt;"", Recruiting_Data!L968&lt;Recruiting_Data!K968)), TRUE, FALSE))</f>
        <v/>
      </c>
    </row>
    <row r="969">
      <c r="A969" s="5" t="str">
        <f>IF(Recruiting_Data!A969="", "", Recruiting_Data!A969)</f>
        <v/>
      </c>
      <c r="B969" s="5" t="str">
        <f>IF(Recruiting_Data!B969="", "", Recruiting_Data!B969)</f>
        <v/>
      </c>
      <c r="C969" s="5" t="str">
        <f>IF(AND(ISNUMBER(Recruiting_Data!N969), ISNUMBER(Recruiting_Data!P969)), Recruiting_Data!N969 - Recruiting_Data!P969, "")</f>
        <v/>
      </c>
      <c r="E969" s="5" t="str">
        <f>IF(Recruiting_Data!R969="Open", TODAY() - Recruiting_Data!P969, "")</f>
        <v/>
      </c>
      <c r="F969" s="8" t="str">
        <f t="shared" si="1"/>
        <v/>
      </c>
      <c r="G969" s="5" t="str">
        <f>IF(A969="", "", IF(COUNTIF(Recruiting_Data!A:A, A969)&gt;1, TRUE, FALSE))</f>
        <v/>
      </c>
      <c r="H969" s="5" t="str">
        <f>IF(A969="", "", IF(OR(AND(Recruiting_Data!N969&lt;&gt;"", Recruiting_Data!J969&lt;&gt;"", Recruiting_Data!N969&lt;Recruiting_Data!J969), AND(Recruiting_Data!M969&lt;&gt;"", Recruiting_Data!L969&lt;&gt;"", Recruiting_Data!M969&lt;Recruiting_Data!L969), AND(Recruiting_Data!L969&lt;&gt;"", Recruiting_Data!K969&lt;&gt;"", Recruiting_Data!L969&lt;Recruiting_Data!K969)), TRUE, FALSE))</f>
        <v/>
      </c>
    </row>
    <row r="970">
      <c r="A970" s="5" t="str">
        <f>IF(Recruiting_Data!A970="", "", Recruiting_Data!A970)</f>
        <v/>
      </c>
      <c r="B970" s="5" t="str">
        <f>IF(Recruiting_Data!B970="", "", Recruiting_Data!B970)</f>
        <v/>
      </c>
      <c r="C970" s="5" t="str">
        <f>IF(AND(ISNUMBER(Recruiting_Data!N970), ISNUMBER(Recruiting_Data!P970)), Recruiting_Data!N970 - Recruiting_Data!P970, "")</f>
        <v/>
      </c>
      <c r="E970" s="5" t="str">
        <f>IF(Recruiting_Data!R970="Open", TODAY() - Recruiting_Data!P970, "")</f>
        <v/>
      </c>
      <c r="F970" s="8" t="str">
        <f t="shared" si="1"/>
        <v/>
      </c>
      <c r="G970" s="5" t="str">
        <f>IF(A970="", "", IF(COUNTIF(Recruiting_Data!A:A, A970)&gt;1, TRUE, FALSE))</f>
        <v/>
      </c>
      <c r="H970" s="5" t="str">
        <f>IF(A970="", "", IF(OR(AND(Recruiting_Data!N970&lt;&gt;"", Recruiting_Data!J970&lt;&gt;"", Recruiting_Data!N970&lt;Recruiting_Data!J970), AND(Recruiting_Data!M970&lt;&gt;"", Recruiting_Data!L970&lt;&gt;"", Recruiting_Data!M970&lt;Recruiting_Data!L970), AND(Recruiting_Data!L970&lt;&gt;"", Recruiting_Data!K970&lt;&gt;"", Recruiting_Data!L970&lt;Recruiting_Data!K970)), TRUE, FALSE))</f>
        <v/>
      </c>
    </row>
    <row r="971">
      <c r="A971" s="5" t="str">
        <f>IF(Recruiting_Data!A971="", "", Recruiting_Data!A971)</f>
        <v/>
      </c>
      <c r="B971" s="5" t="str">
        <f>IF(Recruiting_Data!B971="", "", Recruiting_Data!B971)</f>
        <v/>
      </c>
      <c r="C971" s="5" t="str">
        <f>IF(AND(ISNUMBER(Recruiting_Data!N971), ISNUMBER(Recruiting_Data!P971)), Recruiting_Data!N971 - Recruiting_Data!P971, "")</f>
        <v/>
      </c>
      <c r="E971" s="5" t="str">
        <f>IF(Recruiting_Data!R971="Open", TODAY() - Recruiting_Data!P971, "")</f>
        <v/>
      </c>
      <c r="F971" s="8" t="str">
        <f t="shared" si="1"/>
        <v/>
      </c>
      <c r="G971" s="5" t="str">
        <f>IF(A971="", "", IF(COUNTIF(Recruiting_Data!A:A, A971)&gt;1, TRUE, FALSE))</f>
        <v/>
      </c>
      <c r="H971" s="5" t="str">
        <f>IF(A971="", "", IF(OR(AND(Recruiting_Data!N971&lt;&gt;"", Recruiting_Data!J971&lt;&gt;"", Recruiting_Data!N971&lt;Recruiting_Data!J971), AND(Recruiting_Data!M971&lt;&gt;"", Recruiting_Data!L971&lt;&gt;"", Recruiting_Data!M971&lt;Recruiting_Data!L971), AND(Recruiting_Data!L971&lt;&gt;"", Recruiting_Data!K971&lt;&gt;"", Recruiting_Data!L971&lt;Recruiting_Data!K971)), TRUE, FALSE))</f>
        <v/>
      </c>
    </row>
    <row r="972">
      <c r="A972" s="5" t="str">
        <f>IF(Recruiting_Data!A972="", "", Recruiting_Data!A972)</f>
        <v/>
      </c>
      <c r="B972" s="5" t="str">
        <f>IF(Recruiting_Data!B972="", "", Recruiting_Data!B972)</f>
        <v/>
      </c>
      <c r="C972" s="5" t="str">
        <f>IF(AND(ISNUMBER(Recruiting_Data!N972), ISNUMBER(Recruiting_Data!P972)), Recruiting_Data!N972 - Recruiting_Data!P972, "")</f>
        <v/>
      </c>
      <c r="E972" s="5" t="str">
        <f>IF(Recruiting_Data!R972="Open", TODAY() - Recruiting_Data!P972, "")</f>
        <v/>
      </c>
      <c r="F972" s="8" t="str">
        <f t="shared" si="1"/>
        <v/>
      </c>
      <c r="G972" s="5" t="str">
        <f>IF(A972="", "", IF(COUNTIF(Recruiting_Data!A:A, A972)&gt;1, TRUE, FALSE))</f>
        <v/>
      </c>
      <c r="H972" s="5" t="str">
        <f>IF(A972="", "", IF(OR(AND(Recruiting_Data!N972&lt;&gt;"", Recruiting_Data!J972&lt;&gt;"", Recruiting_Data!N972&lt;Recruiting_Data!J972), AND(Recruiting_Data!M972&lt;&gt;"", Recruiting_Data!L972&lt;&gt;"", Recruiting_Data!M972&lt;Recruiting_Data!L972), AND(Recruiting_Data!L972&lt;&gt;"", Recruiting_Data!K972&lt;&gt;"", Recruiting_Data!L972&lt;Recruiting_Data!K972)), TRUE, FALSE))</f>
        <v/>
      </c>
    </row>
    <row r="973">
      <c r="A973" s="5" t="str">
        <f>IF(Recruiting_Data!A973="", "", Recruiting_Data!A973)</f>
        <v/>
      </c>
      <c r="B973" s="5" t="str">
        <f>IF(Recruiting_Data!B973="", "", Recruiting_Data!B973)</f>
        <v/>
      </c>
      <c r="C973" s="5" t="str">
        <f>IF(AND(ISNUMBER(Recruiting_Data!N973), ISNUMBER(Recruiting_Data!P973)), Recruiting_Data!N973 - Recruiting_Data!P973, "")</f>
        <v/>
      </c>
      <c r="E973" s="5" t="str">
        <f>IF(Recruiting_Data!R973="Open", TODAY() - Recruiting_Data!P973, "")</f>
        <v/>
      </c>
      <c r="F973" s="8" t="str">
        <f t="shared" si="1"/>
        <v/>
      </c>
      <c r="G973" s="5" t="str">
        <f>IF(A973="", "", IF(COUNTIF(Recruiting_Data!A:A, A973)&gt;1, TRUE, FALSE))</f>
        <v/>
      </c>
      <c r="H973" s="5" t="str">
        <f>IF(A973="", "", IF(OR(AND(Recruiting_Data!N973&lt;&gt;"", Recruiting_Data!J973&lt;&gt;"", Recruiting_Data!N973&lt;Recruiting_Data!J973), AND(Recruiting_Data!M973&lt;&gt;"", Recruiting_Data!L973&lt;&gt;"", Recruiting_Data!M973&lt;Recruiting_Data!L973), AND(Recruiting_Data!L973&lt;&gt;"", Recruiting_Data!K973&lt;&gt;"", Recruiting_Data!L973&lt;Recruiting_Data!K973)), TRUE, FALSE))</f>
        <v/>
      </c>
    </row>
    <row r="974">
      <c r="A974" s="5" t="str">
        <f>IF(Recruiting_Data!A974="", "", Recruiting_Data!A974)</f>
        <v/>
      </c>
      <c r="B974" s="5" t="str">
        <f>IF(Recruiting_Data!B974="", "", Recruiting_Data!B974)</f>
        <v/>
      </c>
      <c r="C974" s="5" t="str">
        <f>IF(AND(ISNUMBER(Recruiting_Data!N974), ISNUMBER(Recruiting_Data!P974)), Recruiting_Data!N974 - Recruiting_Data!P974, "")</f>
        <v/>
      </c>
      <c r="E974" s="5" t="str">
        <f>IF(Recruiting_Data!R974="Open", TODAY() - Recruiting_Data!P974, "")</f>
        <v/>
      </c>
      <c r="F974" s="8" t="str">
        <f t="shared" si="1"/>
        <v/>
      </c>
      <c r="G974" s="5" t="str">
        <f>IF(A974="", "", IF(COUNTIF(Recruiting_Data!A:A, A974)&gt;1, TRUE, FALSE))</f>
        <v/>
      </c>
      <c r="H974" s="5" t="str">
        <f>IF(A974="", "", IF(OR(AND(Recruiting_Data!N974&lt;&gt;"", Recruiting_Data!J974&lt;&gt;"", Recruiting_Data!N974&lt;Recruiting_Data!J974), AND(Recruiting_Data!M974&lt;&gt;"", Recruiting_Data!L974&lt;&gt;"", Recruiting_Data!M974&lt;Recruiting_Data!L974), AND(Recruiting_Data!L974&lt;&gt;"", Recruiting_Data!K974&lt;&gt;"", Recruiting_Data!L974&lt;Recruiting_Data!K974)), TRUE, FALSE))</f>
        <v/>
      </c>
    </row>
    <row r="975">
      <c r="A975" s="5" t="str">
        <f>IF(Recruiting_Data!A975="", "", Recruiting_Data!A975)</f>
        <v/>
      </c>
      <c r="B975" s="5" t="str">
        <f>IF(Recruiting_Data!B975="", "", Recruiting_Data!B975)</f>
        <v/>
      </c>
      <c r="C975" s="5" t="str">
        <f>IF(AND(ISNUMBER(Recruiting_Data!N975), ISNUMBER(Recruiting_Data!P975)), Recruiting_Data!N975 - Recruiting_Data!P975, "")</f>
        <v/>
      </c>
      <c r="E975" s="5" t="str">
        <f>IF(Recruiting_Data!R975="Open", TODAY() - Recruiting_Data!P975, "")</f>
        <v/>
      </c>
      <c r="F975" s="8" t="str">
        <f t="shared" si="1"/>
        <v/>
      </c>
      <c r="G975" s="5" t="str">
        <f>IF(A975="", "", IF(COUNTIF(Recruiting_Data!A:A, A975)&gt;1, TRUE, FALSE))</f>
        <v/>
      </c>
      <c r="H975" s="5" t="str">
        <f>IF(A975="", "", IF(OR(AND(Recruiting_Data!N975&lt;&gt;"", Recruiting_Data!J975&lt;&gt;"", Recruiting_Data!N975&lt;Recruiting_Data!J975), AND(Recruiting_Data!M975&lt;&gt;"", Recruiting_Data!L975&lt;&gt;"", Recruiting_Data!M975&lt;Recruiting_Data!L975), AND(Recruiting_Data!L975&lt;&gt;"", Recruiting_Data!K975&lt;&gt;"", Recruiting_Data!L975&lt;Recruiting_Data!K975)), TRUE, FALSE))</f>
        <v/>
      </c>
    </row>
    <row r="976">
      <c r="A976" s="5" t="str">
        <f>IF(Recruiting_Data!A976="", "", Recruiting_Data!A976)</f>
        <v/>
      </c>
      <c r="B976" s="5" t="str">
        <f>IF(Recruiting_Data!B976="", "", Recruiting_Data!B976)</f>
        <v/>
      </c>
      <c r="C976" s="5" t="str">
        <f>IF(AND(ISNUMBER(Recruiting_Data!N976), ISNUMBER(Recruiting_Data!P976)), Recruiting_Data!N976 - Recruiting_Data!P976, "")</f>
        <v/>
      </c>
      <c r="E976" s="5" t="str">
        <f>IF(Recruiting_Data!R976="Open", TODAY() - Recruiting_Data!P976, "")</f>
        <v/>
      </c>
      <c r="F976" s="8" t="str">
        <f t="shared" si="1"/>
        <v/>
      </c>
      <c r="G976" s="5" t="str">
        <f>IF(A976="", "", IF(COUNTIF(Recruiting_Data!A:A, A976)&gt;1, TRUE, FALSE))</f>
        <v/>
      </c>
      <c r="H976" s="5" t="str">
        <f>IF(A976="", "", IF(OR(AND(Recruiting_Data!N976&lt;&gt;"", Recruiting_Data!J976&lt;&gt;"", Recruiting_Data!N976&lt;Recruiting_Data!J976), AND(Recruiting_Data!M976&lt;&gt;"", Recruiting_Data!L976&lt;&gt;"", Recruiting_Data!M976&lt;Recruiting_Data!L976), AND(Recruiting_Data!L976&lt;&gt;"", Recruiting_Data!K976&lt;&gt;"", Recruiting_Data!L976&lt;Recruiting_Data!K976)), TRUE, FALSE))</f>
        <v/>
      </c>
    </row>
    <row r="977">
      <c r="A977" s="5" t="str">
        <f>IF(Recruiting_Data!A977="", "", Recruiting_Data!A977)</f>
        <v/>
      </c>
      <c r="B977" s="5" t="str">
        <f>IF(Recruiting_Data!B977="", "", Recruiting_Data!B977)</f>
        <v/>
      </c>
      <c r="C977" s="5" t="str">
        <f>IF(AND(ISNUMBER(Recruiting_Data!N977), ISNUMBER(Recruiting_Data!P977)), Recruiting_Data!N977 - Recruiting_Data!P977, "")</f>
        <v/>
      </c>
      <c r="E977" s="5" t="str">
        <f>IF(Recruiting_Data!R977="Open", TODAY() - Recruiting_Data!P977, "")</f>
        <v/>
      </c>
      <c r="F977" s="8" t="str">
        <f t="shared" si="1"/>
        <v/>
      </c>
      <c r="G977" s="5" t="str">
        <f>IF(A977="", "", IF(COUNTIF(Recruiting_Data!A:A, A977)&gt;1, TRUE, FALSE))</f>
        <v/>
      </c>
      <c r="H977" s="5" t="str">
        <f>IF(A977="", "", IF(OR(AND(Recruiting_Data!N977&lt;&gt;"", Recruiting_Data!J977&lt;&gt;"", Recruiting_Data!N977&lt;Recruiting_Data!J977), AND(Recruiting_Data!M977&lt;&gt;"", Recruiting_Data!L977&lt;&gt;"", Recruiting_Data!M977&lt;Recruiting_Data!L977), AND(Recruiting_Data!L977&lt;&gt;"", Recruiting_Data!K977&lt;&gt;"", Recruiting_Data!L977&lt;Recruiting_Data!K977)), TRUE, FALSE))</f>
        <v/>
      </c>
    </row>
    <row r="978">
      <c r="A978" s="5" t="str">
        <f>IF(Recruiting_Data!A978="", "", Recruiting_Data!A978)</f>
        <v/>
      </c>
      <c r="B978" s="5" t="str">
        <f>IF(Recruiting_Data!B978="", "", Recruiting_Data!B978)</f>
        <v/>
      </c>
      <c r="C978" s="5" t="str">
        <f>IF(AND(ISNUMBER(Recruiting_Data!N978), ISNUMBER(Recruiting_Data!P978)), Recruiting_Data!N978 - Recruiting_Data!P978, "")</f>
        <v/>
      </c>
      <c r="E978" s="5" t="str">
        <f>IF(Recruiting_Data!R978="Open", TODAY() - Recruiting_Data!P978, "")</f>
        <v/>
      </c>
      <c r="F978" s="8" t="str">
        <f t="shared" si="1"/>
        <v/>
      </c>
      <c r="G978" s="5" t="str">
        <f>IF(A978="", "", IF(COUNTIF(Recruiting_Data!A:A, A978)&gt;1, TRUE, FALSE))</f>
        <v/>
      </c>
      <c r="H978" s="5" t="str">
        <f>IF(A978="", "", IF(OR(AND(Recruiting_Data!N978&lt;&gt;"", Recruiting_Data!J978&lt;&gt;"", Recruiting_Data!N978&lt;Recruiting_Data!J978), AND(Recruiting_Data!M978&lt;&gt;"", Recruiting_Data!L978&lt;&gt;"", Recruiting_Data!M978&lt;Recruiting_Data!L978), AND(Recruiting_Data!L978&lt;&gt;"", Recruiting_Data!K978&lt;&gt;"", Recruiting_Data!L978&lt;Recruiting_Data!K978)), TRUE, FALSE))</f>
        <v/>
      </c>
    </row>
    <row r="979">
      <c r="A979" s="5" t="str">
        <f>IF(Recruiting_Data!A979="", "", Recruiting_Data!A979)</f>
        <v/>
      </c>
      <c r="B979" s="5" t="str">
        <f>IF(Recruiting_Data!B979="", "", Recruiting_Data!B979)</f>
        <v/>
      </c>
      <c r="C979" s="5" t="str">
        <f>IF(AND(ISNUMBER(Recruiting_Data!N979), ISNUMBER(Recruiting_Data!P979)), Recruiting_Data!N979 - Recruiting_Data!P979, "")</f>
        <v/>
      </c>
      <c r="E979" s="5" t="str">
        <f>IF(Recruiting_Data!R979="Open", TODAY() - Recruiting_Data!P979, "")</f>
        <v/>
      </c>
      <c r="F979" s="8" t="str">
        <f t="shared" si="1"/>
        <v/>
      </c>
      <c r="G979" s="5" t="str">
        <f>IF(A979="", "", IF(COUNTIF(Recruiting_Data!A:A, A979)&gt;1, TRUE, FALSE))</f>
        <v/>
      </c>
      <c r="H979" s="5" t="str">
        <f>IF(A979="", "", IF(OR(AND(Recruiting_Data!N979&lt;&gt;"", Recruiting_Data!J979&lt;&gt;"", Recruiting_Data!N979&lt;Recruiting_Data!J979), AND(Recruiting_Data!M979&lt;&gt;"", Recruiting_Data!L979&lt;&gt;"", Recruiting_Data!M979&lt;Recruiting_Data!L979), AND(Recruiting_Data!L979&lt;&gt;"", Recruiting_Data!K979&lt;&gt;"", Recruiting_Data!L979&lt;Recruiting_Data!K979)), TRUE, FALSE))</f>
        <v/>
      </c>
    </row>
    <row r="980">
      <c r="A980" s="5" t="str">
        <f>IF(Recruiting_Data!A980="", "", Recruiting_Data!A980)</f>
        <v/>
      </c>
      <c r="B980" s="5" t="str">
        <f>IF(Recruiting_Data!B980="", "", Recruiting_Data!B980)</f>
        <v/>
      </c>
      <c r="C980" s="5" t="str">
        <f>IF(AND(ISNUMBER(Recruiting_Data!N980), ISNUMBER(Recruiting_Data!P980)), Recruiting_Data!N980 - Recruiting_Data!P980, "")</f>
        <v/>
      </c>
      <c r="E980" s="5" t="str">
        <f>IF(Recruiting_Data!R980="Open", TODAY() - Recruiting_Data!P980, "")</f>
        <v/>
      </c>
      <c r="F980" s="8" t="str">
        <f t="shared" si="1"/>
        <v/>
      </c>
      <c r="G980" s="5" t="str">
        <f>IF(A980="", "", IF(COUNTIF(Recruiting_Data!A:A, A980)&gt;1, TRUE, FALSE))</f>
        <v/>
      </c>
      <c r="H980" s="5" t="str">
        <f>IF(A980="", "", IF(OR(AND(Recruiting_Data!N980&lt;&gt;"", Recruiting_Data!J980&lt;&gt;"", Recruiting_Data!N980&lt;Recruiting_Data!J980), AND(Recruiting_Data!M980&lt;&gt;"", Recruiting_Data!L980&lt;&gt;"", Recruiting_Data!M980&lt;Recruiting_Data!L980), AND(Recruiting_Data!L980&lt;&gt;"", Recruiting_Data!K980&lt;&gt;"", Recruiting_Data!L980&lt;Recruiting_Data!K980)), TRUE, FALSE))</f>
        <v/>
      </c>
    </row>
    <row r="981">
      <c r="A981" s="5" t="str">
        <f>IF(Recruiting_Data!A981="", "", Recruiting_Data!A981)</f>
        <v/>
      </c>
      <c r="B981" s="5" t="str">
        <f>IF(Recruiting_Data!B981="", "", Recruiting_Data!B981)</f>
        <v/>
      </c>
      <c r="C981" s="5" t="str">
        <f>IF(AND(ISNUMBER(Recruiting_Data!N981), ISNUMBER(Recruiting_Data!P981)), Recruiting_Data!N981 - Recruiting_Data!P981, "")</f>
        <v/>
      </c>
      <c r="E981" s="5" t="str">
        <f>IF(Recruiting_Data!R981="Open", TODAY() - Recruiting_Data!P981, "")</f>
        <v/>
      </c>
      <c r="F981" s="8" t="str">
        <f t="shared" si="1"/>
        <v/>
      </c>
      <c r="G981" s="5" t="str">
        <f>IF(A981="", "", IF(COUNTIF(Recruiting_Data!A:A, A981)&gt;1, TRUE, FALSE))</f>
        <v/>
      </c>
      <c r="H981" s="5" t="str">
        <f>IF(A981="", "", IF(OR(AND(Recruiting_Data!N981&lt;&gt;"", Recruiting_Data!J981&lt;&gt;"", Recruiting_Data!N981&lt;Recruiting_Data!J981), AND(Recruiting_Data!M981&lt;&gt;"", Recruiting_Data!L981&lt;&gt;"", Recruiting_Data!M981&lt;Recruiting_Data!L981), AND(Recruiting_Data!L981&lt;&gt;"", Recruiting_Data!K981&lt;&gt;"", Recruiting_Data!L981&lt;Recruiting_Data!K981)), TRUE, FALSE))</f>
        <v/>
      </c>
    </row>
    <row r="982">
      <c r="A982" s="5" t="str">
        <f>IF(Recruiting_Data!A982="", "", Recruiting_Data!A982)</f>
        <v/>
      </c>
      <c r="B982" s="5" t="str">
        <f>IF(Recruiting_Data!B982="", "", Recruiting_Data!B982)</f>
        <v/>
      </c>
      <c r="C982" s="5" t="str">
        <f>IF(AND(ISNUMBER(Recruiting_Data!N982), ISNUMBER(Recruiting_Data!P982)), Recruiting_Data!N982 - Recruiting_Data!P982, "")</f>
        <v/>
      </c>
      <c r="E982" s="5" t="str">
        <f>IF(Recruiting_Data!R982="Open", TODAY() - Recruiting_Data!P982, "")</f>
        <v/>
      </c>
      <c r="F982" s="8" t="str">
        <f t="shared" si="1"/>
        <v/>
      </c>
      <c r="G982" s="5" t="str">
        <f>IF(A982="", "", IF(COUNTIF(Recruiting_Data!A:A, A982)&gt;1, TRUE, FALSE))</f>
        <v/>
      </c>
      <c r="H982" s="5" t="str">
        <f>IF(A982="", "", IF(OR(AND(Recruiting_Data!N982&lt;&gt;"", Recruiting_Data!J982&lt;&gt;"", Recruiting_Data!N982&lt;Recruiting_Data!J982), AND(Recruiting_Data!M982&lt;&gt;"", Recruiting_Data!L982&lt;&gt;"", Recruiting_Data!M982&lt;Recruiting_Data!L982), AND(Recruiting_Data!L982&lt;&gt;"", Recruiting_Data!K982&lt;&gt;"", Recruiting_Data!L982&lt;Recruiting_Data!K982)), TRUE, FALSE))</f>
        <v/>
      </c>
    </row>
    <row r="983">
      <c r="A983" s="5" t="str">
        <f>IF(Recruiting_Data!A983="", "", Recruiting_Data!A983)</f>
        <v/>
      </c>
      <c r="B983" s="5" t="str">
        <f>IF(Recruiting_Data!B983="", "", Recruiting_Data!B983)</f>
        <v/>
      </c>
      <c r="C983" s="5" t="str">
        <f>IF(AND(ISNUMBER(Recruiting_Data!N983), ISNUMBER(Recruiting_Data!P983)), Recruiting_Data!N983 - Recruiting_Data!P983, "")</f>
        <v/>
      </c>
      <c r="E983" s="5" t="str">
        <f>IF(Recruiting_Data!R983="Open", TODAY() - Recruiting_Data!P983, "")</f>
        <v/>
      </c>
      <c r="F983" s="8" t="str">
        <f t="shared" si="1"/>
        <v/>
      </c>
      <c r="G983" s="5" t="str">
        <f>IF(A983="", "", IF(COUNTIF(Recruiting_Data!A:A, A983)&gt;1, TRUE, FALSE))</f>
        <v/>
      </c>
      <c r="H983" s="5" t="str">
        <f>IF(A983="", "", IF(OR(AND(Recruiting_Data!N983&lt;&gt;"", Recruiting_Data!J983&lt;&gt;"", Recruiting_Data!N983&lt;Recruiting_Data!J983), AND(Recruiting_Data!M983&lt;&gt;"", Recruiting_Data!L983&lt;&gt;"", Recruiting_Data!M983&lt;Recruiting_Data!L983), AND(Recruiting_Data!L983&lt;&gt;"", Recruiting_Data!K983&lt;&gt;"", Recruiting_Data!L983&lt;Recruiting_Data!K983)), TRUE, FALSE))</f>
        <v/>
      </c>
    </row>
    <row r="984">
      <c r="A984" s="5" t="str">
        <f>IF(Recruiting_Data!A984="", "", Recruiting_Data!A984)</f>
        <v/>
      </c>
      <c r="B984" s="5" t="str">
        <f>IF(Recruiting_Data!B984="", "", Recruiting_Data!B984)</f>
        <v/>
      </c>
      <c r="C984" s="5" t="str">
        <f>IF(AND(ISNUMBER(Recruiting_Data!N984), ISNUMBER(Recruiting_Data!P984)), Recruiting_Data!N984 - Recruiting_Data!P984, "")</f>
        <v/>
      </c>
      <c r="E984" s="5" t="str">
        <f>IF(Recruiting_Data!R984="Open", TODAY() - Recruiting_Data!P984, "")</f>
        <v/>
      </c>
      <c r="F984" s="8" t="str">
        <f t="shared" si="1"/>
        <v/>
      </c>
      <c r="G984" s="5" t="str">
        <f>IF(A984="", "", IF(COUNTIF(Recruiting_Data!A:A, A984)&gt;1, TRUE, FALSE))</f>
        <v/>
      </c>
      <c r="H984" s="5" t="str">
        <f>IF(A984="", "", IF(OR(AND(Recruiting_Data!N984&lt;&gt;"", Recruiting_Data!J984&lt;&gt;"", Recruiting_Data!N984&lt;Recruiting_Data!J984), AND(Recruiting_Data!M984&lt;&gt;"", Recruiting_Data!L984&lt;&gt;"", Recruiting_Data!M984&lt;Recruiting_Data!L984), AND(Recruiting_Data!L984&lt;&gt;"", Recruiting_Data!K984&lt;&gt;"", Recruiting_Data!L984&lt;Recruiting_Data!K984)), TRUE, FALSE))</f>
        <v/>
      </c>
    </row>
    <row r="985">
      <c r="A985" s="5" t="str">
        <f>IF(Recruiting_Data!A985="", "", Recruiting_Data!A985)</f>
        <v/>
      </c>
      <c r="B985" s="5" t="str">
        <f>IF(Recruiting_Data!B985="", "", Recruiting_Data!B985)</f>
        <v/>
      </c>
      <c r="C985" s="5" t="str">
        <f>IF(AND(ISNUMBER(Recruiting_Data!N985), ISNUMBER(Recruiting_Data!P985)), Recruiting_Data!N985 - Recruiting_Data!P985, "")</f>
        <v/>
      </c>
      <c r="E985" s="5" t="str">
        <f>IF(Recruiting_Data!R985="Open", TODAY() - Recruiting_Data!P985, "")</f>
        <v/>
      </c>
      <c r="F985" s="8" t="str">
        <f t="shared" si="1"/>
        <v/>
      </c>
      <c r="G985" s="5" t="str">
        <f>IF(A985="", "", IF(COUNTIF(Recruiting_Data!A:A, A985)&gt;1, TRUE, FALSE))</f>
        <v/>
      </c>
      <c r="H985" s="5" t="str">
        <f>IF(A985="", "", IF(OR(AND(Recruiting_Data!N985&lt;&gt;"", Recruiting_Data!J985&lt;&gt;"", Recruiting_Data!N985&lt;Recruiting_Data!J985), AND(Recruiting_Data!M985&lt;&gt;"", Recruiting_Data!L985&lt;&gt;"", Recruiting_Data!M985&lt;Recruiting_Data!L985), AND(Recruiting_Data!L985&lt;&gt;"", Recruiting_Data!K985&lt;&gt;"", Recruiting_Data!L985&lt;Recruiting_Data!K985)), TRUE, FALSE))</f>
        <v/>
      </c>
    </row>
    <row r="986">
      <c r="A986" s="5" t="str">
        <f>IF(Recruiting_Data!A986="", "", Recruiting_Data!A986)</f>
        <v/>
      </c>
      <c r="B986" s="5" t="str">
        <f>IF(Recruiting_Data!B986="", "", Recruiting_Data!B986)</f>
        <v/>
      </c>
      <c r="C986" s="5" t="str">
        <f>IF(AND(ISNUMBER(Recruiting_Data!N986), ISNUMBER(Recruiting_Data!P986)), Recruiting_Data!N986 - Recruiting_Data!P986, "")</f>
        <v/>
      </c>
      <c r="E986" s="5" t="str">
        <f>IF(Recruiting_Data!R986="Open", TODAY() - Recruiting_Data!P986, "")</f>
        <v/>
      </c>
      <c r="F986" s="8" t="str">
        <f t="shared" si="1"/>
        <v/>
      </c>
      <c r="G986" s="5" t="str">
        <f>IF(A986="", "", IF(COUNTIF(Recruiting_Data!A:A, A986)&gt;1, TRUE, FALSE))</f>
        <v/>
      </c>
      <c r="H986" s="5" t="str">
        <f>IF(A986="", "", IF(OR(AND(Recruiting_Data!N986&lt;&gt;"", Recruiting_Data!J986&lt;&gt;"", Recruiting_Data!N986&lt;Recruiting_Data!J986), AND(Recruiting_Data!M986&lt;&gt;"", Recruiting_Data!L986&lt;&gt;"", Recruiting_Data!M986&lt;Recruiting_Data!L986), AND(Recruiting_Data!L986&lt;&gt;"", Recruiting_Data!K986&lt;&gt;"", Recruiting_Data!L986&lt;Recruiting_Data!K986)), TRUE, FALSE))</f>
        <v/>
      </c>
    </row>
    <row r="987">
      <c r="A987" s="5" t="str">
        <f>IF(Recruiting_Data!A987="", "", Recruiting_Data!A987)</f>
        <v/>
      </c>
      <c r="B987" s="5" t="str">
        <f>IF(Recruiting_Data!B987="", "", Recruiting_Data!B987)</f>
        <v/>
      </c>
      <c r="C987" s="5" t="str">
        <f>IF(AND(ISNUMBER(Recruiting_Data!N987), ISNUMBER(Recruiting_Data!P987)), Recruiting_Data!N987 - Recruiting_Data!P987, "")</f>
        <v/>
      </c>
      <c r="E987" s="5" t="str">
        <f>IF(Recruiting_Data!R987="Open", TODAY() - Recruiting_Data!P987, "")</f>
        <v/>
      </c>
      <c r="F987" s="8" t="str">
        <f t="shared" si="1"/>
        <v/>
      </c>
      <c r="G987" s="5" t="str">
        <f>IF(A987="", "", IF(COUNTIF(Recruiting_Data!A:A, A987)&gt;1, TRUE, FALSE))</f>
        <v/>
      </c>
      <c r="H987" s="5" t="str">
        <f>IF(A987="", "", IF(OR(AND(Recruiting_Data!N987&lt;&gt;"", Recruiting_Data!J987&lt;&gt;"", Recruiting_Data!N987&lt;Recruiting_Data!J987), AND(Recruiting_Data!M987&lt;&gt;"", Recruiting_Data!L987&lt;&gt;"", Recruiting_Data!M987&lt;Recruiting_Data!L987), AND(Recruiting_Data!L987&lt;&gt;"", Recruiting_Data!K987&lt;&gt;"", Recruiting_Data!L987&lt;Recruiting_Data!K987)), TRUE, FALSE))</f>
        <v/>
      </c>
    </row>
    <row r="988">
      <c r="A988" s="5" t="str">
        <f>IF(Recruiting_Data!A988="", "", Recruiting_Data!A988)</f>
        <v/>
      </c>
      <c r="B988" s="5" t="str">
        <f>IF(Recruiting_Data!B988="", "", Recruiting_Data!B988)</f>
        <v/>
      </c>
      <c r="C988" s="5" t="str">
        <f>IF(AND(ISNUMBER(Recruiting_Data!N988), ISNUMBER(Recruiting_Data!P988)), Recruiting_Data!N988 - Recruiting_Data!P988, "")</f>
        <v/>
      </c>
      <c r="E988" s="5" t="str">
        <f>IF(Recruiting_Data!R988="Open", TODAY() - Recruiting_Data!P988, "")</f>
        <v/>
      </c>
      <c r="F988" s="8" t="str">
        <f t="shared" si="1"/>
        <v/>
      </c>
      <c r="G988" s="5" t="str">
        <f>IF(A988="", "", IF(COUNTIF(Recruiting_Data!A:A, A988)&gt;1, TRUE, FALSE))</f>
        <v/>
      </c>
      <c r="H988" s="5" t="str">
        <f>IF(A988="", "", IF(OR(AND(Recruiting_Data!N988&lt;&gt;"", Recruiting_Data!J988&lt;&gt;"", Recruiting_Data!N988&lt;Recruiting_Data!J988), AND(Recruiting_Data!M988&lt;&gt;"", Recruiting_Data!L988&lt;&gt;"", Recruiting_Data!M988&lt;Recruiting_Data!L988), AND(Recruiting_Data!L988&lt;&gt;"", Recruiting_Data!K988&lt;&gt;"", Recruiting_Data!L988&lt;Recruiting_Data!K988)), TRUE, FALSE))</f>
        <v/>
      </c>
    </row>
    <row r="989">
      <c r="A989" s="5" t="str">
        <f>IF(Recruiting_Data!A989="", "", Recruiting_Data!A989)</f>
        <v/>
      </c>
      <c r="B989" s="5" t="str">
        <f>IF(Recruiting_Data!B989="", "", Recruiting_Data!B989)</f>
        <v/>
      </c>
      <c r="C989" s="5" t="str">
        <f>IF(AND(ISNUMBER(Recruiting_Data!N989), ISNUMBER(Recruiting_Data!P989)), Recruiting_Data!N989 - Recruiting_Data!P989, "")</f>
        <v/>
      </c>
      <c r="E989" s="5" t="str">
        <f>IF(Recruiting_Data!R989="Open", TODAY() - Recruiting_Data!P989, "")</f>
        <v/>
      </c>
      <c r="F989" s="8" t="str">
        <f t="shared" si="1"/>
        <v/>
      </c>
      <c r="G989" s="5" t="str">
        <f>IF(A989="", "", IF(COUNTIF(Recruiting_Data!A:A, A989)&gt;1, TRUE, FALSE))</f>
        <v/>
      </c>
      <c r="H989" s="5" t="str">
        <f>IF(A989="", "", IF(OR(AND(Recruiting_Data!N989&lt;&gt;"", Recruiting_Data!J989&lt;&gt;"", Recruiting_Data!N989&lt;Recruiting_Data!J989), AND(Recruiting_Data!M989&lt;&gt;"", Recruiting_Data!L989&lt;&gt;"", Recruiting_Data!M989&lt;Recruiting_Data!L989), AND(Recruiting_Data!L989&lt;&gt;"", Recruiting_Data!K989&lt;&gt;"", Recruiting_Data!L989&lt;Recruiting_Data!K989)), TRUE, FALSE))</f>
        <v/>
      </c>
    </row>
    <row r="990">
      <c r="A990" s="5" t="str">
        <f>IF(Recruiting_Data!A990="", "", Recruiting_Data!A990)</f>
        <v/>
      </c>
      <c r="B990" s="5" t="str">
        <f>IF(Recruiting_Data!B990="", "", Recruiting_Data!B990)</f>
        <v/>
      </c>
      <c r="C990" s="5" t="str">
        <f>IF(AND(ISNUMBER(Recruiting_Data!N990), ISNUMBER(Recruiting_Data!P990)), Recruiting_Data!N990 - Recruiting_Data!P990, "")</f>
        <v/>
      </c>
      <c r="E990" s="5" t="str">
        <f>IF(Recruiting_Data!R990="Open", TODAY() - Recruiting_Data!P990, "")</f>
        <v/>
      </c>
      <c r="F990" s="8" t="str">
        <f t="shared" si="1"/>
        <v/>
      </c>
      <c r="G990" s="5" t="str">
        <f>IF(A990="", "", IF(COUNTIF(Recruiting_Data!A:A, A990)&gt;1, TRUE, FALSE))</f>
        <v/>
      </c>
      <c r="H990" s="5" t="str">
        <f>IF(A990="", "", IF(OR(AND(Recruiting_Data!N990&lt;&gt;"", Recruiting_Data!J990&lt;&gt;"", Recruiting_Data!N990&lt;Recruiting_Data!J990), AND(Recruiting_Data!M990&lt;&gt;"", Recruiting_Data!L990&lt;&gt;"", Recruiting_Data!M990&lt;Recruiting_Data!L990), AND(Recruiting_Data!L990&lt;&gt;"", Recruiting_Data!K990&lt;&gt;"", Recruiting_Data!L990&lt;Recruiting_Data!K990)), TRUE, FALSE))</f>
        <v/>
      </c>
    </row>
    <row r="991">
      <c r="A991" s="5" t="str">
        <f>IF(Recruiting_Data!A991="", "", Recruiting_Data!A991)</f>
        <v/>
      </c>
      <c r="B991" s="5" t="str">
        <f>IF(Recruiting_Data!B991="", "", Recruiting_Data!B991)</f>
        <v/>
      </c>
      <c r="C991" s="5" t="str">
        <f>IF(AND(ISNUMBER(Recruiting_Data!N991), ISNUMBER(Recruiting_Data!P991)), Recruiting_Data!N991 - Recruiting_Data!P991, "")</f>
        <v/>
      </c>
      <c r="E991" s="5" t="str">
        <f>IF(Recruiting_Data!R991="Open", TODAY() - Recruiting_Data!P991, "")</f>
        <v/>
      </c>
      <c r="F991" s="8" t="str">
        <f t="shared" si="1"/>
        <v/>
      </c>
      <c r="G991" s="5" t="str">
        <f>IF(A991="", "", IF(COUNTIF(Recruiting_Data!A:A, A991)&gt;1, TRUE, FALSE))</f>
        <v/>
      </c>
      <c r="H991" s="5" t="str">
        <f>IF(A991="", "", IF(OR(AND(Recruiting_Data!N991&lt;&gt;"", Recruiting_Data!J991&lt;&gt;"", Recruiting_Data!N991&lt;Recruiting_Data!J991), AND(Recruiting_Data!M991&lt;&gt;"", Recruiting_Data!L991&lt;&gt;"", Recruiting_Data!M991&lt;Recruiting_Data!L991), AND(Recruiting_Data!L991&lt;&gt;"", Recruiting_Data!K991&lt;&gt;"", Recruiting_Data!L991&lt;Recruiting_Data!K991)), TRUE, FALSE))</f>
        <v/>
      </c>
    </row>
    <row r="992">
      <c r="A992" s="5" t="str">
        <f>IF(Recruiting_Data!A992="", "", Recruiting_Data!A992)</f>
        <v/>
      </c>
      <c r="B992" s="5" t="str">
        <f>IF(Recruiting_Data!B992="", "", Recruiting_Data!B992)</f>
        <v/>
      </c>
      <c r="C992" s="5" t="str">
        <f>IF(AND(ISNUMBER(Recruiting_Data!N992), ISNUMBER(Recruiting_Data!P992)), Recruiting_Data!N992 - Recruiting_Data!P992, "")</f>
        <v/>
      </c>
      <c r="E992" s="5" t="str">
        <f>IF(Recruiting_Data!R992="Open", TODAY() - Recruiting_Data!P992, "")</f>
        <v/>
      </c>
      <c r="F992" s="8" t="str">
        <f t="shared" si="1"/>
        <v/>
      </c>
      <c r="G992" s="5" t="str">
        <f>IF(A992="", "", IF(COUNTIF(Recruiting_Data!A:A, A992)&gt;1, TRUE, FALSE))</f>
        <v/>
      </c>
      <c r="H992" s="5" t="str">
        <f>IF(A992="", "", IF(OR(AND(Recruiting_Data!N992&lt;&gt;"", Recruiting_Data!J992&lt;&gt;"", Recruiting_Data!N992&lt;Recruiting_Data!J992), AND(Recruiting_Data!M992&lt;&gt;"", Recruiting_Data!L992&lt;&gt;"", Recruiting_Data!M992&lt;Recruiting_Data!L992), AND(Recruiting_Data!L992&lt;&gt;"", Recruiting_Data!K992&lt;&gt;"", Recruiting_Data!L992&lt;Recruiting_Data!K992)), TRUE, FALSE))</f>
        <v/>
      </c>
    </row>
    <row r="993">
      <c r="A993" s="5" t="str">
        <f>IF(Recruiting_Data!A993="", "", Recruiting_Data!A993)</f>
        <v/>
      </c>
      <c r="B993" s="5" t="str">
        <f>IF(Recruiting_Data!B993="", "", Recruiting_Data!B993)</f>
        <v/>
      </c>
      <c r="C993" s="5" t="str">
        <f>IF(AND(ISNUMBER(Recruiting_Data!N993), ISNUMBER(Recruiting_Data!P993)), Recruiting_Data!N993 - Recruiting_Data!P993, "")</f>
        <v/>
      </c>
      <c r="E993" s="5" t="str">
        <f>IF(Recruiting_Data!R993="Open", TODAY() - Recruiting_Data!P993, "")</f>
        <v/>
      </c>
      <c r="F993" s="8" t="str">
        <f t="shared" si="1"/>
        <v/>
      </c>
      <c r="G993" s="5" t="str">
        <f>IF(A993="", "", IF(COUNTIF(Recruiting_Data!A:A, A993)&gt;1, TRUE, FALSE))</f>
        <v/>
      </c>
      <c r="H993" s="5" t="str">
        <f>IF(A993="", "", IF(OR(AND(Recruiting_Data!N993&lt;&gt;"", Recruiting_Data!J993&lt;&gt;"", Recruiting_Data!N993&lt;Recruiting_Data!J993), AND(Recruiting_Data!M993&lt;&gt;"", Recruiting_Data!L993&lt;&gt;"", Recruiting_Data!M993&lt;Recruiting_Data!L993), AND(Recruiting_Data!L993&lt;&gt;"", Recruiting_Data!K993&lt;&gt;"", Recruiting_Data!L993&lt;Recruiting_Data!K993)), TRUE, FALSE))</f>
        <v/>
      </c>
    </row>
    <row r="994">
      <c r="A994" s="5" t="str">
        <f>IF(Recruiting_Data!A994="", "", Recruiting_Data!A994)</f>
        <v/>
      </c>
      <c r="B994" s="5" t="str">
        <f>IF(Recruiting_Data!B994="", "", Recruiting_Data!B994)</f>
        <v/>
      </c>
      <c r="C994" s="5" t="str">
        <f>IF(AND(ISNUMBER(Recruiting_Data!N994), ISNUMBER(Recruiting_Data!P994)), Recruiting_Data!N994 - Recruiting_Data!P994, "")</f>
        <v/>
      </c>
      <c r="E994" s="5" t="str">
        <f>IF(Recruiting_Data!R994="Open", TODAY() - Recruiting_Data!P994, "")</f>
        <v/>
      </c>
      <c r="F994" s="8" t="str">
        <f t="shared" si="1"/>
        <v/>
      </c>
      <c r="G994" s="5" t="str">
        <f>IF(A994="", "", IF(COUNTIF(Recruiting_Data!A:A, A994)&gt;1, TRUE, FALSE))</f>
        <v/>
      </c>
      <c r="H994" s="5" t="str">
        <f>IF(A994="", "", IF(OR(AND(Recruiting_Data!N994&lt;&gt;"", Recruiting_Data!J994&lt;&gt;"", Recruiting_Data!N994&lt;Recruiting_Data!J994), AND(Recruiting_Data!M994&lt;&gt;"", Recruiting_Data!L994&lt;&gt;"", Recruiting_Data!M994&lt;Recruiting_Data!L994), AND(Recruiting_Data!L994&lt;&gt;"", Recruiting_Data!K994&lt;&gt;"", Recruiting_Data!L994&lt;Recruiting_Data!K994)), TRUE, FALSE))</f>
        <v/>
      </c>
    </row>
    <row r="995">
      <c r="A995" s="5" t="str">
        <f>IF(Recruiting_Data!A995="", "", Recruiting_Data!A995)</f>
        <v/>
      </c>
      <c r="B995" s="5" t="str">
        <f>IF(Recruiting_Data!B995="", "", Recruiting_Data!B995)</f>
        <v/>
      </c>
      <c r="C995" s="5" t="str">
        <f>IF(AND(ISNUMBER(Recruiting_Data!N995), ISNUMBER(Recruiting_Data!P995)), Recruiting_Data!N995 - Recruiting_Data!P995, "")</f>
        <v/>
      </c>
      <c r="E995" s="5" t="str">
        <f>IF(Recruiting_Data!R995="Open", TODAY() - Recruiting_Data!P995, "")</f>
        <v/>
      </c>
      <c r="F995" s="8" t="str">
        <f t="shared" si="1"/>
        <v/>
      </c>
      <c r="G995" s="5" t="str">
        <f>IF(A995="", "", IF(COUNTIF(Recruiting_Data!A:A, A995)&gt;1, TRUE, FALSE))</f>
        <v/>
      </c>
      <c r="H995" s="5" t="str">
        <f>IF(A995="", "", IF(OR(AND(Recruiting_Data!N995&lt;&gt;"", Recruiting_Data!J995&lt;&gt;"", Recruiting_Data!N995&lt;Recruiting_Data!J995), AND(Recruiting_Data!M995&lt;&gt;"", Recruiting_Data!L995&lt;&gt;"", Recruiting_Data!M995&lt;Recruiting_Data!L995), AND(Recruiting_Data!L995&lt;&gt;"", Recruiting_Data!K995&lt;&gt;"", Recruiting_Data!L995&lt;Recruiting_Data!K995)), TRUE, FALSE))</f>
        <v/>
      </c>
    </row>
    <row r="996">
      <c r="A996" s="5" t="str">
        <f>IF(Recruiting_Data!A996="", "", Recruiting_Data!A996)</f>
        <v/>
      </c>
      <c r="B996" s="5" t="str">
        <f>IF(Recruiting_Data!B996="", "", Recruiting_Data!B996)</f>
        <v/>
      </c>
      <c r="C996" s="5" t="str">
        <f>IF(AND(ISNUMBER(Recruiting_Data!N996), ISNUMBER(Recruiting_Data!P996)), Recruiting_Data!N996 - Recruiting_Data!P996, "")</f>
        <v/>
      </c>
      <c r="E996" s="5" t="str">
        <f>IF(Recruiting_Data!R996="Open", TODAY() - Recruiting_Data!P996, "")</f>
        <v/>
      </c>
      <c r="F996" s="8" t="str">
        <f t="shared" si="1"/>
        <v/>
      </c>
      <c r="G996" s="5" t="str">
        <f>IF(A996="", "", IF(COUNTIF(Recruiting_Data!A:A, A996)&gt;1, TRUE, FALSE))</f>
        <v/>
      </c>
      <c r="H996" s="5" t="str">
        <f>IF(A996="", "", IF(OR(AND(Recruiting_Data!N996&lt;&gt;"", Recruiting_Data!J996&lt;&gt;"", Recruiting_Data!N996&lt;Recruiting_Data!J996), AND(Recruiting_Data!M996&lt;&gt;"", Recruiting_Data!L996&lt;&gt;"", Recruiting_Data!M996&lt;Recruiting_Data!L996), AND(Recruiting_Data!L996&lt;&gt;"", Recruiting_Data!K996&lt;&gt;"", Recruiting_Data!L996&lt;Recruiting_Data!K996)), TRUE, FALSE))</f>
        <v/>
      </c>
    </row>
    <row r="997">
      <c r="A997" s="5" t="str">
        <f>IF(Recruiting_Data!A997="", "", Recruiting_Data!A997)</f>
        <v/>
      </c>
      <c r="B997" s="5" t="str">
        <f>IF(Recruiting_Data!B997="", "", Recruiting_Data!B997)</f>
        <v/>
      </c>
      <c r="C997" s="5" t="str">
        <f>IF(AND(ISNUMBER(Recruiting_Data!N997), ISNUMBER(Recruiting_Data!P997)), Recruiting_Data!N997 - Recruiting_Data!P997, "")</f>
        <v/>
      </c>
      <c r="E997" s="5" t="str">
        <f>IF(Recruiting_Data!R997="Open", TODAY() - Recruiting_Data!P997, "")</f>
        <v/>
      </c>
      <c r="F997" s="8" t="str">
        <f t="shared" si="1"/>
        <v/>
      </c>
      <c r="G997" s="5" t="str">
        <f>IF(A997="", "", IF(COUNTIF(Recruiting_Data!A:A, A997)&gt;1, TRUE, FALSE))</f>
        <v/>
      </c>
      <c r="H997" s="5" t="str">
        <f>IF(A997="", "", IF(OR(AND(Recruiting_Data!N997&lt;&gt;"", Recruiting_Data!J997&lt;&gt;"", Recruiting_Data!N997&lt;Recruiting_Data!J997), AND(Recruiting_Data!M997&lt;&gt;"", Recruiting_Data!L997&lt;&gt;"", Recruiting_Data!M997&lt;Recruiting_Data!L997), AND(Recruiting_Data!L997&lt;&gt;"", Recruiting_Data!K997&lt;&gt;"", Recruiting_Data!L997&lt;Recruiting_Data!K997)), TRUE, FALSE))</f>
        <v/>
      </c>
    </row>
    <row r="998">
      <c r="A998" s="5" t="str">
        <f>IF(Recruiting_Data!A998="", "", Recruiting_Data!A998)</f>
        <v/>
      </c>
      <c r="B998" s="5" t="str">
        <f>IF(Recruiting_Data!B998="", "", Recruiting_Data!B998)</f>
        <v/>
      </c>
      <c r="C998" s="5" t="str">
        <f>IF(AND(ISNUMBER(Recruiting_Data!N998), ISNUMBER(Recruiting_Data!P998)), Recruiting_Data!N998 - Recruiting_Data!P998, "")</f>
        <v/>
      </c>
      <c r="E998" s="5" t="str">
        <f>IF(Recruiting_Data!R998="Open", TODAY() - Recruiting_Data!P998, "")</f>
        <v/>
      </c>
      <c r="F998" s="8" t="str">
        <f t="shared" si="1"/>
        <v/>
      </c>
      <c r="G998" s="5" t="str">
        <f>IF(A998="", "", IF(COUNTIF(Recruiting_Data!A:A, A998)&gt;1, TRUE, FALSE))</f>
        <v/>
      </c>
      <c r="H998" s="5" t="str">
        <f>IF(A998="", "", IF(OR(AND(Recruiting_Data!N998&lt;&gt;"", Recruiting_Data!J998&lt;&gt;"", Recruiting_Data!N998&lt;Recruiting_Data!J998), AND(Recruiting_Data!M998&lt;&gt;"", Recruiting_Data!L998&lt;&gt;"", Recruiting_Data!M998&lt;Recruiting_Data!L998), AND(Recruiting_Data!L998&lt;&gt;"", Recruiting_Data!K998&lt;&gt;"", Recruiting_Data!L998&lt;Recruiting_Data!K998)), TRUE, FALSE))</f>
        <v/>
      </c>
    </row>
    <row r="999">
      <c r="A999" s="5" t="str">
        <f>IF(Recruiting_Data!A999="", "", Recruiting_Data!A999)</f>
        <v/>
      </c>
      <c r="B999" s="5" t="str">
        <f>IF(Recruiting_Data!B999="", "", Recruiting_Data!B999)</f>
        <v/>
      </c>
      <c r="C999" s="5" t="str">
        <f>IF(AND(ISNUMBER(Recruiting_Data!N999), ISNUMBER(Recruiting_Data!P999)), Recruiting_Data!N999 - Recruiting_Data!P999, "")</f>
        <v/>
      </c>
      <c r="E999" s="5" t="str">
        <f>IF(Recruiting_Data!R999="Open", TODAY() - Recruiting_Data!P999, "")</f>
        <v/>
      </c>
      <c r="F999" s="8" t="str">
        <f t="shared" si="1"/>
        <v/>
      </c>
      <c r="G999" s="5" t="str">
        <f>IF(A999="", "", IF(COUNTIF(Recruiting_Data!A:A, A999)&gt;1, TRUE, FALSE))</f>
        <v/>
      </c>
      <c r="H999" s="5" t="str">
        <f>IF(A999="", "", IF(OR(AND(Recruiting_Data!N999&lt;&gt;"", Recruiting_Data!J999&lt;&gt;"", Recruiting_Data!N999&lt;Recruiting_Data!J999), AND(Recruiting_Data!M999&lt;&gt;"", Recruiting_Data!L999&lt;&gt;"", Recruiting_Data!M999&lt;Recruiting_Data!L999), AND(Recruiting_Data!L999&lt;&gt;"", Recruiting_Data!K999&lt;&gt;"", Recruiting_Data!L999&lt;Recruiting_Data!K999)), TRUE, FALSE))</f>
        <v/>
      </c>
    </row>
    <row r="1000">
      <c r="A1000" s="5" t="str">
        <f>IF(Recruiting_Data!A1000="", "", Recruiting_Data!A1000)</f>
        <v/>
      </c>
      <c r="B1000" s="5" t="str">
        <f>IF(Recruiting_Data!B1000="", "", Recruiting_Data!B1000)</f>
        <v/>
      </c>
      <c r="C1000" s="5" t="str">
        <f>IF(AND(ISNUMBER(Recruiting_Data!N1000), ISNUMBER(Recruiting_Data!P1000)), Recruiting_Data!N1000 - Recruiting_Data!P1000, "")</f>
        <v/>
      </c>
      <c r="E1000" s="5" t="str">
        <f>IF(Recruiting_Data!R1000="Open", TODAY() - Recruiting_Data!P1000, "")</f>
        <v/>
      </c>
      <c r="F1000" s="8" t="str">
        <f t="shared" si="1"/>
        <v/>
      </c>
      <c r="G1000" s="5" t="str">
        <f>IF(A1000="", "", IF(COUNTIF(Recruiting_Data!A:A, A1000)&gt;1, TRUE, FALSE))</f>
        <v/>
      </c>
      <c r="H1000" s="5" t="str">
        <f>IF(A1000="", "", IF(OR(AND(Recruiting_Data!N1000&lt;&gt;"", Recruiting_Data!J1000&lt;&gt;"", Recruiting_Data!N1000&lt;Recruiting_Data!J1000), AND(Recruiting_Data!M1000&lt;&gt;"", Recruiting_Data!L1000&lt;&gt;"", Recruiting_Data!M1000&lt;Recruiting_Data!L1000), AND(Recruiting_Data!L1000&lt;&gt;"", Recruiting_Data!K1000&lt;&gt;"", Recruiting_Data!L1000&lt;Recruiting_Data!K1000)), TRUE, FALSE))</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20"/>
    <row r="21"/>
    <row r="22"/>
    <row r="23"/>
    <row r="24"/>
    <row r="25"/>
    <row r="26"/>
  </sheetData>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7.25"/>
  </cols>
  <sheetData>
    <row r="1">
      <c r="A1" s="1" t="s">
        <v>124</v>
      </c>
      <c r="B1" s="1" t="s">
        <v>127</v>
      </c>
      <c r="C1" s="2"/>
      <c r="D1" s="2"/>
      <c r="E1" s="2"/>
      <c r="F1" s="2"/>
      <c r="G1" s="2"/>
      <c r="H1" s="2"/>
      <c r="I1" s="2"/>
      <c r="J1" s="2"/>
      <c r="K1" s="2"/>
      <c r="L1" s="2"/>
      <c r="M1" s="2"/>
      <c r="N1" s="2"/>
      <c r="O1" s="2"/>
      <c r="P1" s="2"/>
      <c r="Q1" s="2"/>
      <c r="R1" s="2"/>
      <c r="S1" s="2"/>
      <c r="T1" s="2"/>
      <c r="U1" s="2"/>
      <c r="V1" s="2"/>
      <c r="W1" s="2"/>
      <c r="X1" s="2"/>
      <c r="Y1" s="2"/>
      <c r="Z1" s="2"/>
    </row>
    <row r="2">
      <c r="A2" s="3" t="s">
        <v>130</v>
      </c>
      <c r="B2" s="5">
        <f>IFERROR(__xludf.DUMMYFUNCTION("COUNTUNIQUEIFS(Recruiting_Data!B2:B1000, Recruiting_Data!R2:R1000, ""Open"")"),14.0)</f>
        <v>14</v>
      </c>
    </row>
    <row r="3">
      <c r="A3" s="3" t="s">
        <v>136</v>
      </c>
      <c r="B3" s="5">
        <f>COUNTIFS(Recruiting_Data!O:O, "Hired", Recruiting_Data!N:N, "&gt;="&amp;TODAY()-7)</f>
        <v>0</v>
      </c>
    </row>
    <row r="4">
      <c r="A4" s="3" t="s">
        <v>142</v>
      </c>
      <c r="B4" s="5">
        <f>AVERAGE(Helper_Calcs!C:C)</f>
        <v>42.6875</v>
      </c>
    </row>
    <row r="5">
      <c r="A5" s="3" t="s">
        <v>146</v>
      </c>
      <c r="B5" s="9">
        <f>IF(Funnel!B5=0, 0, Funnel!B6/Funnel!B5)</f>
        <v>0.5517241379</v>
      </c>
    </row>
    <row r="6">
      <c r="A6" s="3" t="s">
        <v>152</v>
      </c>
      <c r="B6" s="9">
        <f>IF(Funnel!B2=0, 0, Funnel!B6/Funnel!B2)</f>
        <v>0.16</v>
      </c>
    </row>
    <row r="7">
      <c r="A7" s="3" t="s">
        <v>157</v>
      </c>
      <c r="B7" s="9">
        <f>IF((Headcount!B2+Headcount!B3)=0, 0, Headcount!B3 / (Headcount!B2 + Headcount!B3))</f>
        <v>0.7254901961</v>
      </c>
    </row>
  </sheetData>
  <conditionalFormatting sqref="B4">
    <cfRule type="cellIs" dxfId="1" priority="1" stopIfTrue="1" operator="lessThanOrEqual">
      <formula>45</formula>
    </cfRule>
  </conditionalFormatting>
  <conditionalFormatting sqref="B4">
    <cfRule type="cellIs" dxfId="2" priority="2" stopIfTrue="1" operator="between">
      <formula>46</formula>
      <formula>70</formula>
    </cfRule>
  </conditionalFormatting>
  <conditionalFormatting sqref="B4">
    <cfRule type="cellIs" dxfId="3" priority="3" stopIfTrue="1" operator="greaterThan">
      <formula>70</formula>
    </cfRule>
  </conditionalFormatting>
  <conditionalFormatting sqref="B5">
    <cfRule type="cellIs" dxfId="3" priority="4" stopIfTrue="1" operator="lessThan">
      <formula>0.8</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5.5"/>
    <col customWidth="1" min="3" max="3" width="13.5"/>
  </cols>
  <sheetData>
    <row r="1">
      <c r="A1" s="1" t="s">
        <v>247</v>
      </c>
      <c r="B1" s="1" t="s">
        <v>249</v>
      </c>
      <c r="C1" s="1" t="s">
        <v>250</v>
      </c>
      <c r="D1" s="2"/>
      <c r="E1" s="2"/>
      <c r="F1" s="2"/>
      <c r="G1" s="2"/>
      <c r="H1" s="2"/>
      <c r="I1" s="2"/>
      <c r="J1" s="2"/>
      <c r="K1" s="2"/>
      <c r="L1" s="2"/>
      <c r="M1" s="2"/>
      <c r="N1" s="2"/>
      <c r="O1" s="2"/>
      <c r="P1" s="2"/>
      <c r="Q1" s="2"/>
      <c r="R1" s="2"/>
      <c r="S1" s="2"/>
      <c r="T1" s="2"/>
      <c r="U1" s="2"/>
      <c r="V1" s="2"/>
      <c r="W1" s="2"/>
      <c r="X1" s="2"/>
      <c r="Y1" s="2"/>
      <c r="Z1" s="2"/>
    </row>
    <row r="2">
      <c r="A2" s="3" t="s">
        <v>252</v>
      </c>
      <c r="B2" s="5">
        <f>COUNTIF(Helper_Calcs!D:D, "&gt;=1")</f>
        <v>400</v>
      </c>
    </row>
    <row r="3">
      <c r="A3" s="3" t="s">
        <v>37</v>
      </c>
      <c r="B3" s="5">
        <f>COUNTIF(Helper_Calcs!D:D, "&gt;=2")</f>
        <v>237</v>
      </c>
      <c r="C3" s="5">
        <f t="shared" ref="C3:C6" si="1">IF(B2=0, 0, B3/B2)</f>
        <v>0.5925</v>
      </c>
    </row>
    <row r="4">
      <c r="A4" s="3" t="s">
        <v>44</v>
      </c>
      <c r="B4" s="5">
        <f>COUNTIF(Helper_Calcs!D:D, "&gt;=3")</f>
        <v>176</v>
      </c>
      <c r="C4" s="5">
        <f t="shared" si="1"/>
        <v>0.7426160338</v>
      </c>
    </row>
    <row r="5">
      <c r="A5" s="3" t="s">
        <v>76</v>
      </c>
      <c r="B5" s="5">
        <f>COUNTIF(Helper_Calcs!D:D, "&gt;=4")</f>
        <v>116</v>
      </c>
      <c r="C5" s="5">
        <f t="shared" si="1"/>
        <v>0.6590909091</v>
      </c>
    </row>
    <row r="6">
      <c r="A6" s="3" t="s">
        <v>28</v>
      </c>
      <c r="B6" s="5">
        <f>COUNTIF(Helper_Calcs!D:D, "&gt;=5")</f>
        <v>64</v>
      </c>
      <c r="C6" s="5">
        <f t="shared" si="1"/>
        <v>0.5517241379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5.5"/>
  </cols>
  <sheetData>
    <row r="1">
      <c r="A1" s="1" t="s">
        <v>271</v>
      </c>
      <c r="B1" s="1" t="s">
        <v>249</v>
      </c>
      <c r="C1" s="2"/>
      <c r="D1" s="2"/>
      <c r="E1" s="2"/>
      <c r="F1" s="2"/>
      <c r="G1" s="2"/>
      <c r="H1" s="2"/>
      <c r="I1" s="2"/>
      <c r="J1" s="2"/>
      <c r="K1" s="2"/>
      <c r="L1" s="2"/>
      <c r="M1" s="2"/>
      <c r="N1" s="2"/>
      <c r="O1" s="2"/>
      <c r="P1" s="2"/>
      <c r="Q1" s="2"/>
      <c r="R1" s="2"/>
      <c r="S1" s="2"/>
      <c r="T1" s="2"/>
      <c r="U1" s="2"/>
      <c r="V1" s="2"/>
      <c r="W1" s="2"/>
      <c r="X1" s="2"/>
      <c r="Y1" s="2"/>
      <c r="Z1" s="2"/>
    </row>
    <row r="2">
      <c r="A2" s="3" t="s">
        <v>274</v>
      </c>
      <c r="B2" s="5">
        <f>IFERROR(__xludf.DUMMYFUNCTION("COUNTUNIQUEIFS(Recruiting_Data!B2:B1000, Recruiting_Data!R2:R1000, ""Open"")"),14.0)</f>
        <v>14</v>
      </c>
    </row>
    <row r="3">
      <c r="A3" s="3" t="s">
        <v>276</v>
      </c>
      <c r="B3" s="5">
        <f>IFERROR(__xludf.DUMMYFUNCTION("COUNTUNIQUEIFS(Recruiting_Data!B2:B1000, Recruiting_Data!R2:R1000, ""Filled"")"),37.0)</f>
        <v>37</v>
      </c>
    </row>
    <row r="4">
      <c r="A4" s="3" t="s">
        <v>278</v>
      </c>
      <c r="B4" s="5">
        <f>IFERROR(__xludf.DUMMYFUNCTION("COUNTUNIQUEIFS(Recruiting_Data!B2:B1000, Recruiting_Data!R2:R1000, ""On Hold"")"),0.0)</f>
        <v>0</v>
      </c>
    </row>
    <row r="5">
      <c r="A5" s="3" t="s">
        <v>280</v>
      </c>
      <c r="B5" s="5">
        <f>IFERROR(__xludf.DUMMYFUNCTION("COUNTUNIQUEIFS(Recruiting_Data!B2:B1000, Recruiting_Data!R2:R1000, ""Cancelled"")"),0.0)</f>
        <v>0</v>
      </c>
    </row>
    <row r="8">
      <c r="A8" s="3" t="s">
        <v>281</v>
      </c>
      <c r="B8" s="3" t="s">
        <v>249</v>
      </c>
    </row>
    <row r="9">
      <c r="A9" s="3" t="s">
        <v>283</v>
      </c>
      <c r="B9" s="5">
        <f>IFERROR(__xludf.DUMMYFUNCTION("COUNTUNIQUEIFS(Recruiting_Data!B2:B1000, Helper_Calcs!F2:F1000, ""0-30"")"),0.0)</f>
        <v>0</v>
      </c>
    </row>
    <row r="10">
      <c r="A10" s="3" t="s">
        <v>285</v>
      </c>
      <c r="B10" s="5">
        <f>IFERROR(__xludf.DUMMYFUNCTION("COUNTUNIQUEIFS(Recruiting_Data!B2:B1000, Helper_Calcs!F2:F1000, ""31-60"")"),0.0)</f>
        <v>0</v>
      </c>
    </row>
    <row r="11">
      <c r="A11" s="3" t="s">
        <v>286</v>
      </c>
      <c r="B11" s="5">
        <f>IFERROR(__xludf.DUMMYFUNCTION("COUNTUNIQUEIFS(Recruiting_Data!B2:B1000, Helper_Calcs!F2:F1000, ""60+"")"),14.0)</f>
        <v>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0"/>
    <col customWidth="1" min="3" max="3" width="9.13"/>
    <col customWidth="1" min="4" max="4" width="7.13"/>
  </cols>
  <sheetData>
    <row r="1">
      <c r="A1" s="1" t="s">
        <v>5</v>
      </c>
      <c r="B1" s="1" t="s">
        <v>347</v>
      </c>
      <c r="C1" s="1" t="s">
        <v>274</v>
      </c>
      <c r="D1" s="1" t="s">
        <v>348</v>
      </c>
      <c r="E1" s="2"/>
      <c r="F1" s="2"/>
      <c r="G1" s="2"/>
      <c r="H1" s="2"/>
      <c r="I1" s="2"/>
      <c r="J1" s="2"/>
      <c r="K1" s="2"/>
      <c r="L1" s="2"/>
      <c r="M1" s="2"/>
      <c r="N1" s="2"/>
      <c r="O1" s="2"/>
      <c r="P1" s="2"/>
      <c r="Q1" s="2"/>
      <c r="R1" s="2"/>
      <c r="S1" s="2"/>
      <c r="T1" s="2"/>
      <c r="U1" s="2"/>
      <c r="V1" s="2"/>
      <c r="W1" s="2"/>
      <c r="X1" s="2"/>
      <c r="Y1" s="2"/>
      <c r="Z1" s="2"/>
    </row>
    <row r="2">
      <c r="A2" s="3" t="s">
        <v>40</v>
      </c>
      <c r="B2" s="5">
        <f>COUNTIFS(Recruiting_Data!E:E, A2, Recruiting_Data!O:O, "Hired")</f>
        <v>12</v>
      </c>
      <c r="C2" s="5">
        <f>COUNTIFS(Recruiting_Data!E:E, A2, Recruiting_Data!R:R, "Open")</f>
        <v>21</v>
      </c>
      <c r="D2" s="5">
        <f>IFERROR(AVERAGEIFS(Helper_Calcs!C:C, Recruiting_Data!E:E, A2), "")</f>
        <v>42.58333333</v>
      </c>
    </row>
    <row r="3">
      <c r="A3" s="3" t="s">
        <v>23</v>
      </c>
      <c r="B3" s="5">
        <f>COUNTIFS(Recruiting_Data!E:E, A3, Recruiting_Data!O:O, "Hired")</f>
        <v>19</v>
      </c>
      <c r="C3" s="5">
        <f>COUNTIFS(Recruiting_Data!E:E, A3, Recruiting_Data!R:R, "Open")</f>
        <v>24</v>
      </c>
      <c r="D3" s="5">
        <f>IFERROR(AVERAGEIFS(Helper_Calcs!C:C, Recruiting_Data!E:E, A3), "")</f>
        <v>42.68421053</v>
      </c>
    </row>
    <row r="4">
      <c r="A4" s="3" t="s">
        <v>52</v>
      </c>
      <c r="B4" s="5">
        <f>COUNTIFS(Recruiting_Data!E:E, A4, Recruiting_Data!O:O, "Hired")</f>
        <v>19</v>
      </c>
      <c r="C4" s="5">
        <f>COUNTIFS(Recruiting_Data!E:E, A4, Recruiting_Data!R:R, "Open")</f>
        <v>23</v>
      </c>
      <c r="D4" s="5">
        <f>IFERROR(AVERAGEIFS(Helper_Calcs!C:C, Recruiting_Data!E:E, A4), "")</f>
        <v>41.63157895</v>
      </c>
    </row>
    <row r="5">
      <c r="A5" s="3" t="s">
        <v>47</v>
      </c>
      <c r="B5" s="5">
        <f>COUNTIFS(Recruiting_Data!E:E, A5, Recruiting_Data!O:O, "Hired")</f>
        <v>14</v>
      </c>
      <c r="C5" s="5">
        <f>COUNTIFS(Recruiting_Data!E:E, A5, Recruiting_Data!R:R, "Open")</f>
        <v>20</v>
      </c>
      <c r="D5" s="5">
        <f>IFERROR(AVERAGEIFS(Helper_Calcs!C:C, Recruiting_Data!E:E, A5), "")</f>
        <v>44.21428571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9.13"/>
    <col customWidth="1" min="3" max="3" width="5.0"/>
    <col customWidth="1" min="4" max="4" width="13.5"/>
  </cols>
  <sheetData>
    <row r="1">
      <c r="A1" s="1" t="s">
        <v>372</v>
      </c>
      <c r="B1" s="1" t="s">
        <v>373</v>
      </c>
      <c r="C1" s="1" t="s">
        <v>347</v>
      </c>
      <c r="D1" s="1" t="s">
        <v>250</v>
      </c>
      <c r="E1" s="2"/>
      <c r="F1" s="2"/>
      <c r="G1" s="2"/>
      <c r="H1" s="2"/>
      <c r="I1" s="2"/>
      <c r="J1" s="2"/>
      <c r="K1" s="2"/>
      <c r="L1" s="2"/>
      <c r="M1" s="2"/>
      <c r="N1" s="2"/>
      <c r="O1" s="2"/>
      <c r="P1" s="2"/>
      <c r="Q1" s="2"/>
      <c r="R1" s="2"/>
      <c r="S1" s="2"/>
      <c r="T1" s="2"/>
      <c r="U1" s="2"/>
      <c r="V1" s="2"/>
      <c r="W1" s="2"/>
      <c r="X1" s="2"/>
      <c r="Y1" s="2"/>
      <c r="Z1" s="2"/>
    </row>
    <row r="2">
      <c r="A2" s="3" t="s">
        <v>54</v>
      </c>
      <c r="B2" s="5">
        <f>COUNTIF(Recruiting_Data!H:H, A2)</f>
        <v>89</v>
      </c>
      <c r="C2" s="5">
        <f>COUNTIFS(Recruiting_Data!H:H, A2, Recruiting_Data!O:O, "Hired")</f>
        <v>18</v>
      </c>
      <c r="D2" s="5">
        <f t="shared" ref="D2:D7" si="1">IF(B2=0, 0, C2/B2)</f>
        <v>0.202247191</v>
      </c>
    </row>
    <row r="3">
      <c r="A3" s="3" t="s">
        <v>26</v>
      </c>
      <c r="B3" s="5">
        <f>COUNTIF(Recruiting_Data!H:H, A3)</f>
        <v>75</v>
      </c>
      <c r="C3" s="5">
        <f>COUNTIFS(Recruiting_Data!H:H, A3, Recruiting_Data!O:O, "Hired")</f>
        <v>14</v>
      </c>
      <c r="D3" s="5">
        <f t="shared" si="1"/>
        <v>0.1866666667</v>
      </c>
    </row>
    <row r="4">
      <c r="A4" s="3" t="s">
        <v>43</v>
      </c>
      <c r="B4" s="5">
        <f>COUNTIF(Recruiting_Data!H:H, A4)</f>
        <v>87</v>
      </c>
      <c r="C4" s="5">
        <f>COUNTIFS(Recruiting_Data!H:H, A4, Recruiting_Data!O:O, "Hired")</f>
        <v>12</v>
      </c>
      <c r="D4" s="5">
        <f t="shared" si="1"/>
        <v>0.1379310345</v>
      </c>
    </row>
    <row r="5">
      <c r="A5" s="3" t="s">
        <v>60</v>
      </c>
      <c r="B5" s="5">
        <f>COUNTIF(Recruiting_Data!H:H, A5)</f>
        <v>68</v>
      </c>
      <c r="C5" s="5">
        <f>COUNTIFS(Recruiting_Data!H:H, A5, Recruiting_Data!O:O, "Hired")</f>
        <v>9</v>
      </c>
      <c r="D5" s="5">
        <f t="shared" si="1"/>
        <v>0.1323529412</v>
      </c>
    </row>
    <row r="6">
      <c r="A6" s="3" t="s">
        <v>27</v>
      </c>
      <c r="B6" s="5">
        <f>COUNTIF(Recruiting_Data!H:H, A6)</f>
        <v>0</v>
      </c>
      <c r="C6" s="5">
        <f>COUNTIFS(Recruiting_Data!H:H, A6, Recruiting_Data!O:O, "Hired")</f>
        <v>0</v>
      </c>
      <c r="D6" s="5">
        <f t="shared" si="1"/>
        <v>0</v>
      </c>
    </row>
    <row r="7">
      <c r="A7" s="3" t="s">
        <v>35</v>
      </c>
      <c r="B7" s="5">
        <f>COUNTIF(Recruiting_Data!H:H, A7)</f>
        <v>81</v>
      </c>
      <c r="C7" s="5">
        <f>COUNTIFS(Recruiting_Data!H:H, A7, Recruiting_Data!O:O, "Hired")</f>
        <v>11</v>
      </c>
      <c r="D7" s="5">
        <f t="shared" si="1"/>
        <v>0.1358024691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9.13"/>
    <col customWidth="1" min="3" max="3" width="5.0"/>
    <col customWidth="1" min="4" max="4" width="7.13"/>
    <col customWidth="1" min="5" max="5" width="10.75"/>
  </cols>
  <sheetData>
    <row r="1">
      <c r="A1" s="1" t="s">
        <v>6</v>
      </c>
      <c r="B1" s="1" t="s">
        <v>274</v>
      </c>
      <c r="C1" s="1" t="s">
        <v>347</v>
      </c>
      <c r="D1" s="1" t="s">
        <v>348</v>
      </c>
      <c r="E1" s="1" t="s">
        <v>433</v>
      </c>
      <c r="F1" s="2"/>
      <c r="G1" s="2"/>
      <c r="H1" s="2"/>
      <c r="I1" s="2"/>
      <c r="J1" s="2"/>
      <c r="K1" s="2"/>
      <c r="L1" s="2"/>
      <c r="M1" s="2"/>
      <c r="N1" s="2"/>
      <c r="O1" s="2"/>
      <c r="P1" s="2"/>
      <c r="Q1" s="2"/>
      <c r="R1" s="2"/>
      <c r="S1" s="2"/>
      <c r="T1" s="2"/>
      <c r="U1" s="2"/>
      <c r="V1" s="2"/>
      <c r="W1" s="2"/>
      <c r="X1" s="2"/>
      <c r="Y1" s="2"/>
      <c r="Z1" s="2"/>
    </row>
    <row r="2">
      <c r="A2" s="3" t="s">
        <v>435</v>
      </c>
      <c r="B2" s="5">
        <f>COUNTIFS(Recruiting_Data!F:F, A2, Recruiting_Data!R:R, "Open")</f>
        <v>0</v>
      </c>
      <c r="C2" s="5">
        <f>COUNTIFS(Recruiting_Data!F:F, A2, Recruiting_Data!O:O, "Hired")</f>
        <v>0</v>
      </c>
      <c r="D2" s="5" t="str">
        <f>IFERROR(AVERAGEIFS(Helper_Calcs!C:C, Recruiting_Data!F:F, A2), "")</f>
        <v/>
      </c>
      <c r="E2" s="5">
        <f>COUNTIF(Recruiting_Data!F:F, A2)</f>
        <v>0</v>
      </c>
    </row>
    <row r="3">
      <c r="A3" s="3" t="s">
        <v>442</v>
      </c>
      <c r="B3" s="5">
        <f>COUNTIFS(Recruiting_Data!F:F, A3, Recruiting_Data!R:R, "Open")</f>
        <v>0</v>
      </c>
      <c r="C3" s="5">
        <f>COUNTIFS(Recruiting_Data!F:F, A3, Recruiting_Data!O:O, "Hired")</f>
        <v>0</v>
      </c>
      <c r="D3" s="5" t="str">
        <f>IFERROR(AVERAGEIFS(Helper_Calcs!C:C, Recruiting_Data!F:F, A3), "")</f>
        <v/>
      </c>
      <c r="E3" s="5">
        <f>COUNTIF(Recruiting_Data!F:F, A3)</f>
        <v>0</v>
      </c>
    </row>
    <row r="4">
      <c r="A4" s="3" t="s">
        <v>447</v>
      </c>
      <c r="B4" s="5">
        <f>COUNTIFS(Recruiting_Data!F:F, A4, Recruiting_Data!R:R, "Open")</f>
        <v>0</v>
      </c>
      <c r="C4" s="5">
        <f>COUNTIFS(Recruiting_Data!F:F, A4, Recruiting_Data!O:O, "Hired")</f>
        <v>0</v>
      </c>
      <c r="D4" s="5" t="str">
        <f>IFERROR(AVERAGEIFS(Helper_Calcs!C:C, Recruiting_Data!F:F, A4), "")</f>
        <v/>
      </c>
      <c r="E4" s="5">
        <f>COUNTIF(Recruiting_Data!F:F, A4)</f>
        <v>0</v>
      </c>
    </row>
    <row r="5">
      <c r="A5" s="3" t="s">
        <v>451</v>
      </c>
      <c r="B5" s="5">
        <f>COUNTIFS(Recruiting_Data!F:F, A5, Recruiting_Data!R:R, "Open")</f>
        <v>0</v>
      </c>
      <c r="C5" s="5">
        <f>COUNTIFS(Recruiting_Data!F:F, A5, Recruiting_Data!O:O, "Hired")</f>
        <v>0</v>
      </c>
      <c r="D5" s="5" t="str">
        <f>IFERROR(AVERAGEIFS(Helper_Calcs!C:C, Recruiting_Data!F:F, A5), "")</f>
        <v/>
      </c>
      <c r="E5" s="5">
        <f>COUNTIF(Recruiting_Data!F:F, A5)</f>
        <v>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7.25"/>
  </cols>
  <sheetData>
    <row r="1">
      <c r="A1" s="1" t="s">
        <v>124</v>
      </c>
      <c r="B1" s="1" t="s">
        <v>127</v>
      </c>
      <c r="C1" s="2"/>
      <c r="D1" s="2"/>
      <c r="E1" s="2"/>
      <c r="F1" s="2"/>
      <c r="G1" s="2"/>
      <c r="H1" s="2"/>
      <c r="I1" s="2"/>
      <c r="J1" s="2"/>
      <c r="K1" s="2"/>
      <c r="L1" s="2"/>
      <c r="M1" s="2"/>
      <c r="N1" s="2"/>
      <c r="O1" s="2"/>
      <c r="P1" s="2"/>
      <c r="Q1" s="2"/>
      <c r="R1" s="2"/>
      <c r="S1" s="2"/>
      <c r="T1" s="2"/>
      <c r="U1" s="2"/>
      <c r="V1" s="2"/>
      <c r="W1" s="2"/>
      <c r="X1" s="2"/>
      <c r="Y1" s="2"/>
      <c r="Z1" s="2"/>
    </row>
    <row r="2">
      <c r="A2" s="3" t="s">
        <v>142</v>
      </c>
      <c r="B2" s="5">
        <f>AVERAGE(Helper_Calcs!C:C)</f>
        <v>42.6875</v>
      </c>
    </row>
    <row r="3">
      <c r="A3" s="3" t="s">
        <v>601</v>
      </c>
      <c r="B3" s="5">
        <f>MEDIAN(Helper_Calcs!C:C)</f>
        <v>43.5</v>
      </c>
    </row>
    <row r="5">
      <c r="A5" s="3" t="s">
        <v>602</v>
      </c>
    </row>
    <row r="6">
      <c r="A6" s="3" t="s">
        <v>22</v>
      </c>
      <c r="B6" s="5">
        <f>IFERROR(AVERAGEIFS(Helper_Calcs!C:C, Recruiting_Data!D:D, A6), "")</f>
        <v>42.13636364</v>
      </c>
    </row>
    <row r="7">
      <c r="A7" s="3" t="s">
        <v>67</v>
      </c>
      <c r="B7" s="5">
        <f>IFERROR(AVERAGEIFS(Helper_Calcs!C:C, Recruiting_Data!D:D, A7), "")</f>
        <v>45.83333333</v>
      </c>
    </row>
    <row r="8">
      <c r="A8" s="3" t="s">
        <v>89</v>
      </c>
      <c r="B8" s="5">
        <f>IFERROR(AVERAGEIFS(Helper_Calcs!C:C, Recruiting_Data!D:D, A8), "")</f>
        <v>41.14285714</v>
      </c>
    </row>
    <row r="9">
      <c r="A9" s="3" t="s">
        <v>115</v>
      </c>
      <c r="B9" s="5">
        <f>IFERROR(AVERAGEIFS(Helper_Calcs!C:C, Recruiting_Data!D:D, A9), "")</f>
        <v>38.6</v>
      </c>
    </row>
    <row r="11">
      <c r="A11" s="3" t="s">
        <v>603</v>
      </c>
    </row>
    <row r="12">
      <c r="A12" s="3" t="s">
        <v>40</v>
      </c>
      <c r="B12" s="5">
        <f>IFERROR(AVERAGEIFS(Helper_Calcs!C:C, Recruiting_Data!E:E, A12), "")</f>
        <v>42.58333333</v>
      </c>
    </row>
    <row r="13">
      <c r="A13" s="3" t="s">
        <v>23</v>
      </c>
      <c r="B13" s="5">
        <f>IFERROR(AVERAGEIFS(Helper_Calcs!C:C, Recruiting_Data!E:E, A13), "")</f>
        <v>42.68421053</v>
      </c>
    </row>
    <row r="14">
      <c r="A14" s="3" t="s">
        <v>52</v>
      </c>
      <c r="B14" s="5">
        <f>IFERROR(AVERAGEIFS(Helper_Calcs!C:C, Recruiting_Data!E:E, A14), "")</f>
        <v>41.63157895</v>
      </c>
    </row>
    <row r="15">
      <c r="A15" s="3" t="s">
        <v>47</v>
      </c>
      <c r="B15" s="5">
        <f>IFERROR(AVERAGEIFS(Helper_Calcs!C:C, Recruiting_Data!E:E, A15), "")</f>
        <v>44.21428571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5.25"/>
  </cols>
  <sheetData>
    <row r="1">
      <c r="A1" s="1" t="s">
        <v>124</v>
      </c>
      <c r="B1" s="1" t="s">
        <v>127</v>
      </c>
      <c r="C1" s="2"/>
      <c r="D1" s="2"/>
      <c r="E1" s="2"/>
      <c r="F1" s="2"/>
      <c r="G1" s="2"/>
      <c r="H1" s="2"/>
      <c r="I1" s="2"/>
      <c r="J1" s="2"/>
      <c r="K1" s="2"/>
      <c r="L1" s="2"/>
      <c r="M1" s="2"/>
      <c r="N1" s="2"/>
      <c r="O1" s="2"/>
      <c r="P1" s="2"/>
      <c r="Q1" s="2"/>
      <c r="R1" s="2"/>
      <c r="S1" s="2"/>
      <c r="T1" s="2"/>
      <c r="U1" s="2"/>
      <c r="V1" s="2"/>
      <c r="W1" s="2"/>
      <c r="X1" s="2"/>
      <c r="Y1" s="2"/>
      <c r="Z1" s="2"/>
    </row>
    <row r="2">
      <c r="A2" s="3" t="s">
        <v>519</v>
      </c>
      <c r="B2" s="5">
        <f>COUNTIFS(Recruiting_Data!O:O, "Hired", Recruiting_Data!N:N, "")</f>
        <v>0</v>
      </c>
    </row>
    <row r="3">
      <c r="A3" s="3" t="s">
        <v>522</v>
      </c>
      <c r="B3" s="5">
        <f>COUNTIFS(Recruiting_Data!O:O, "Offer", Recruiting_Data!M:M, "")</f>
        <v>0</v>
      </c>
    </row>
    <row r="4">
      <c r="A4" s="3" t="s">
        <v>524</v>
      </c>
      <c r="B4" s="5">
        <f>COUNTIF(Helper_Calcs!G:G, TRUE)</f>
        <v>0</v>
      </c>
    </row>
    <row r="5">
      <c r="A5" s="3" t="s">
        <v>526</v>
      </c>
      <c r="B5" s="5">
        <f>COUNTIF(Helper_Calcs!H:H, TRUE)</f>
        <v>1</v>
      </c>
    </row>
    <row r="6">
      <c r="A6" s="3" t="s">
        <v>528</v>
      </c>
      <c r="B6" s="5">
        <f>COUNTA(Recruiting_Data!A:A)-1</f>
        <v>400</v>
      </c>
    </row>
    <row r="7">
      <c r="A7" s="3" t="s">
        <v>530</v>
      </c>
      <c r="B7" s="5">
        <f>IF(B6=0, 1, 1 - ((B2+B3+B4+B5)/B6))</f>
        <v>0.9975</v>
      </c>
    </row>
    <row r="9">
      <c r="A9" s="3" t="s">
        <v>533</v>
      </c>
    </row>
    <row r="10">
      <c r="A10" s="10" t="s">
        <v>0</v>
      </c>
      <c r="B10" s="10" t="s">
        <v>535</v>
      </c>
    </row>
    <row r="11">
      <c r="A11" s="5" t="str">
        <f>IFERROR(__xludf.DUMMYFUNCTION("LET(candidates, Recruiting_Data!A2:A1000, app, Recruiting_Data!J2:J1000, phone, Recruiting_Data!K2:K1000, onsite, Recruiting_Data!L2:L1000, offer, Recruiting_Data!M2:M1000, hire, Recruiting_Data!N2:N1000, stage, Recruiting_Data!O2:O1000, issues, MAP(candi"&amp;"dates, app, phone, onsite, offer, hire, stage, LAMBDA(c, j, k, l, m, n, o, IF(c="""", """", IF(AND(o=""Hired"", n=""""), ""Missing Hire_Date for Hired candidate"", IF(AND(o=""Offer"", m=""""), ""Missing Offer_Date for Offer stage candidate"", IF(OR(AND(k&lt;"&amp;"&gt;"""", j&lt;&gt;"""", k&lt;j), AND(l&lt;&gt;"""", j&lt;&gt;"""", l&lt;j), AND(l&lt;&gt;"""", k&lt;&gt;"""", l&lt;k), AND(m&lt;&gt;"""", j&lt;&gt;"""", m&lt;j), AND(m&lt;&gt;"""", k&lt;&gt;"""", m&lt;k), AND(m&lt;&gt;"""", l&lt;&gt;"""", m&lt;l), AND(n&lt;&gt;"""", j&lt;&gt;"""", n&lt;j), AND(n&lt;&gt;"""", k&lt;&gt;"""", n&lt;k), AND(n&lt;&gt;"""", l&lt;&gt;"""", n&lt;l), AND(n&lt;&gt;"""&amp;""", m&lt;&gt;"""", n&lt;m)), ""Dates out of order"", """")))))), IFERROR(FILTER(HSTACK(candidates, issues), issues&lt;&gt;""""), {""No issues found"", """"}))"),"C-10264")</f>
        <v>C-10264</v>
      </c>
      <c r="B11" s="5" t="str">
        <f>IFERROR(__xludf.DUMMYFUNCTION("""COMPUTED_VALUE"""),"Dates out of order")</f>
        <v>Dates out of order</v>
      </c>
    </row>
    <row r="12">
      <c r="A12" s="5" t="str">
        <f>IFERROR(__xludf.DUMMYFUNCTION("""COMPUTED_VALUE"""),"C-10358")</f>
        <v>C-10358</v>
      </c>
      <c r="B12" s="5" t="str">
        <f>IFERROR(__xludf.DUMMYFUNCTION("""COMPUTED_VALUE"""),"Dates out of order")</f>
        <v>Dates out of order</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9.13"/>
    <col customWidth="1" min="3" max="3" width="4.75"/>
    <col customWidth="1" min="4" max="4" width="13.38"/>
    <col customWidth="1" min="5" max="5" width="13.88"/>
    <col customWidth="1" min="6" max="6" width="14.63"/>
    <col customWidth="1" min="7" max="7" width="15.13"/>
  </cols>
  <sheetData>
    <row r="1">
      <c r="A1" s="11" t="s">
        <v>572</v>
      </c>
      <c r="B1" s="3" t="s">
        <v>573</v>
      </c>
      <c r="C1" s="3" t="s">
        <v>347</v>
      </c>
      <c r="D1" s="3" t="s">
        <v>574</v>
      </c>
      <c r="E1" s="12" t="s">
        <v>575</v>
      </c>
      <c r="F1" s="12" t="s">
        <v>576</v>
      </c>
      <c r="G1" s="12" t="s">
        <v>577</v>
      </c>
    </row>
    <row r="2">
      <c r="A2" s="11">
        <v>46132.0</v>
      </c>
      <c r="B2" s="3">
        <v>300.0</v>
      </c>
      <c r="C2" s="3">
        <v>5.0</v>
      </c>
      <c r="D2" s="3">
        <v>58.0</v>
      </c>
      <c r="E2" s="12">
        <v>0.82</v>
      </c>
      <c r="F2" s="12">
        <v>0.14</v>
      </c>
      <c r="G2" s="12">
        <v>0.1</v>
      </c>
    </row>
    <row r="3">
      <c r="A3" s="11">
        <v>46139.0</v>
      </c>
      <c r="B3" s="3">
        <v>305.0</v>
      </c>
      <c r="C3" s="3">
        <v>7.0</v>
      </c>
      <c r="D3" s="3">
        <v>56.0</v>
      </c>
      <c r="E3" s="12">
        <v>0.85</v>
      </c>
      <c r="F3" s="12">
        <v>0.15</v>
      </c>
      <c r="G3" s="12">
        <v>0.11</v>
      </c>
    </row>
    <row r="4">
      <c r="A4" s="11">
        <v>46146.0</v>
      </c>
      <c r="B4" s="3">
        <v>310.0</v>
      </c>
      <c r="C4" s="3">
        <v>6.0</v>
      </c>
      <c r="D4" s="3">
        <v>54.0</v>
      </c>
      <c r="E4" s="12">
        <v>0.84</v>
      </c>
      <c r="F4" s="12">
        <v>0.14</v>
      </c>
      <c r="G4" s="12">
        <v>0.12</v>
      </c>
    </row>
    <row r="5">
      <c r="A5" s="11">
        <v>46153.0</v>
      </c>
      <c r="B5" s="3">
        <v>315.0</v>
      </c>
      <c r="C5" s="3">
        <v>8.0</v>
      </c>
      <c r="D5" s="3">
        <v>52.0</v>
      </c>
      <c r="E5" s="12">
        <v>0.86</v>
      </c>
      <c r="F5" s="12">
        <v>0.15</v>
      </c>
      <c r="G5" s="12">
        <v>0.13</v>
      </c>
    </row>
    <row r="6">
      <c r="A6" s="11">
        <v>46160.0</v>
      </c>
      <c r="B6" s="3">
        <v>320.0</v>
      </c>
      <c r="C6" s="3">
        <v>9.0</v>
      </c>
      <c r="D6" s="3">
        <v>50.0</v>
      </c>
      <c r="E6" s="12">
        <v>0.88</v>
      </c>
      <c r="F6" s="12">
        <v>0.16</v>
      </c>
      <c r="G6" s="12">
        <v>0.14</v>
      </c>
    </row>
    <row r="7">
      <c r="A7" s="11">
        <v>46167.0</v>
      </c>
      <c r="B7" s="3">
        <v>325.0</v>
      </c>
      <c r="C7" s="3">
        <v>7.0</v>
      </c>
      <c r="D7" s="3">
        <v>48.0</v>
      </c>
      <c r="E7" s="12">
        <v>0.87</v>
      </c>
      <c r="F7" s="12">
        <v>0.15</v>
      </c>
      <c r="G7" s="12">
        <v>0.15</v>
      </c>
    </row>
    <row r="8">
      <c r="A8" s="11">
        <v>46174.0</v>
      </c>
      <c r="B8" s="3">
        <v>330.0</v>
      </c>
      <c r="C8" s="3">
        <v>10.0</v>
      </c>
      <c r="D8" s="3">
        <v>46.0</v>
      </c>
      <c r="E8" s="12">
        <v>0.89</v>
      </c>
      <c r="F8" s="12">
        <v>0.16</v>
      </c>
      <c r="G8" s="12">
        <v>0.15</v>
      </c>
    </row>
    <row r="9">
      <c r="A9" s="11">
        <v>46181.0</v>
      </c>
      <c r="B9" s="3">
        <v>336.0</v>
      </c>
      <c r="C9" s="3">
        <v>23.0</v>
      </c>
      <c r="D9" s="3">
        <v>43.0</v>
      </c>
      <c r="E9" s="12">
        <v>0.552</v>
      </c>
      <c r="F9" s="12">
        <v>0.16</v>
      </c>
      <c r="G9" s="12">
        <v>0.16</v>
      </c>
    </row>
    <row r="10">
      <c r="A10" s="11">
        <v>46183.680650243055</v>
      </c>
      <c r="B10" s="10">
        <v>14.0</v>
      </c>
      <c r="C10" s="10">
        <v>23.0</v>
      </c>
      <c r="D10" s="10">
        <v>42.6875</v>
      </c>
      <c r="E10" s="12">
        <v>0.5517241379310345</v>
      </c>
      <c r="F10" s="12">
        <v>0.16</v>
      </c>
      <c r="G10" s="12">
        <v>0.7254901960784313</v>
      </c>
    </row>
    <row r="11">
      <c r="A11" s="11">
        <v>46183.68299965278</v>
      </c>
      <c r="B11" s="10">
        <v>14.0</v>
      </c>
      <c r="C11" s="10">
        <v>23.0</v>
      </c>
      <c r="D11" s="10">
        <v>42.6875</v>
      </c>
      <c r="E11" s="12">
        <v>0.5517241379310345</v>
      </c>
      <c r="F11" s="12">
        <v>0.16</v>
      </c>
      <c r="G11" s="12">
        <v>0.7254901960784313</v>
      </c>
    </row>
    <row r="12">
      <c r="A12" s="13">
        <v>46184.44635979166</v>
      </c>
      <c r="B12" s="10">
        <v>14.0</v>
      </c>
      <c r="C12" s="10">
        <v>21.0</v>
      </c>
      <c r="D12" s="10">
        <v>42.6875</v>
      </c>
      <c r="E12" s="12">
        <v>0.5517241379310345</v>
      </c>
      <c r="F12" s="12">
        <v>0.16</v>
      </c>
      <c r="G12" s="12">
        <v>0.7254901960784313</v>
      </c>
    </row>
    <row r="13">
      <c r="A13" s="13">
        <v>46188.32864765046</v>
      </c>
      <c r="B13" s="10">
        <v>14.0</v>
      </c>
      <c r="C13" s="10">
        <v>20.0</v>
      </c>
      <c r="D13" s="10">
        <v>42.6875</v>
      </c>
      <c r="E13" s="12">
        <v>0.5517241379310345</v>
      </c>
      <c r="F13" s="12">
        <v>0.16</v>
      </c>
      <c r="G13" s="12">
        <v>0.7254901960784313</v>
      </c>
    </row>
    <row r="14">
      <c r="A14" s="13">
        <v>46195.32865028935</v>
      </c>
      <c r="B14" s="10">
        <v>14.0</v>
      </c>
      <c r="C14" s="10">
        <v>16.0</v>
      </c>
      <c r="D14" s="10">
        <v>42.6875</v>
      </c>
      <c r="E14" s="12">
        <v>0.5517241379310345</v>
      </c>
      <c r="F14" s="12">
        <v>0.16</v>
      </c>
      <c r="G14" s="12">
        <v>0.7254901960784313</v>
      </c>
    </row>
    <row r="15">
      <c r="A15" s="13">
        <v>46202.32864597222</v>
      </c>
      <c r="B15" s="10">
        <v>14.0</v>
      </c>
      <c r="C15" s="10">
        <v>10.0</v>
      </c>
      <c r="D15" s="10">
        <v>42.6875</v>
      </c>
      <c r="E15" s="12">
        <v>0.5517241379310345</v>
      </c>
      <c r="F15" s="12">
        <v>0.16</v>
      </c>
      <c r="G15" s="12">
        <v>0.7254901960784313</v>
      </c>
    </row>
    <row r="16">
      <c r="A16" s="13">
        <v>46209.32872189815</v>
      </c>
      <c r="B16" s="10">
        <v>14.0</v>
      </c>
      <c r="C16" s="10">
        <v>6.0</v>
      </c>
      <c r="D16" s="10">
        <v>42.6875</v>
      </c>
      <c r="E16" s="12">
        <v>0.5517241379310345</v>
      </c>
      <c r="F16" s="12">
        <v>0.16</v>
      </c>
      <c r="G16" s="12">
        <v>0.7254901960784313</v>
      </c>
    </row>
    <row r="17">
      <c r="A17" s="13">
        <v>46216.32864452546</v>
      </c>
      <c r="B17" s="10">
        <v>14.0</v>
      </c>
      <c r="C17" s="10">
        <v>5.0</v>
      </c>
      <c r="D17" s="10">
        <v>42.6875</v>
      </c>
      <c r="E17" s="12">
        <v>0.5517241379310345</v>
      </c>
      <c r="F17" s="12">
        <v>0.16</v>
      </c>
      <c r="G17" s="12">
        <v>0.7254901960784313</v>
      </c>
    </row>
    <row r="18">
      <c r="A18" s="13">
        <v>46223.32864953704</v>
      </c>
      <c r="B18" s="10">
        <v>14.0</v>
      </c>
      <c r="C18" s="10">
        <v>0.0</v>
      </c>
      <c r="D18" s="10">
        <v>42.6875</v>
      </c>
      <c r="E18" s="12">
        <v>0.5517241379310345</v>
      </c>
      <c r="F18" s="12">
        <v>0.16</v>
      </c>
      <c r="G18" s="12">
        <v>0.7254901960784313</v>
      </c>
    </row>
    <row r="19">
      <c r="A19" s="13">
        <v>46230.32865747686</v>
      </c>
      <c r="B19" s="10">
        <v>14.0</v>
      </c>
      <c r="C19" s="10">
        <v>0.0</v>
      </c>
      <c r="D19" s="10">
        <v>42.6875</v>
      </c>
      <c r="E19" s="12">
        <v>0.5517241379310345</v>
      </c>
      <c r="F19" s="12">
        <v>0.16</v>
      </c>
      <c r="G19" s="12">
        <v>0.7254901960784313</v>
      </c>
    </row>
    <row r="20">
      <c r="A20" s="13">
        <v>46237.32864641203</v>
      </c>
      <c r="B20" s="10">
        <v>14.0</v>
      </c>
      <c r="C20" s="10">
        <v>0.0</v>
      </c>
      <c r="D20" s="10">
        <v>42.6875</v>
      </c>
      <c r="E20" s="12">
        <v>0.5517241379310345</v>
      </c>
      <c r="F20" s="12">
        <v>0.16</v>
      </c>
      <c r="G20" s="12">
        <v>0.7254901960784313</v>
      </c>
    </row>
    <row r="21">
      <c r="A21" s="13">
        <v>46244.32865388889</v>
      </c>
      <c r="B21" s="10">
        <v>14.0</v>
      </c>
      <c r="C21" s="10">
        <v>0.0</v>
      </c>
      <c r="D21" s="10">
        <v>42.6875</v>
      </c>
      <c r="E21" s="12">
        <v>0.5517241379310345</v>
      </c>
      <c r="F21" s="12">
        <v>0.16</v>
      </c>
      <c r="G21" s="12">
        <v>0.7254901960784313</v>
      </c>
    </row>
    <row r="22">
      <c r="A22" s="13">
        <v>46251.32866306713</v>
      </c>
      <c r="B22" s="10">
        <v>14.0</v>
      </c>
      <c r="C22" s="10">
        <v>0.0</v>
      </c>
      <c r="D22" s="10">
        <v>42.6875</v>
      </c>
      <c r="E22" s="12">
        <v>0.5517241379310345</v>
      </c>
      <c r="F22" s="12">
        <v>0.16</v>
      </c>
      <c r="G22" s="12">
        <v>0.7254901960784313</v>
      </c>
    </row>
    <row r="23">
      <c r="A23" s="13">
        <v>46258.32865571759</v>
      </c>
      <c r="B23" s="10">
        <v>14.0</v>
      </c>
      <c r="C23" s="10">
        <v>0.0</v>
      </c>
      <c r="D23" s="10">
        <v>42.6875</v>
      </c>
      <c r="E23" s="12">
        <v>0.5517241379310345</v>
      </c>
      <c r="F23" s="12">
        <v>0.16</v>
      </c>
      <c r="G23" s="12">
        <v>0.7254901960784313</v>
      </c>
    </row>
    <row r="24">
      <c r="A24" s="13">
        <v>46265.32866796297</v>
      </c>
      <c r="B24" s="10">
        <v>14.0</v>
      </c>
      <c r="C24" s="10">
        <v>0.0</v>
      </c>
      <c r="D24" s="10">
        <v>42.6875</v>
      </c>
      <c r="E24" s="12">
        <v>0.5517241379310345</v>
      </c>
      <c r="F24" s="12">
        <v>0.16</v>
      </c>
      <c r="G24" s="12">
        <v>0.7254901960784313</v>
      </c>
    </row>
    <row r="25">
      <c r="A25" s="13">
        <v>46272.32867834491</v>
      </c>
      <c r="B25" s="10">
        <v>14.0</v>
      </c>
      <c r="C25" s="10">
        <v>0.0</v>
      </c>
      <c r="D25" s="10">
        <v>42.6875</v>
      </c>
      <c r="E25" s="12">
        <v>0.5517241379310345</v>
      </c>
      <c r="F25" s="12">
        <v>0.16</v>
      </c>
      <c r="G25" s="12">
        <v>0.7254901960784313</v>
      </c>
    </row>
    <row r="26">
      <c r="A26" s="13">
        <v>46279.329146504635</v>
      </c>
      <c r="B26" s="10">
        <v>14.0</v>
      </c>
      <c r="C26" s="10">
        <v>0.0</v>
      </c>
      <c r="D26" s="10">
        <v>42.6875</v>
      </c>
      <c r="E26" s="12">
        <v>0.5517241379310345</v>
      </c>
      <c r="F26" s="12">
        <v>0.16</v>
      </c>
      <c r="G26" s="12">
        <v>0.7254901960784313</v>
      </c>
    </row>
    <row r="27">
      <c r="A27" s="14"/>
      <c r="E27" s="15"/>
      <c r="F27" s="15"/>
      <c r="G27" s="15"/>
    </row>
    <row r="28">
      <c r="A28" s="14"/>
      <c r="E28" s="15"/>
      <c r="F28" s="15"/>
      <c r="G28" s="15"/>
    </row>
    <row r="29">
      <c r="A29" s="14"/>
      <c r="E29" s="15"/>
      <c r="F29" s="15"/>
      <c r="G29" s="15"/>
    </row>
    <row r="30">
      <c r="A30" s="14"/>
      <c r="E30" s="15"/>
      <c r="F30" s="15"/>
      <c r="G30" s="15"/>
    </row>
    <row r="31">
      <c r="A31" s="14"/>
      <c r="E31" s="15"/>
      <c r="F31" s="15"/>
      <c r="G31" s="15"/>
    </row>
    <row r="32">
      <c r="A32" s="14"/>
      <c r="E32" s="15"/>
      <c r="F32" s="15"/>
      <c r="G32" s="15"/>
    </row>
    <row r="33">
      <c r="A33" s="14"/>
      <c r="E33" s="15"/>
      <c r="F33" s="15"/>
      <c r="G33" s="15"/>
    </row>
    <row r="34">
      <c r="A34" s="14"/>
      <c r="E34" s="15"/>
      <c r="F34" s="15"/>
      <c r="G34" s="15"/>
    </row>
    <row r="35">
      <c r="A35" s="14"/>
      <c r="E35" s="15"/>
      <c r="F35" s="15"/>
      <c r="G35" s="15"/>
    </row>
    <row r="36">
      <c r="A36" s="14"/>
      <c r="E36" s="15"/>
      <c r="F36" s="15"/>
      <c r="G36" s="15"/>
    </row>
    <row r="37">
      <c r="A37" s="14"/>
      <c r="E37" s="15"/>
      <c r="F37" s="15"/>
      <c r="G37" s="15"/>
    </row>
    <row r="38">
      <c r="A38" s="14"/>
      <c r="E38" s="15"/>
      <c r="F38" s="15"/>
      <c r="G38" s="15"/>
    </row>
    <row r="39">
      <c r="A39" s="14"/>
      <c r="E39" s="15"/>
      <c r="F39" s="15"/>
      <c r="G39" s="15"/>
    </row>
    <row r="40">
      <c r="A40" s="14"/>
      <c r="E40" s="15"/>
      <c r="F40" s="15"/>
      <c r="G40" s="15"/>
    </row>
    <row r="41">
      <c r="A41" s="14"/>
      <c r="E41" s="15"/>
      <c r="F41" s="15"/>
      <c r="G41" s="15"/>
    </row>
    <row r="42">
      <c r="A42" s="14"/>
      <c r="E42" s="15"/>
      <c r="F42" s="15"/>
      <c r="G42" s="15"/>
    </row>
    <row r="43">
      <c r="A43" s="14"/>
      <c r="E43" s="15"/>
      <c r="F43" s="15"/>
      <c r="G43" s="15"/>
    </row>
    <row r="44">
      <c r="A44" s="14"/>
      <c r="E44" s="15"/>
      <c r="F44" s="15"/>
      <c r="G44" s="15"/>
    </row>
    <row r="45">
      <c r="A45" s="14"/>
      <c r="E45" s="15"/>
      <c r="F45" s="15"/>
      <c r="G45" s="15"/>
    </row>
    <row r="46">
      <c r="A46" s="14"/>
      <c r="E46" s="15"/>
      <c r="F46" s="15"/>
      <c r="G46" s="15"/>
    </row>
    <row r="47">
      <c r="A47" s="14"/>
      <c r="E47" s="15"/>
      <c r="F47" s="15"/>
      <c r="G47" s="15"/>
    </row>
    <row r="48">
      <c r="A48" s="14"/>
      <c r="E48" s="15"/>
      <c r="F48" s="15"/>
      <c r="G48" s="15"/>
    </row>
    <row r="49">
      <c r="A49" s="14"/>
      <c r="E49" s="15"/>
      <c r="F49" s="15"/>
      <c r="G49" s="15"/>
    </row>
    <row r="50">
      <c r="A50" s="14"/>
      <c r="E50" s="15"/>
      <c r="F50" s="15"/>
      <c r="G50" s="15"/>
    </row>
    <row r="51">
      <c r="A51" s="14"/>
      <c r="E51" s="15"/>
      <c r="F51" s="15"/>
      <c r="G51" s="15"/>
    </row>
    <row r="52">
      <c r="A52" s="14"/>
      <c r="E52" s="15"/>
      <c r="F52" s="15"/>
      <c r="G52" s="15"/>
    </row>
    <row r="53">
      <c r="A53" s="14"/>
      <c r="E53" s="15"/>
      <c r="F53" s="15"/>
      <c r="G53" s="15"/>
    </row>
    <row r="54">
      <c r="A54" s="14"/>
      <c r="E54" s="15"/>
      <c r="F54" s="15"/>
      <c r="G54" s="15"/>
    </row>
    <row r="55">
      <c r="A55" s="14"/>
      <c r="E55" s="15"/>
      <c r="F55" s="15"/>
      <c r="G55" s="15"/>
    </row>
    <row r="56">
      <c r="A56" s="14"/>
      <c r="E56" s="15"/>
      <c r="F56" s="15"/>
      <c r="G56" s="15"/>
    </row>
    <row r="57">
      <c r="A57" s="14"/>
      <c r="E57" s="15"/>
      <c r="F57" s="15"/>
      <c r="G57" s="15"/>
    </row>
    <row r="58">
      <c r="A58" s="14"/>
      <c r="E58" s="15"/>
      <c r="F58" s="15"/>
      <c r="G58" s="15"/>
    </row>
    <row r="59">
      <c r="A59" s="14"/>
      <c r="E59" s="15"/>
      <c r="F59" s="15"/>
      <c r="G59" s="15"/>
    </row>
    <row r="60">
      <c r="A60" s="14"/>
      <c r="E60" s="15"/>
      <c r="F60" s="15"/>
      <c r="G60" s="15"/>
    </row>
    <row r="61">
      <c r="A61" s="14"/>
      <c r="E61" s="15"/>
      <c r="F61" s="15"/>
      <c r="G61" s="15"/>
    </row>
    <row r="62">
      <c r="A62" s="14"/>
      <c r="E62" s="15"/>
      <c r="F62" s="15"/>
      <c r="G62" s="15"/>
    </row>
    <row r="63">
      <c r="A63" s="14"/>
      <c r="E63" s="15"/>
      <c r="F63" s="15"/>
      <c r="G63" s="15"/>
    </row>
    <row r="64">
      <c r="A64" s="14"/>
      <c r="E64" s="15"/>
      <c r="F64" s="15"/>
      <c r="G64" s="15"/>
    </row>
    <row r="65">
      <c r="A65" s="14"/>
      <c r="E65" s="15"/>
      <c r="F65" s="15"/>
      <c r="G65" s="15"/>
    </row>
    <row r="66">
      <c r="A66" s="14"/>
      <c r="E66" s="15"/>
      <c r="F66" s="15"/>
      <c r="G66" s="15"/>
    </row>
    <row r="67">
      <c r="A67" s="14"/>
      <c r="E67" s="15"/>
      <c r="F67" s="15"/>
      <c r="G67" s="15"/>
    </row>
    <row r="68">
      <c r="A68" s="14"/>
      <c r="E68" s="15"/>
      <c r="F68" s="15"/>
      <c r="G68" s="15"/>
    </row>
    <row r="69">
      <c r="A69" s="14"/>
      <c r="E69" s="15"/>
      <c r="F69" s="15"/>
      <c r="G69" s="15"/>
    </row>
    <row r="70">
      <c r="A70" s="14"/>
      <c r="E70" s="15"/>
      <c r="F70" s="15"/>
      <c r="G70" s="15"/>
    </row>
    <row r="71">
      <c r="A71" s="14"/>
      <c r="E71" s="15"/>
      <c r="F71" s="15"/>
      <c r="G71" s="15"/>
    </row>
    <row r="72">
      <c r="A72" s="14"/>
      <c r="E72" s="15"/>
      <c r="F72" s="15"/>
      <c r="G72" s="15"/>
    </row>
    <row r="73">
      <c r="A73" s="14"/>
      <c r="E73" s="15"/>
      <c r="F73" s="15"/>
      <c r="G73" s="15"/>
    </row>
    <row r="74">
      <c r="A74" s="14"/>
      <c r="E74" s="15"/>
      <c r="F74" s="15"/>
      <c r="G74" s="15"/>
    </row>
    <row r="75">
      <c r="A75" s="14"/>
      <c r="E75" s="15"/>
      <c r="F75" s="15"/>
      <c r="G75" s="15"/>
    </row>
    <row r="76">
      <c r="A76" s="14"/>
      <c r="E76" s="15"/>
      <c r="F76" s="15"/>
      <c r="G76" s="15"/>
    </row>
    <row r="77">
      <c r="A77" s="14"/>
      <c r="E77" s="15"/>
      <c r="F77" s="15"/>
      <c r="G77" s="15"/>
    </row>
    <row r="78">
      <c r="A78" s="14"/>
      <c r="E78" s="15"/>
      <c r="F78" s="15"/>
      <c r="G78" s="15"/>
    </row>
    <row r="79">
      <c r="A79" s="14"/>
      <c r="E79" s="15"/>
      <c r="F79" s="15"/>
      <c r="G79" s="15"/>
    </row>
    <row r="80">
      <c r="A80" s="14"/>
      <c r="E80" s="15"/>
      <c r="F80" s="15"/>
      <c r="G80" s="15"/>
    </row>
    <row r="81">
      <c r="A81" s="14"/>
      <c r="E81" s="15"/>
      <c r="F81" s="15"/>
      <c r="G81" s="15"/>
    </row>
    <row r="82">
      <c r="A82" s="14"/>
      <c r="E82" s="15"/>
      <c r="F82" s="15"/>
      <c r="G82" s="15"/>
    </row>
    <row r="83">
      <c r="A83" s="14"/>
      <c r="E83" s="15"/>
      <c r="F83" s="15"/>
      <c r="G83" s="15"/>
    </row>
    <row r="84">
      <c r="A84" s="14"/>
      <c r="E84" s="15"/>
      <c r="F84" s="15"/>
      <c r="G84" s="15"/>
    </row>
    <row r="85">
      <c r="A85" s="14"/>
      <c r="E85" s="15"/>
      <c r="F85" s="15"/>
      <c r="G85" s="15"/>
    </row>
    <row r="86">
      <c r="A86" s="14"/>
      <c r="E86" s="15"/>
      <c r="F86" s="15"/>
      <c r="G86" s="15"/>
    </row>
    <row r="87">
      <c r="A87" s="14"/>
      <c r="E87" s="15"/>
      <c r="F87" s="15"/>
      <c r="G87" s="15"/>
    </row>
    <row r="88">
      <c r="A88" s="14"/>
      <c r="E88" s="15"/>
      <c r="F88" s="15"/>
      <c r="G88" s="15"/>
    </row>
    <row r="89">
      <c r="A89" s="14"/>
      <c r="E89" s="15"/>
      <c r="F89" s="15"/>
      <c r="G89" s="15"/>
    </row>
    <row r="90">
      <c r="A90" s="14"/>
      <c r="E90" s="15"/>
      <c r="F90" s="15"/>
      <c r="G90" s="15"/>
    </row>
    <row r="91">
      <c r="A91" s="14"/>
      <c r="E91" s="15"/>
      <c r="F91" s="15"/>
      <c r="G91" s="15"/>
    </row>
    <row r="92">
      <c r="A92" s="14"/>
      <c r="E92" s="15"/>
      <c r="F92" s="15"/>
      <c r="G92" s="15"/>
    </row>
    <row r="93">
      <c r="A93" s="14"/>
      <c r="E93" s="15"/>
      <c r="F93" s="15"/>
      <c r="G93" s="15"/>
    </row>
    <row r="94">
      <c r="A94" s="14"/>
      <c r="E94" s="15"/>
      <c r="F94" s="15"/>
      <c r="G94" s="15"/>
    </row>
    <row r="95">
      <c r="A95" s="14"/>
      <c r="E95" s="15"/>
      <c r="F95" s="15"/>
      <c r="G95" s="15"/>
    </row>
    <row r="96">
      <c r="A96" s="14"/>
      <c r="E96" s="15"/>
      <c r="F96" s="15"/>
      <c r="G96" s="15"/>
    </row>
    <row r="97">
      <c r="A97" s="14"/>
      <c r="E97" s="15"/>
      <c r="F97" s="15"/>
      <c r="G97" s="15"/>
    </row>
    <row r="98">
      <c r="A98" s="14"/>
      <c r="E98" s="15"/>
      <c r="F98" s="15"/>
      <c r="G98" s="15"/>
    </row>
    <row r="99">
      <c r="A99" s="14"/>
      <c r="E99" s="15"/>
      <c r="F99" s="15"/>
      <c r="G99" s="15"/>
    </row>
    <row r="100">
      <c r="A100" s="14"/>
      <c r="E100" s="15"/>
      <c r="F100" s="15"/>
      <c r="G100" s="15"/>
    </row>
    <row r="101">
      <c r="A101" s="14"/>
      <c r="E101" s="15"/>
      <c r="F101" s="15"/>
      <c r="G101" s="15"/>
    </row>
    <row r="102">
      <c r="A102" s="14"/>
      <c r="E102" s="15"/>
      <c r="F102" s="15"/>
      <c r="G102" s="15"/>
    </row>
    <row r="103">
      <c r="A103" s="14"/>
      <c r="E103" s="15"/>
      <c r="F103" s="15"/>
      <c r="G103" s="15"/>
    </row>
    <row r="104">
      <c r="A104" s="14"/>
      <c r="E104" s="15"/>
      <c r="F104" s="15"/>
      <c r="G104" s="15"/>
    </row>
    <row r="105">
      <c r="A105" s="14"/>
      <c r="E105" s="15"/>
      <c r="F105" s="15"/>
      <c r="G105" s="15"/>
    </row>
    <row r="106">
      <c r="A106" s="14"/>
      <c r="E106" s="15"/>
      <c r="F106" s="15"/>
      <c r="G106" s="15"/>
    </row>
    <row r="107">
      <c r="A107" s="14"/>
      <c r="E107" s="15"/>
      <c r="F107" s="15"/>
      <c r="G107" s="15"/>
    </row>
    <row r="108">
      <c r="A108" s="14"/>
      <c r="E108" s="15"/>
      <c r="F108" s="15"/>
      <c r="G108" s="15"/>
    </row>
    <row r="109">
      <c r="A109" s="14"/>
      <c r="E109" s="15"/>
      <c r="F109" s="15"/>
      <c r="G109" s="15"/>
    </row>
    <row r="110">
      <c r="A110" s="14"/>
      <c r="E110" s="15"/>
      <c r="F110" s="15"/>
      <c r="G110" s="15"/>
    </row>
    <row r="111">
      <c r="A111" s="14"/>
      <c r="E111" s="15"/>
      <c r="F111" s="15"/>
      <c r="G111" s="15"/>
    </row>
    <row r="112">
      <c r="A112" s="14"/>
      <c r="E112" s="15"/>
      <c r="F112" s="15"/>
      <c r="G112" s="15"/>
    </row>
    <row r="113">
      <c r="A113" s="14"/>
      <c r="E113" s="15"/>
      <c r="F113" s="15"/>
      <c r="G113" s="15"/>
    </row>
    <row r="114">
      <c r="A114" s="14"/>
      <c r="E114" s="15"/>
      <c r="F114" s="15"/>
      <c r="G114" s="15"/>
    </row>
    <row r="115">
      <c r="A115" s="14"/>
      <c r="E115" s="15"/>
      <c r="F115" s="15"/>
      <c r="G115" s="15"/>
    </row>
    <row r="116">
      <c r="A116" s="14"/>
      <c r="E116" s="15"/>
      <c r="F116" s="15"/>
      <c r="G116" s="15"/>
    </row>
    <row r="117">
      <c r="A117" s="14"/>
      <c r="E117" s="15"/>
      <c r="F117" s="15"/>
      <c r="G117" s="15"/>
    </row>
    <row r="118">
      <c r="A118" s="14"/>
      <c r="E118" s="15"/>
      <c r="F118" s="15"/>
      <c r="G118" s="15"/>
    </row>
    <row r="119">
      <c r="A119" s="14"/>
      <c r="E119" s="15"/>
      <c r="F119" s="15"/>
      <c r="G119" s="15"/>
    </row>
    <row r="120">
      <c r="A120" s="14"/>
      <c r="E120" s="15"/>
      <c r="F120" s="15"/>
      <c r="G120" s="15"/>
    </row>
    <row r="121">
      <c r="A121" s="14"/>
      <c r="E121" s="15"/>
      <c r="F121" s="15"/>
      <c r="G121" s="15"/>
    </row>
    <row r="122">
      <c r="A122" s="14"/>
      <c r="E122" s="15"/>
      <c r="F122" s="15"/>
      <c r="G122" s="15"/>
    </row>
    <row r="123">
      <c r="A123" s="14"/>
      <c r="E123" s="15"/>
      <c r="F123" s="15"/>
      <c r="G123" s="15"/>
    </row>
    <row r="124">
      <c r="A124" s="14"/>
      <c r="E124" s="15"/>
      <c r="F124" s="15"/>
      <c r="G124" s="15"/>
    </row>
    <row r="125">
      <c r="A125" s="14"/>
      <c r="E125" s="15"/>
      <c r="F125" s="15"/>
      <c r="G125" s="15"/>
    </row>
    <row r="126">
      <c r="A126" s="14"/>
      <c r="E126" s="15"/>
      <c r="F126" s="15"/>
      <c r="G126" s="15"/>
    </row>
    <row r="127">
      <c r="A127" s="14"/>
      <c r="E127" s="15"/>
      <c r="F127" s="15"/>
      <c r="G127" s="15"/>
    </row>
    <row r="128">
      <c r="A128" s="14"/>
      <c r="E128" s="15"/>
      <c r="F128" s="15"/>
      <c r="G128" s="15"/>
    </row>
    <row r="129">
      <c r="A129" s="14"/>
      <c r="E129" s="15"/>
      <c r="F129" s="15"/>
      <c r="G129" s="15"/>
    </row>
    <row r="130">
      <c r="A130" s="14"/>
      <c r="E130" s="15"/>
      <c r="F130" s="15"/>
      <c r="G130" s="15"/>
    </row>
    <row r="131">
      <c r="A131" s="14"/>
      <c r="E131" s="15"/>
      <c r="F131" s="15"/>
      <c r="G131" s="15"/>
    </row>
    <row r="132">
      <c r="A132" s="14"/>
      <c r="E132" s="15"/>
      <c r="F132" s="15"/>
      <c r="G132" s="15"/>
    </row>
    <row r="133">
      <c r="A133" s="14"/>
      <c r="E133" s="15"/>
      <c r="F133" s="15"/>
      <c r="G133" s="15"/>
    </row>
    <row r="134">
      <c r="A134" s="14"/>
      <c r="E134" s="15"/>
      <c r="F134" s="15"/>
      <c r="G134" s="15"/>
    </row>
    <row r="135">
      <c r="A135" s="14"/>
      <c r="E135" s="15"/>
      <c r="F135" s="15"/>
      <c r="G135" s="15"/>
    </row>
    <row r="136">
      <c r="A136" s="14"/>
      <c r="E136" s="15"/>
      <c r="F136" s="15"/>
      <c r="G136" s="15"/>
    </row>
    <row r="137">
      <c r="A137" s="14"/>
      <c r="E137" s="15"/>
      <c r="F137" s="15"/>
      <c r="G137" s="15"/>
    </row>
    <row r="138">
      <c r="A138" s="14"/>
      <c r="E138" s="15"/>
      <c r="F138" s="15"/>
      <c r="G138" s="15"/>
    </row>
    <row r="139">
      <c r="A139" s="14"/>
      <c r="E139" s="15"/>
      <c r="F139" s="15"/>
      <c r="G139" s="15"/>
    </row>
    <row r="140">
      <c r="A140" s="14"/>
      <c r="E140" s="15"/>
      <c r="F140" s="15"/>
      <c r="G140" s="15"/>
    </row>
    <row r="141">
      <c r="A141" s="14"/>
      <c r="E141" s="15"/>
      <c r="F141" s="15"/>
      <c r="G141" s="15"/>
    </row>
    <row r="142">
      <c r="A142" s="14"/>
      <c r="E142" s="15"/>
      <c r="F142" s="15"/>
      <c r="G142" s="15"/>
    </row>
    <row r="143">
      <c r="A143" s="14"/>
      <c r="E143" s="15"/>
      <c r="F143" s="15"/>
      <c r="G143" s="15"/>
    </row>
    <row r="144">
      <c r="A144" s="14"/>
      <c r="E144" s="15"/>
      <c r="F144" s="15"/>
      <c r="G144" s="15"/>
    </row>
    <row r="145">
      <c r="A145" s="14"/>
      <c r="E145" s="15"/>
      <c r="F145" s="15"/>
      <c r="G145" s="15"/>
    </row>
    <row r="146">
      <c r="A146" s="14"/>
      <c r="E146" s="15"/>
      <c r="F146" s="15"/>
      <c r="G146" s="15"/>
    </row>
    <row r="147">
      <c r="A147" s="14"/>
      <c r="E147" s="15"/>
      <c r="F147" s="15"/>
      <c r="G147" s="15"/>
    </row>
    <row r="148">
      <c r="A148" s="14"/>
      <c r="E148" s="15"/>
      <c r="F148" s="15"/>
      <c r="G148" s="15"/>
    </row>
    <row r="149">
      <c r="A149" s="14"/>
      <c r="E149" s="15"/>
      <c r="F149" s="15"/>
      <c r="G149" s="15"/>
    </row>
    <row r="150">
      <c r="A150" s="14"/>
      <c r="E150" s="15"/>
      <c r="F150" s="15"/>
      <c r="G150" s="15"/>
    </row>
    <row r="151">
      <c r="A151" s="14"/>
      <c r="E151" s="15"/>
      <c r="F151" s="15"/>
      <c r="G151" s="15"/>
    </row>
    <row r="152">
      <c r="A152" s="14"/>
      <c r="E152" s="15"/>
      <c r="F152" s="15"/>
      <c r="G152" s="15"/>
    </row>
    <row r="153">
      <c r="A153" s="14"/>
      <c r="E153" s="15"/>
      <c r="F153" s="15"/>
      <c r="G153" s="15"/>
    </row>
    <row r="154">
      <c r="A154" s="14"/>
      <c r="E154" s="15"/>
      <c r="F154" s="15"/>
      <c r="G154" s="15"/>
    </row>
    <row r="155">
      <c r="A155" s="14"/>
      <c r="E155" s="15"/>
      <c r="F155" s="15"/>
      <c r="G155" s="15"/>
    </row>
    <row r="156">
      <c r="A156" s="14"/>
      <c r="E156" s="15"/>
      <c r="F156" s="15"/>
      <c r="G156" s="15"/>
    </row>
    <row r="157">
      <c r="A157" s="14"/>
      <c r="E157" s="15"/>
      <c r="F157" s="15"/>
      <c r="G157" s="15"/>
    </row>
    <row r="158">
      <c r="A158" s="14"/>
      <c r="E158" s="15"/>
      <c r="F158" s="15"/>
      <c r="G158" s="15"/>
    </row>
    <row r="159">
      <c r="A159" s="14"/>
      <c r="E159" s="15"/>
      <c r="F159" s="15"/>
      <c r="G159" s="15"/>
    </row>
    <row r="160">
      <c r="A160" s="14"/>
      <c r="E160" s="15"/>
      <c r="F160" s="15"/>
      <c r="G160" s="15"/>
    </row>
    <row r="161">
      <c r="A161" s="14"/>
      <c r="E161" s="15"/>
      <c r="F161" s="15"/>
      <c r="G161" s="15"/>
    </row>
    <row r="162">
      <c r="A162" s="14"/>
      <c r="E162" s="15"/>
      <c r="F162" s="15"/>
      <c r="G162" s="15"/>
    </row>
    <row r="163">
      <c r="A163" s="14"/>
      <c r="E163" s="15"/>
      <c r="F163" s="15"/>
      <c r="G163" s="15"/>
    </row>
    <row r="164">
      <c r="A164" s="14"/>
      <c r="E164" s="15"/>
      <c r="F164" s="15"/>
      <c r="G164" s="15"/>
    </row>
    <row r="165">
      <c r="A165" s="14"/>
      <c r="E165" s="15"/>
      <c r="F165" s="15"/>
      <c r="G165" s="15"/>
    </row>
    <row r="166">
      <c r="A166" s="14"/>
      <c r="E166" s="15"/>
      <c r="F166" s="15"/>
      <c r="G166" s="15"/>
    </row>
    <row r="167">
      <c r="A167" s="14"/>
      <c r="E167" s="15"/>
      <c r="F167" s="15"/>
      <c r="G167" s="15"/>
    </row>
    <row r="168">
      <c r="A168" s="14"/>
      <c r="E168" s="15"/>
      <c r="F168" s="15"/>
      <c r="G168" s="15"/>
    </row>
    <row r="169">
      <c r="A169" s="14"/>
      <c r="E169" s="15"/>
      <c r="F169" s="15"/>
      <c r="G169" s="15"/>
    </row>
    <row r="170">
      <c r="A170" s="14"/>
      <c r="E170" s="15"/>
      <c r="F170" s="15"/>
      <c r="G170" s="15"/>
    </row>
    <row r="171">
      <c r="A171" s="14"/>
      <c r="E171" s="15"/>
      <c r="F171" s="15"/>
      <c r="G171" s="15"/>
    </row>
    <row r="172">
      <c r="A172" s="14"/>
      <c r="E172" s="15"/>
      <c r="F172" s="15"/>
      <c r="G172" s="15"/>
    </row>
    <row r="173">
      <c r="A173" s="14"/>
      <c r="E173" s="15"/>
      <c r="F173" s="15"/>
      <c r="G173" s="15"/>
    </row>
    <row r="174">
      <c r="A174" s="14"/>
      <c r="E174" s="15"/>
      <c r="F174" s="15"/>
      <c r="G174" s="15"/>
    </row>
    <row r="175">
      <c r="A175" s="14"/>
      <c r="E175" s="15"/>
      <c r="F175" s="15"/>
      <c r="G175" s="15"/>
    </row>
    <row r="176">
      <c r="A176" s="14"/>
      <c r="E176" s="15"/>
      <c r="F176" s="15"/>
      <c r="G176" s="15"/>
    </row>
    <row r="177">
      <c r="A177" s="14"/>
      <c r="E177" s="15"/>
      <c r="F177" s="15"/>
      <c r="G177" s="15"/>
    </row>
    <row r="178">
      <c r="A178" s="14"/>
      <c r="E178" s="15"/>
      <c r="F178" s="15"/>
      <c r="G178" s="15"/>
    </row>
    <row r="179">
      <c r="A179" s="14"/>
      <c r="E179" s="15"/>
      <c r="F179" s="15"/>
      <c r="G179" s="15"/>
    </row>
    <row r="180">
      <c r="A180" s="14"/>
      <c r="E180" s="15"/>
      <c r="F180" s="15"/>
      <c r="G180" s="15"/>
    </row>
    <row r="181">
      <c r="A181" s="14"/>
      <c r="E181" s="15"/>
      <c r="F181" s="15"/>
      <c r="G181" s="15"/>
    </row>
    <row r="182">
      <c r="A182" s="14"/>
      <c r="E182" s="15"/>
      <c r="F182" s="15"/>
      <c r="G182" s="15"/>
    </row>
    <row r="183">
      <c r="A183" s="14"/>
      <c r="E183" s="15"/>
      <c r="F183" s="15"/>
      <c r="G183" s="15"/>
    </row>
    <row r="184">
      <c r="A184" s="14"/>
      <c r="E184" s="15"/>
      <c r="F184" s="15"/>
      <c r="G184" s="15"/>
    </row>
    <row r="185">
      <c r="A185" s="14"/>
      <c r="E185" s="15"/>
      <c r="F185" s="15"/>
      <c r="G185" s="15"/>
    </row>
    <row r="186">
      <c r="A186" s="14"/>
      <c r="E186" s="15"/>
      <c r="F186" s="15"/>
      <c r="G186" s="15"/>
    </row>
    <row r="187">
      <c r="A187" s="14"/>
      <c r="E187" s="15"/>
      <c r="F187" s="15"/>
      <c r="G187" s="15"/>
    </row>
    <row r="188">
      <c r="A188" s="14"/>
      <c r="E188" s="15"/>
      <c r="F188" s="15"/>
      <c r="G188" s="15"/>
    </row>
    <row r="189">
      <c r="A189" s="14"/>
      <c r="E189" s="15"/>
      <c r="F189" s="15"/>
      <c r="G189" s="15"/>
    </row>
    <row r="190">
      <c r="A190" s="14"/>
      <c r="E190" s="15"/>
      <c r="F190" s="15"/>
      <c r="G190" s="15"/>
    </row>
    <row r="191">
      <c r="A191" s="14"/>
      <c r="E191" s="15"/>
      <c r="F191" s="15"/>
      <c r="G191" s="15"/>
    </row>
    <row r="192">
      <c r="A192" s="14"/>
      <c r="E192" s="15"/>
      <c r="F192" s="15"/>
      <c r="G192" s="15"/>
    </row>
    <row r="193">
      <c r="A193" s="14"/>
      <c r="E193" s="15"/>
      <c r="F193" s="15"/>
      <c r="G193" s="15"/>
    </row>
    <row r="194">
      <c r="A194" s="14"/>
      <c r="E194" s="15"/>
      <c r="F194" s="15"/>
      <c r="G194" s="15"/>
    </row>
    <row r="195">
      <c r="A195" s="14"/>
      <c r="E195" s="15"/>
      <c r="F195" s="15"/>
      <c r="G195" s="15"/>
    </row>
    <row r="196">
      <c r="A196" s="14"/>
      <c r="E196" s="15"/>
      <c r="F196" s="15"/>
      <c r="G196" s="15"/>
    </row>
    <row r="197">
      <c r="A197" s="14"/>
      <c r="E197" s="15"/>
      <c r="F197" s="15"/>
      <c r="G197" s="15"/>
    </row>
    <row r="198">
      <c r="A198" s="14"/>
      <c r="E198" s="15"/>
      <c r="F198" s="15"/>
      <c r="G198" s="15"/>
    </row>
    <row r="199">
      <c r="A199" s="14"/>
      <c r="E199" s="15"/>
      <c r="F199" s="15"/>
      <c r="G199" s="15"/>
    </row>
    <row r="200">
      <c r="A200" s="14"/>
      <c r="E200" s="15"/>
      <c r="F200" s="15"/>
      <c r="G200" s="15"/>
    </row>
    <row r="201">
      <c r="A201" s="14"/>
      <c r="E201" s="15"/>
      <c r="F201" s="15"/>
      <c r="G201" s="15"/>
    </row>
    <row r="202">
      <c r="A202" s="14"/>
      <c r="E202" s="15"/>
      <c r="F202" s="15"/>
      <c r="G202" s="15"/>
    </row>
    <row r="203">
      <c r="A203" s="14"/>
      <c r="E203" s="15"/>
      <c r="F203" s="15"/>
      <c r="G203" s="15"/>
    </row>
    <row r="204">
      <c r="A204" s="14"/>
      <c r="E204" s="15"/>
      <c r="F204" s="15"/>
      <c r="G204" s="15"/>
    </row>
    <row r="205">
      <c r="A205" s="14"/>
      <c r="E205" s="15"/>
      <c r="F205" s="15"/>
      <c r="G205" s="15"/>
    </row>
    <row r="206">
      <c r="A206" s="14"/>
      <c r="E206" s="15"/>
      <c r="F206" s="15"/>
      <c r="G206" s="15"/>
    </row>
    <row r="207">
      <c r="A207" s="14"/>
      <c r="E207" s="15"/>
      <c r="F207" s="15"/>
      <c r="G207" s="15"/>
    </row>
    <row r="208">
      <c r="A208" s="14"/>
      <c r="E208" s="15"/>
      <c r="F208" s="15"/>
      <c r="G208" s="15"/>
    </row>
    <row r="209">
      <c r="A209" s="14"/>
      <c r="E209" s="15"/>
      <c r="F209" s="15"/>
      <c r="G209" s="15"/>
    </row>
    <row r="210">
      <c r="A210" s="14"/>
      <c r="E210" s="15"/>
      <c r="F210" s="15"/>
      <c r="G210" s="15"/>
    </row>
    <row r="211">
      <c r="A211" s="14"/>
      <c r="E211" s="15"/>
      <c r="F211" s="15"/>
      <c r="G211" s="15"/>
    </row>
    <row r="212">
      <c r="A212" s="14"/>
      <c r="E212" s="15"/>
      <c r="F212" s="15"/>
      <c r="G212" s="15"/>
    </row>
    <row r="213">
      <c r="A213" s="14"/>
      <c r="E213" s="15"/>
      <c r="F213" s="15"/>
      <c r="G213" s="15"/>
    </row>
    <row r="214">
      <c r="A214" s="14"/>
      <c r="E214" s="15"/>
      <c r="F214" s="15"/>
      <c r="G214" s="15"/>
    </row>
    <row r="215">
      <c r="A215" s="14"/>
      <c r="E215" s="15"/>
      <c r="F215" s="15"/>
      <c r="G215" s="15"/>
    </row>
    <row r="216">
      <c r="A216" s="14"/>
      <c r="E216" s="15"/>
      <c r="F216" s="15"/>
      <c r="G216" s="15"/>
    </row>
    <row r="217">
      <c r="A217" s="14"/>
      <c r="E217" s="15"/>
      <c r="F217" s="15"/>
      <c r="G217" s="15"/>
    </row>
    <row r="218">
      <c r="A218" s="14"/>
      <c r="E218" s="15"/>
      <c r="F218" s="15"/>
      <c r="G218" s="15"/>
    </row>
    <row r="219">
      <c r="A219" s="14"/>
      <c r="E219" s="15"/>
      <c r="F219" s="15"/>
      <c r="G219" s="15"/>
    </row>
    <row r="220">
      <c r="A220" s="14"/>
      <c r="E220" s="15"/>
      <c r="F220" s="15"/>
      <c r="G220" s="15"/>
    </row>
    <row r="221">
      <c r="A221" s="14"/>
      <c r="E221" s="15"/>
      <c r="F221" s="15"/>
      <c r="G221" s="15"/>
    </row>
    <row r="222">
      <c r="A222" s="14"/>
      <c r="E222" s="15"/>
      <c r="F222" s="15"/>
      <c r="G222" s="15"/>
    </row>
    <row r="223">
      <c r="A223" s="14"/>
      <c r="E223" s="15"/>
      <c r="F223" s="15"/>
      <c r="G223" s="15"/>
    </row>
    <row r="224">
      <c r="A224" s="14"/>
      <c r="E224" s="15"/>
      <c r="F224" s="15"/>
      <c r="G224" s="15"/>
    </row>
    <row r="225">
      <c r="A225" s="14"/>
      <c r="E225" s="15"/>
      <c r="F225" s="15"/>
      <c r="G225" s="15"/>
    </row>
    <row r="226">
      <c r="A226" s="14"/>
      <c r="E226" s="15"/>
      <c r="F226" s="15"/>
      <c r="G226" s="15"/>
    </row>
    <row r="227">
      <c r="A227" s="14"/>
      <c r="E227" s="15"/>
      <c r="F227" s="15"/>
      <c r="G227" s="15"/>
    </row>
    <row r="228">
      <c r="A228" s="14"/>
      <c r="E228" s="15"/>
      <c r="F228" s="15"/>
      <c r="G228" s="15"/>
    </row>
    <row r="229">
      <c r="A229" s="14"/>
      <c r="E229" s="15"/>
      <c r="F229" s="15"/>
      <c r="G229" s="15"/>
    </row>
    <row r="230">
      <c r="A230" s="14"/>
      <c r="E230" s="15"/>
      <c r="F230" s="15"/>
      <c r="G230" s="15"/>
    </row>
    <row r="231">
      <c r="A231" s="14"/>
      <c r="E231" s="15"/>
      <c r="F231" s="15"/>
      <c r="G231" s="15"/>
    </row>
    <row r="232">
      <c r="A232" s="14"/>
      <c r="E232" s="15"/>
      <c r="F232" s="15"/>
      <c r="G232" s="15"/>
    </row>
    <row r="233">
      <c r="A233" s="14"/>
      <c r="E233" s="15"/>
      <c r="F233" s="15"/>
      <c r="G233" s="15"/>
    </row>
    <row r="234">
      <c r="A234" s="14"/>
      <c r="E234" s="15"/>
      <c r="F234" s="15"/>
      <c r="G234" s="15"/>
    </row>
    <row r="235">
      <c r="A235" s="14"/>
      <c r="E235" s="15"/>
      <c r="F235" s="15"/>
      <c r="G235" s="15"/>
    </row>
    <row r="236">
      <c r="A236" s="14"/>
      <c r="E236" s="15"/>
      <c r="F236" s="15"/>
      <c r="G236" s="15"/>
    </row>
    <row r="237">
      <c r="A237" s="14"/>
      <c r="E237" s="15"/>
      <c r="F237" s="15"/>
      <c r="G237" s="15"/>
    </row>
    <row r="238">
      <c r="A238" s="14"/>
      <c r="E238" s="15"/>
      <c r="F238" s="15"/>
      <c r="G238" s="15"/>
    </row>
    <row r="239">
      <c r="A239" s="14"/>
      <c r="E239" s="15"/>
      <c r="F239" s="15"/>
      <c r="G239" s="15"/>
    </row>
    <row r="240">
      <c r="A240" s="14"/>
      <c r="E240" s="15"/>
      <c r="F240" s="15"/>
      <c r="G240" s="15"/>
    </row>
    <row r="241">
      <c r="A241" s="14"/>
      <c r="E241" s="15"/>
      <c r="F241" s="15"/>
      <c r="G241" s="15"/>
    </row>
    <row r="242">
      <c r="A242" s="14"/>
      <c r="E242" s="15"/>
      <c r="F242" s="15"/>
      <c r="G242" s="15"/>
    </row>
    <row r="243">
      <c r="A243" s="14"/>
      <c r="E243" s="15"/>
      <c r="F243" s="15"/>
      <c r="G243" s="15"/>
    </row>
    <row r="244">
      <c r="A244" s="14"/>
      <c r="E244" s="15"/>
      <c r="F244" s="15"/>
      <c r="G244" s="15"/>
    </row>
    <row r="245">
      <c r="A245" s="14"/>
      <c r="E245" s="15"/>
      <c r="F245" s="15"/>
      <c r="G245" s="15"/>
    </row>
    <row r="246">
      <c r="A246" s="14"/>
      <c r="E246" s="15"/>
      <c r="F246" s="15"/>
      <c r="G246" s="15"/>
    </row>
    <row r="247">
      <c r="A247" s="14"/>
      <c r="E247" s="15"/>
      <c r="F247" s="15"/>
      <c r="G247" s="15"/>
    </row>
    <row r="248">
      <c r="A248" s="14"/>
      <c r="E248" s="15"/>
      <c r="F248" s="15"/>
      <c r="G248" s="15"/>
    </row>
    <row r="249">
      <c r="A249" s="14"/>
      <c r="E249" s="15"/>
      <c r="F249" s="15"/>
      <c r="G249" s="15"/>
    </row>
    <row r="250">
      <c r="A250" s="14"/>
      <c r="E250" s="15"/>
      <c r="F250" s="15"/>
      <c r="G250" s="15"/>
    </row>
    <row r="251">
      <c r="A251" s="14"/>
      <c r="E251" s="15"/>
      <c r="F251" s="15"/>
      <c r="G251" s="15"/>
    </row>
    <row r="252">
      <c r="A252" s="14"/>
      <c r="E252" s="15"/>
      <c r="F252" s="15"/>
      <c r="G252" s="15"/>
    </row>
    <row r="253">
      <c r="A253" s="14"/>
      <c r="E253" s="15"/>
      <c r="F253" s="15"/>
      <c r="G253" s="15"/>
    </row>
    <row r="254">
      <c r="A254" s="14"/>
      <c r="E254" s="15"/>
      <c r="F254" s="15"/>
      <c r="G254" s="15"/>
    </row>
    <row r="255">
      <c r="A255" s="14"/>
      <c r="E255" s="15"/>
      <c r="F255" s="15"/>
      <c r="G255" s="15"/>
    </row>
    <row r="256">
      <c r="A256" s="14"/>
      <c r="E256" s="15"/>
      <c r="F256" s="15"/>
      <c r="G256" s="15"/>
    </row>
    <row r="257">
      <c r="A257" s="14"/>
      <c r="E257" s="15"/>
      <c r="F257" s="15"/>
      <c r="G257" s="15"/>
    </row>
    <row r="258">
      <c r="A258" s="14"/>
      <c r="E258" s="15"/>
      <c r="F258" s="15"/>
      <c r="G258" s="15"/>
    </row>
    <row r="259">
      <c r="A259" s="14"/>
      <c r="E259" s="15"/>
      <c r="F259" s="15"/>
      <c r="G259" s="15"/>
    </row>
    <row r="260">
      <c r="A260" s="14"/>
      <c r="E260" s="15"/>
      <c r="F260" s="15"/>
      <c r="G260" s="15"/>
    </row>
    <row r="261">
      <c r="A261" s="14"/>
      <c r="E261" s="15"/>
      <c r="F261" s="15"/>
      <c r="G261" s="15"/>
    </row>
    <row r="262">
      <c r="A262" s="14"/>
      <c r="E262" s="15"/>
      <c r="F262" s="15"/>
      <c r="G262" s="15"/>
    </row>
    <row r="263">
      <c r="A263" s="14"/>
      <c r="E263" s="15"/>
      <c r="F263" s="15"/>
      <c r="G263" s="15"/>
    </row>
    <row r="264">
      <c r="A264" s="14"/>
      <c r="E264" s="15"/>
      <c r="F264" s="15"/>
      <c r="G264" s="15"/>
    </row>
    <row r="265">
      <c r="A265" s="14"/>
      <c r="E265" s="15"/>
      <c r="F265" s="15"/>
      <c r="G265" s="15"/>
    </row>
    <row r="266">
      <c r="A266" s="14"/>
      <c r="E266" s="15"/>
      <c r="F266" s="15"/>
      <c r="G266" s="15"/>
    </row>
    <row r="267">
      <c r="A267" s="14"/>
      <c r="E267" s="15"/>
      <c r="F267" s="15"/>
      <c r="G267" s="15"/>
    </row>
    <row r="268">
      <c r="A268" s="14"/>
      <c r="E268" s="15"/>
      <c r="F268" s="15"/>
      <c r="G268" s="15"/>
    </row>
    <row r="269">
      <c r="A269" s="14"/>
      <c r="E269" s="15"/>
      <c r="F269" s="15"/>
      <c r="G269" s="15"/>
    </row>
    <row r="270">
      <c r="A270" s="14"/>
      <c r="E270" s="15"/>
      <c r="F270" s="15"/>
      <c r="G270" s="15"/>
    </row>
    <row r="271">
      <c r="A271" s="14"/>
      <c r="E271" s="15"/>
      <c r="F271" s="15"/>
      <c r="G271" s="15"/>
    </row>
    <row r="272">
      <c r="A272" s="14"/>
      <c r="E272" s="15"/>
      <c r="F272" s="15"/>
      <c r="G272" s="15"/>
    </row>
    <row r="273">
      <c r="A273" s="14"/>
      <c r="E273" s="15"/>
      <c r="F273" s="15"/>
      <c r="G273" s="15"/>
    </row>
    <row r="274">
      <c r="A274" s="14"/>
      <c r="E274" s="15"/>
      <c r="F274" s="15"/>
      <c r="G274" s="15"/>
    </row>
    <row r="275">
      <c r="A275" s="14"/>
      <c r="E275" s="15"/>
      <c r="F275" s="15"/>
      <c r="G275" s="15"/>
    </row>
    <row r="276">
      <c r="A276" s="14"/>
      <c r="E276" s="15"/>
      <c r="F276" s="15"/>
      <c r="G276" s="15"/>
    </row>
    <row r="277">
      <c r="A277" s="14"/>
      <c r="E277" s="15"/>
      <c r="F277" s="15"/>
      <c r="G277" s="15"/>
    </row>
    <row r="278">
      <c r="A278" s="14"/>
      <c r="E278" s="15"/>
      <c r="F278" s="15"/>
      <c r="G278" s="15"/>
    </row>
    <row r="279">
      <c r="A279" s="14"/>
      <c r="E279" s="15"/>
      <c r="F279" s="15"/>
      <c r="G279" s="15"/>
    </row>
    <row r="280">
      <c r="A280" s="14"/>
      <c r="E280" s="15"/>
      <c r="F280" s="15"/>
      <c r="G280" s="15"/>
    </row>
    <row r="281">
      <c r="A281" s="14"/>
      <c r="E281" s="15"/>
      <c r="F281" s="15"/>
      <c r="G281" s="15"/>
    </row>
    <row r="282">
      <c r="A282" s="14"/>
      <c r="E282" s="15"/>
      <c r="F282" s="15"/>
      <c r="G282" s="15"/>
    </row>
    <row r="283">
      <c r="A283" s="14"/>
      <c r="E283" s="15"/>
      <c r="F283" s="15"/>
      <c r="G283" s="15"/>
    </row>
    <row r="284">
      <c r="A284" s="14"/>
      <c r="E284" s="15"/>
      <c r="F284" s="15"/>
      <c r="G284" s="15"/>
    </row>
    <row r="285">
      <c r="A285" s="14"/>
      <c r="E285" s="15"/>
      <c r="F285" s="15"/>
      <c r="G285" s="15"/>
    </row>
    <row r="286">
      <c r="A286" s="14"/>
      <c r="E286" s="15"/>
      <c r="F286" s="15"/>
      <c r="G286" s="15"/>
    </row>
    <row r="287">
      <c r="A287" s="14"/>
      <c r="E287" s="15"/>
      <c r="F287" s="15"/>
      <c r="G287" s="15"/>
    </row>
    <row r="288">
      <c r="A288" s="14"/>
      <c r="E288" s="15"/>
      <c r="F288" s="15"/>
      <c r="G288" s="15"/>
    </row>
    <row r="289">
      <c r="A289" s="14"/>
      <c r="E289" s="15"/>
      <c r="F289" s="15"/>
      <c r="G289" s="15"/>
    </row>
    <row r="290">
      <c r="A290" s="14"/>
      <c r="E290" s="15"/>
      <c r="F290" s="15"/>
      <c r="G290" s="15"/>
    </row>
    <row r="291">
      <c r="A291" s="14"/>
      <c r="E291" s="15"/>
      <c r="F291" s="15"/>
      <c r="G291" s="15"/>
    </row>
    <row r="292">
      <c r="A292" s="14"/>
      <c r="E292" s="15"/>
      <c r="F292" s="15"/>
      <c r="G292" s="15"/>
    </row>
    <row r="293">
      <c r="A293" s="14"/>
      <c r="E293" s="15"/>
      <c r="F293" s="15"/>
      <c r="G293" s="15"/>
    </row>
    <row r="294">
      <c r="A294" s="14"/>
      <c r="E294" s="15"/>
      <c r="F294" s="15"/>
      <c r="G294" s="15"/>
    </row>
    <row r="295">
      <c r="A295" s="14"/>
      <c r="E295" s="15"/>
      <c r="F295" s="15"/>
      <c r="G295" s="15"/>
    </row>
    <row r="296">
      <c r="A296" s="14"/>
      <c r="E296" s="15"/>
      <c r="F296" s="15"/>
      <c r="G296" s="15"/>
    </row>
    <row r="297">
      <c r="A297" s="14"/>
      <c r="E297" s="15"/>
      <c r="F297" s="15"/>
      <c r="G297" s="15"/>
    </row>
    <row r="298">
      <c r="A298" s="14"/>
      <c r="E298" s="15"/>
      <c r="F298" s="15"/>
      <c r="G298" s="15"/>
    </row>
    <row r="299">
      <c r="A299" s="14"/>
      <c r="E299" s="15"/>
      <c r="F299" s="15"/>
      <c r="G299" s="15"/>
    </row>
    <row r="300">
      <c r="A300" s="14"/>
      <c r="E300" s="15"/>
      <c r="F300" s="15"/>
      <c r="G300" s="15"/>
    </row>
    <row r="301">
      <c r="A301" s="14"/>
      <c r="E301" s="15"/>
      <c r="F301" s="15"/>
      <c r="G301" s="15"/>
    </row>
    <row r="302">
      <c r="A302" s="14"/>
      <c r="E302" s="15"/>
      <c r="F302" s="15"/>
      <c r="G302" s="15"/>
    </row>
    <row r="303">
      <c r="A303" s="14"/>
      <c r="E303" s="15"/>
      <c r="F303" s="15"/>
      <c r="G303" s="15"/>
    </row>
    <row r="304">
      <c r="A304" s="14"/>
      <c r="E304" s="15"/>
      <c r="F304" s="15"/>
      <c r="G304" s="15"/>
    </row>
    <row r="305">
      <c r="A305" s="14"/>
      <c r="E305" s="15"/>
      <c r="F305" s="15"/>
      <c r="G305" s="15"/>
    </row>
    <row r="306">
      <c r="A306" s="14"/>
      <c r="E306" s="15"/>
      <c r="F306" s="15"/>
      <c r="G306" s="15"/>
    </row>
    <row r="307">
      <c r="A307" s="14"/>
      <c r="E307" s="15"/>
      <c r="F307" s="15"/>
      <c r="G307" s="15"/>
    </row>
    <row r="308">
      <c r="A308" s="14"/>
      <c r="E308" s="15"/>
      <c r="F308" s="15"/>
      <c r="G308" s="15"/>
    </row>
    <row r="309">
      <c r="A309" s="14"/>
      <c r="E309" s="15"/>
      <c r="F309" s="15"/>
      <c r="G309" s="15"/>
    </row>
    <row r="310">
      <c r="A310" s="14"/>
      <c r="E310" s="15"/>
      <c r="F310" s="15"/>
      <c r="G310" s="15"/>
    </row>
    <row r="311">
      <c r="A311" s="14"/>
      <c r="E311" s="15"/>
      <c r="F311" s="15"/>
      <c r="G311" s="15"/>
    </row>
    <row r="312">
      <c r="A312" s="14"/>
      <c r="E312" s="15"/>
      <c r="F312" s="15"/>
      <c r="G312" s="15"/>
    </row>
    <row r="313">
      <c r="A313" s="14"/>
      <c r="E313" s="15"/>
      <c r="F313" s="15"/>
      <c r="G313" s="15"/>
    </row>
    <row r="314">
      <c r="A314" s="14"/>
      <c r="E314" s="15"/>
      <c r="F314" s="15"/>
      <c r="G314" s="15"/>
    </row>
    <row r="315">
      <c r="A315" s="14"/>
      <c r="E315" s="15"/>
      <c r="F315" s="15"/>
      <c r="G315" s="15"/>
    </row>
    <row r="316">
      <c r="A316" s="14"/>
      <c r="E316" s="15"/>
      <c r="F316" s="15"/>
      <c r="G316" s="15"/>
    </row>
    <row r="317">
      <c r="A317" s="14"/>
      <c r="E317" s="15"/>
      <c r="F317" s="15"/>
      <c r="G317" s="15"/>
    </row>
    <row r="318">
      <c r="A318" s="14"/>
      <c r="E318" s="15"/>
      <c r="F318" s="15"/>
      <c r="G318" s="15"/>
    </row>
    <row r="319">
      <c r="A319" s="14"/>
      <c r="E319" s="15"/>
      <c r="F319" s="15"/>
      <c r="G319" s="15"/>
    </row>
    <row r="320">
      <c r="A320" s="14"/>
      <c r="E320" s="15"/>
      <c r="F320" s="15"/>
      <c r="G320" s="15"/>
    </row>
    <row r="321">
      <c r="A321" s="14"/>
      <c r="E321" s="15"/>
      <c r="F321" s="15"/>
      <c r="G321" s="15"/>
    </row>
    <row r="322">
      <c r="A322" s="14"/>
      <c r="E322" s="15"/>
      <c r="F322" s="15"/>
      <c r="G322" s="15"/>
    </row>
    <row r="323">
      <c r="A323" s="14"/>
      <c r="E323" s="15"/>
      <c r="F323" s="15"/>
      <c r="G323" s="15"/>
    </row>
    <row r="324">
      <c r="A324" s="14"/>
      <c r="E324" s="15"/>
      <c r="F324" s="15"/>
      <c r="G324" s="15"/>
    </row>
    <row r="325">
      <c r="A325" s="14"/>
      <c r="E325" s="15"/>
      <c r="F325" s="15"/>
      <c r="G325" s="15"/>
    </row>
    <row r="326">
      <c r="A326" s="14"/>
      <c r="E326" s="15"/>
      <c r="F326" s="15"/>
      <c r="G326" s="15"/>
    </row>
    <row r="327">
      <c r="A327" s="14"/>
      <c r="E327" s="15"/>
      <c r="F327" s="15"/>
      <c r="G327" s="15"/>
    </row>
    <row r="328">
      <c r="A328" s="14"/>
      <c r="E328" s="15"/>
      <c r="F328" s="15"/>
      <c r="G328" s="15"/>
    </row>
    <row r="329">
      <c r="A329" s="14"/>
      <c r="E329" s="15"/>
      <c r="F329" s="15"/>
      <c r="G329" s="15"/>
    </row>
    <row r="330">
      <c r="A330" s="14"/>
      <c r="E330" s="15"/>
      <c r="F330" s="15"/>
      <c r="G330" s="15"/>
    </row>
    <row r="331">
      <c r="A331" s="14"/>
      <c r="E331" s="15"/>
      <c r="F331" s="15"/>
      <c r="G331" s="15"/>
    </row>
    <row r="332">
      <c r="A332" s="14"/>
      <c r="E332" s="15"/>
      <c r="F332" s="15"/>
      <c r="G332" s="15"/>
    </row>
    <row r="333">
      <c r="A333" s="14"/>
      <c r="E333" s="15"/>
      <c r="F333" s="15"/>
      <c r="G333" s="15"/>
    </row>
    <row r="334">
      <c r="A334" s="14"/>
      <c r="E334" s="15"/>
      <c r="F334" s="15"/>
      <c r="G334" s="15"/>
    </row>
    <row r="335">
      <c r="A335" s="14"/>
      <c r="E335" s="15"/>
      <c r="F335" s="15"/>
      <c r="G335" s="15"/>
    </row>
    <row r="336">
      <c r="A336" s="14"/>
      <c r="E336" s="15"/>
      <c r="F336" s="15"/>
      <c r="G336" s="15"/>
    </row>
    <row r="337">
      <c r="A337" s="14"/>
      <c r="E337" s="15"/>
      <c r="F337" s="15"/>
      <c r="G337" s="15"/>
    </row>
    <row r="338">
      <c r="A338" s="14"/>
      <c r="E338" s="15"/>
      <c r="F338" s="15"/>
      <c r="G338" s="15"/>
    </row>
    <row r="339">
      <c r="A339" s="14"/>
      <c r="E339" s="15"/>
      <c r="F339" s="15"/>
      <c r="G339" s="15"/>
    </row>
    <row r="340">
      <c r="A340" s="14"/>
      <c r="E340" s="15"/>
      <c r="F340" s="15"/>
      <c r="G340" s="15"/>
    </row>
    <row r="341">
      <c r="A341" s="14"/>
      <c r="E341" s="15"/>
      <c r="F341" s="15"/>
      <c r="G341" s="15"/>
    </row>
    <row r="342">
      <c r="A342" s="14"/>
      <c r="E342" s="15"/>
      <c r="F342" s="15"/>
      <c r="G342" s="15"/>
    </row>
    <row r="343">
      <c r="A343" s="14"/>
      <c r="E343" s="15"/>
      <c r="F343" s="15"/>
      <c r="G343" s="15"/>
    </row>
    <row r="344">
      <c r="A344" s="14"/>
      <c r="E344" s="15"/>
      <c r="F344" s="15"/>
      <c r="G344" s="15"/>
    </row>
    <row r="345">
      <c r="A345" s="14"/>
      <c r="E345" s="15"/>
      <c r="F345" s="15"/>
      <c r="G345" s="15"/>
    </row>
    <row r="346">
      <c r="A346" s="14"/>
      <c r="E346" s="15"/>
      <c r="F346" s="15"/>
      <c r="G346" s="15"/>
    </row>
    <row r="347">
      <c r="A347" s="14"/>
      <c r="E347" s="15"/>
      <c r="F347" s="15"/>
      <c r="G347" s="15"/>
    </row>
    <row r="348">
      <c r="A348" s="14"/>
      <c r="E348" s="15"/>
      <c r="F348" s="15"/>
      <c r="G348" s="15"/>
    </row>
    <row r="349">
      <c r="A349" s="14"/>
      <c r="E349" s="15"/>
      <c r="F349" s="15"/>
      <c r="G349" s="15"/>
    </row>
    <row r="350">
      <c r="A350" s="14"/>
      <c r="E350" s="15"/>
      <c r="F350" s="15"/>
      <c r="G350" s="15"/>
    </row>
    <row r="351">
      <c r="A351" s="14"/>
      <c r="E351" s="15"/>
      <c r="F351" s="15"/>
      <c r="G351" s="15"/>
    </row>
    <row r="352">
      <c r="A352" s="14"/>
      <c r="E352" s="15"/>
      <c r="F352" s="15"/>
      <c r="G352" s="15"/>
    </row>
    <row r="353">
      <c r="A353" s="14"/>
      <c r="E353" s="15"/>
      <c r="F353" s="15"/>
      <c r="G353" s="15"/>
    </row>
    <row r="354">
      <c r="A354" s="14"/>
      <c r="E354" s="15"/>
      <c r="F354" s="15"/>
      <c r="G354" s="15"/>
    </row>
    <row r="355">
      <c r="A355" s="14"/>
      <c r="E355" s="15"/>
      <c r="F355" s="15"/>
      <c r="G355" s="15"/>
    </row>
    <row r="356">
      <c r="A356" s="14"/>
      <c r="E356" s="15"/>
      <c r="F356" s="15"/>
      <c r="G356" s="15"/>
    </row>
    <row r="357">
      <c r="A357" s="14"/>
      <c r="E357" s="15"/>
      <c r="F357" s="15"/>
      <c r="G357" s="15"/>
    </row>
    <row r="358">
      <c r="A358" s="14"/>
      <c r="E358" s="15"/>
      <c r="F358" s="15"/>
      <c r="G358" s="15"/>
    </row>
    <row r="359">
      <c r="A359" s="14"/>
      <c r="E359" s="15"/>
      <c r="F359" s="15"/>
      <c r="G359" s="15"/>
    </row>
    <row r="360">
      <c r="A360" s="14"/>
      <c r="E360" s="15"/>
      <c r="F360" s="15"/>
      <c r="G360" s="15"/>
    </row>
    <row r="361">
      <c r="A361" s="14"/>
      <c r="E361" s="15"/>
      <c r="F361" s="15"/>
      <c r="G361" s="15"/>
    </row>
    <row r="362">
      <c r="A362" s="14"/>
      <c r="E362" s="15"/>
      <c r="F362" s="15"/>
      <c r="G362" s="15"/>
    </row>
    <row r="363">
      <c r="A363" s="14"/>
      <c r="E363" s="15"/>
      <c r="F363" s="15"/>
      <c r="G363" s="15"/>
    </row>
    <row r="364">
      <c r="A364" s="14"/>
      <c r="E364" s="15"/>
      <c r="F364" s="15"/>
      <c r="G364" s="15"/>
    </row>
    <row r="365">
      <c r="A365" s="14"/>
      <c r="E365" s="15"/>
      <c r="F365" s="15"/>
      <c r="G365" s="15"/>
    </row>
    <row r="366">
      <c r="A366" s="14"/>
      <c r="E366" s="15"/>
      <c r="F366" s="15"/>
      <c r="G366" s="15"/>
    </row>
    <row r="367">
      <c r="A367" s="14"/>
      <c r="E367" s="15"/>
      <c r="F367" s="15"/>
      <c r="G367" s="15"/>
    </row>
    <row r="368">
      <c r="A368" s="14"/>
      <c r="E368" s="15"/>
      <c r="F368" s="15"/>
      <c r="G368" s="15"/>
    </row>
    <row r="369">
      <c r="A369" s="14"/>
      <c r="E369" s="15"/>
      <c r="F369" s="15"/>
      <c r="G369" s="15"/>
    </row>
    <row r="370">
      <c r="A370" s="14"/>
      <c r="E370" s="15"/>
      <c r="F370" s="15"/>
      <c r="G370" s="15"/>
    </row>
    <row r="371">
      <c r="A371" s="14"/>
      <c r="E371" s="15"/>
      <c r="F371" s="15"/>
      <c r="G371" s="15"/>
    </row>
    <row r="372">
      <c r="A372" s="14"/>
      <c r="E372" s="15"/>
      <c r="F372" s="15"/>
      <c r="G372" s="15"/>
    </row>
    <row r="373">
      <c r="A373" s="14"/>
      <c r="E373" s="15"/>
      <c r="F373" s="15"/>
      <c r="G373" s="15"/>
    </row>
    <row r="374">
      <c r="A374" s="14"/>
      <c r="E374" s="15"/>
      <c r="F374" s="15"/>
      <c r="G374" s="15"/>
    </row>
    <row r="375">
      <c r="A375" s="14"/>
      <c r="E375" s="15"/>
      <c r="F375" s="15"/>
      <c r="G375" s="15"/>
    </row>
    <row r="376">
      <c r="A376" s="14"/>
      <c r="E376" s="15"/>
      <c r="F376" s="15"/>
      <c r="G376" s="15"/>
    </row>
    <row r="377">
      <c r="A377" s="14"/>
      <c r="E377" s="15"/>
      <c r="F377" s="15"/>
      <c r="G377" s="15"/>
    </row>
    <row r="378">
      <c r="A378" s="14"/>
      <c r="E378" s="15"/>
      <c r="F378" s="15"/>
      <c r="G378" s="15"/>
    </row>
    <row r="379">
      <c r="A379" s="14"/>
      <c r="E379" s="15"/>
      <c r="F379" s="15"/>
      <c r="G379" s="15"/>
    </row>
    <row r="380">
      <c r="A380" s="14"/>
      <c r="E380" s="15"/>
      <c r="F380" s="15"/>
      <c r="G380" s="15"/>
    </row>
    <row r="381">
      <c r="A381" s="14"/>
      <c r="E381" s="15"/>
      <c r="F381" s="15"/>
      <c r="G381" s="15"/>
    </row>
    <row r="382">
      <c r="A382" s="14"/>
      <c r="E382" s="15"/>
      <c r="F382" s="15"/>
      <c r="G382" s="15"/>
    </row>
    <row r="383">
      <c r="A383" s="14"/>
      <c r="E383" s="15"/>
      <c r="F383" s="15"/>
      <c r="G383" s="15"/>
    </row>
    <row r="384">
      <c r="A384" s="14"/>
      <c r="E384" s="15"/>
      <c r="F384" s="15"/>
      <c r="G384" s="15"/>
    </row>
    <row r="385">
      <c r="A385" s="14"/>
      <c r="E385" s="15"/>
      <c r="F385" s="15"/>
      <c r="G385" s="15"/>
    </row>
    <row r="386">
      <c r="A386" s="14"/>
      <c r="E386" s="15"/>
      <c r="F386" s="15"/>
      <c r="G386" s="15"/>
    </row>
    <row r="387">
      <c r="A387" s="14"/>
      <c r="E387" s="15"/>
      <c r="F387" s="15"/>
      <c r="G387" s="15"/>
    </row>
    <row r="388">
      <c r="A388" s="14"/>
      <c r="E388" s="15"/>
      <c r="F388" s="15"/>
      <c r="G388" s="15"/>
    </row>
    <row r="389">
      <c r="A389" s="14"/>
      <c r="E389" s="15"/>
      <c r="F389" s="15"/>
      <c r="G389" s="15"/>
    </row>
    <row r="390">
      <c r="A390" s="14"/>
      <c r="E390" s="15"/>
      <c r="F390" s="15"/>
      <c r="G390" s="15"/>
    </row>
    <row r="391">
      <c r="A391" s="14"/>
      <c r="E391" s="15"/>
      <c r="F391" s="15"/>
      <c r="G391" s="15"/>
    </row>
    <row r="392">
      <c r="A392" s="14"/>
      <c r="E392" s="15"/>
      <c r="F392" s="15"/>
      <c r="G392" s="15"/>
    </row>
    <row r="393">
      <c r="A393" s="14"/>
      <c r="E393" s="15"/>
      <c r="F393" s="15"/>
      <c r="G393" s="15"/>
    </row>
    <row r="394">
      <c r="A394" s="14"/>
      <c r="E394" s="15"/>
      <c r="F394" s="15"/>
      <c r="G394" s="15"/>
    </row>
    <row r="395">
      <c r="A395" s="14"/>
      <c r="E395" s="15"/>
      <c r="F395" s="15"/>
      <c r="G395" s="15"/>
    </row>
    <row r="396">
      <c r="A396" s="14"/>
      <c r="E396" s="15"/>
      <c r="F396" s="15"/>
      <c r="G396" s="15"/>
    </row>
    <row r="397">
      <c r="A397" s="14"/>
      <c r="E397" s="15"/>
      <c r="F397" s="15"/>
      <c r="G397" s="15"/>
    </row>
    <row r="398">
      <c r="A398" s="14"/>
      <c r="E398" s="15"/>
      <c r="F398" s="15"/>
      <c r="G398" s="15"/>
    </row>
    <row r="399">
      <c r="A399" s="14"/>
      <c r="E399" s="15"/>
      <c r="F399" s="15"/>
      <c r="G399" s="15"/>
    </row>
    <row r="400">
      <c r="A400" s="14"/>
      <c r="E400" s="15"/>
      <c r="F400" s="15"/>
      <c r="G400" s="15"/>
    </row>
    <row r="401">
      <c r="A401" s="14"/>
      <c r="E401" s="15"/>
      <c r="F401" s="15"/>
      <c r="G401" s="15"/>
    </row>
    <row r="402">
      <c r="A402" s="14"/>
      <c r="E402" s="15"/>
      <c r="F402" s="15"/>
      <c r="G402" s="15"/>
    </row>
    <row r="403">
      <c r="A403" s="14"/>
      <c r="E403" s="15"/>
      <c r="F403" s="15"/>
      <c r="G403" s="15"/>
    </row>
    <row r="404">
      <c r="A404" s="14"/>
      <c r="E404" s="15"/>
      <c r="F404" s="15"/>
      <c r="G404" s="15"/>
    </row>
    <row r="405">
      <c r="A405" s="14"/>
      <c r="E405" s="15"/>
      <c r="F405" s="15"/>
      <c r="G405" s="15"/>
    </row>
    <row r="406">
      <c r="A406" s="14"/>
      <c r="E406" s="15"/>
      <c r="F406" s="15"/>
      <c r="G406" s="15"/>
    </row>
    <row r="407">
      <c r="A407" s="14"/>
      <c r="E407" s="15"/>
      <c r="F407" s="15"/>
      <c r="G407" s="15"/>
    </row>
    <row r="408">
      <c r="A408" s="14"/>
      <c r="E408" s="15"/>
      <c r="F408" s="15"/>
      <c r="G408" s="15"/>
    </row>
    <row r="409">
      <c r="A409" s="14"/>
      <c r="E409" s="15"/>
      <c r="F409" s="15"/>
      <c r="G409" s="15"/>
    </row>
    <row r="410">
      <c r="A410" s="14"/>
      <c r="E410" s="15"/>
      <c r="F410" s="15"/>
      <c r="G410" s="15"/>
    </row>
    <row r="411">
      <c r="A411" s="14"/>
      <c r="E411" s="15"/>
      <c r="F411" s="15"/>
      <c r="G411" s="15"/>
    </row>
    <row r="412">
      <c r="A412" s="14"/>
      <c r="E412" s="15"/>
      <c r="F412" s="15"/>
      <c r="G412" s="15"/>
    </row>
    <row r="413">
      <c r="A413" s="14"/>
      <c r="E413" s="15"/>
      <c r="F413" s="15"/>
      <c r="G413" s="15"/>
    </row>
    <row r="414">
      <c r="A414" s="14"/>
      <c r="E414" s="15"/>
      <c r="F414" s="15"/>
      <c r="G414" s="15"/>
    </row>
    <row r="415">
      <c r="A415" s="14"/>
      <c r="E415" s="15"/>
      <c r="F415" s="15"/>
      <c r="G415" s="15"/>
    </row>
    <row r="416">
      <c r="A416" s="14"/>
      <c r="E416" s="15"/>
      <c r="F416" s="15"/>
      <c r="G416" s="15"/>
    </row>
    <row r="417">
      <c r="A417" s="14"/>
      <c r="E417" s="15"/>
      <c r="F417" s="15"/>
      <c r="G417" s="15"/>
    </row>
    <row r="418">
      <c r="A418" s="14"/>
      <c r="E418" s="15"/>
      <c r="F418" s="15"/>
      <c r="G418" s="15"/>
    </row>
    <row r="419">
      <c r="A419" s="14"/>
      <c r="E419" s="15"/>
      <c r="F419" s="15"/>
      <c r="G419" s="15"/>
    </row>
    <row r="420">
      <c r="A420" s="14"/>
      <c r="E420" s="15"/>
      <c r="F420" s="15"/>
      <c r="G420" s="15"/>
    </row>
    <row r="421">
      <c r="A421" s="14"/>
      <c r="E421" s="15"/>
      <c r="F421" s="15"/>
      <c r="G421" s="15"/>
    </row>
    <row r="422">
      <c r="A422" s="14"/>
      <c r="E422" s="15"/>
      <c r="F422" s="15"/>
      <c r="G422" s="15"/>
    </row>
    <row r="423">
      <c r="A423" s="14"/>
      <c r="E423" s="15"/>
      <c r="F423" s="15"/>
      <c r="G423" s="15"/>
    </row>
    <row r="424">
      <c r="A424" s="14"/>
      <c r="E424" s="15"/>
      <c r="F424" s="15"/>
      <c r="G424" s="15"/>
    </row>
    <row r="425">
      <c r="A425" s="14"/>
      <c r="E425" s="15"/>
      <c r="F425" s="15"/>
      <c r="G425" s="15"/>
    </row>
    <row r="426">
      <c r="A426" s="14"/>
      <c r="E426" s="15"/>
      <c r="F426" s="15"/>
      <c r="G426" s="15"/>
    </row>
    <row r="427">
      <c r="A427" s="14"/>
      <c r="E427" s="15"/>
      <c r="F427" s="15"/>
      <c r="G427" s="15"/>
    </row>
    <row r="428">
      <c r="A428" s="14"/>
      <c r="E428" s="15"/>
      <c r="F428" s="15"/>
      <c r="G428" s="15"/>
    </row>
    <row r="429">
      <c r="A429" s="14"/>
      <c r="E429" s="15"/>
      <c r="F429" s="15"/>
      <c r="G429" s="15"/>
    </row>
    <row r="430">
      <c r="A430" s="14"/>
      <c r="E430" s="15"/>
      <c r="F430" s="15"/>
      <c r="G430" s="15"/>
    </row>
    <row r="431">
      <c r="A431" s="14"/>
      <c r="E431" s="15"/>
      <c r="F431" s="15"/>
      <c r="G431" s="15"/>
    </row>
    <row r="432">
      <c r="A432" s="14"/>
      <c r="E432" s="15"/>
      <c r="F432" s="15"/>
      <c r="G432" s="15"/>
    </row>
    <row r="433">
      <c r="A433" s="14"/>
      <c r="E433" s="15"/>
      <c r="F433" s="15"/>
      <c r="G433" s="15"/>
    </row>
    <row r="434">
      <c r="A434" s="14"/>
      <c r="E434" s="15"/>
      <c r="F434" s="15"/>
      <c r="G434" s="15"/>
    </row>
    <row r="435">
      <c r="A435" s="14"/>
      <c r="E435" s="15"/>
      <c r="F435" s="15"/>
      <c r="G435" s="15"/>
    </row>
    <row r="436">
      <c r="A436" s="14"/>
      <c r="E436" s="15"/>
      <c r="F436" s="15"/>
      <c r="G436" s="15"/>
    </row>
    <row r="437">
      <c r="A437" s="14"/>
      <c r="E437" s="15"/>
      <c r="F437" s="15"/>
      <c r="G437" s="15"/>
    </row>
    <row r="438">
      <c r="A438" s="14"/>
      <c r="E438" s="15"/>
      <c r="F438" s="15"/>
      <c r="G438" s="15"/>
    </row>
    <row r="439">
      <c r="A439" s="14"/>
      <c r="E439" s="15"/>
      <c r="F439" s="15"/>
      <c r="G439" s="15"/>
    </row>
    <row r="440">
      <c r="A440" s="14"/>
      <c r="E440" s="15"/>
      <c r="F440" s="15"/>
      <c r="G440" s="15"/>
    </row>
    <row r="441">
      <c r="A441" s="14"/>
      <c r="E441" s="15"/>
      <c r="F441" s="15"/>
      <c r="G441" s="15"/>
    </row>
    <row r="442">
      <c r="A442" s="14"/>
      <c r="E442" s="15"/>
      <c r="F442" s="15"/>
      <c r="G442" s="15"/>
    </row>
    <row r="443">
      <c r="A443" s="14"/>
      <c r="E443" s="15"/>
      <c r="F443" s="15"/>
      <c r="G443" s="15"/>
    </row>
    <row r="444">
      <c r="A444" s="14"/>
      <c r="E444" s="15"/>
      <c r="F444" s="15"/>
      <c r="G444" s="15"/>
    </row>
    <row r="445">
      <c r="A445" s="14"/>
      <c r="E445" s="15"/>
      <c r="F445" s="15"/>
      <c r="G445" s="15"/>
    </row>
    <row r="446">
      <c r="A446" s="14"/>
      <c r="E446" s="15"/>
      <c r="F446" s="15"/>
      <c r="G446" s="15"/>
    </row>
    <row r="447">
      <c r="A447" s="14"/>
      <c r="E447" s="15"/>
      <c r="F447" s="15"/>
      <c r="G447" s="15"/>
    </row>
    <row r="448">
      <c r="A448" s="14"/>
      <c r="E448" s="15"/>
      <c r="F448" s="15"/>
      <c r="G448" s="15"/>
    </row>
    <row r="449">
      <c r="A449" s="14"/>
      <c r="E449" s="15"/>
      <c r="F449" s="15"/>
      <c r="G449" s="15"/>
    </row>
    <row r="450">
      <c r="A450" s="14"/>
      <c r="E450" s="15"/>
      <c r="F450" s="15"/>
      <c r="G450" s="15"/>
    </row>
    <row r="451">
      <c r="A451" s="14"/>
      <c r="E451" s="15"/>
      <c r="F451" s="15"/>
      <c r="G451" s="15"/>
    </row>
    <row r="452">
      <c r="A452" s="14"/>
      <c r="E452" s="15"/>
      <c r="F452" s="15"/>
      <c r="G452" s="15"/>
    </row>
    <row r="453">
      <c r="A453" s="14"/>
      <c r="E453" s="15"/>
      <c r="F453" s="15"/>
      <c r="G453" s="15"/>
    </row>
    <row r="454">
      <c r="A454" s="14"/>
      <c r="E454" s="15"/>
      <c r="F454" s="15"/>
      <c r="G454" s="15"/>
    </row>
    <row r="455">
      <c r="A455" s="14"/>
      <c r="E455" s="15"/>
      <c r="F455" s="15"/>
      <c r="G455" s="15"/>
    </row>
    <row r="456">
      <c r="A456" s="14"/>
      <c r="E456" s="15"/>
      <c r="F456" s="15"/>
      <c r="G456" s="15"/>
    </row>
    <row r="457">
      <c r="A457" s="14"/>
      <c r="E457" s="15"/>
      <c r="F457" s="15"/>
      <c r="G457" s="15"/>
    </row>
    <row r="458">
      <c r="A458" s="14"/>
      <c r="E458" s="15"/>
      <c r="F458" s="15"/>
      <c r="G458" s="15"/>
    </row>
    <row r="459">
      <c r="A459" s="14"/>
      <c r="E459" s="15"/>
      <c r="F459" s="15"/>
      <c r="G459" s="15"/>
    </row>
    <row r="460">
      <c r="A460" s="14"/>
      <c r="E460" s="15"/>
      <c r="F460" s="15"/>
      <c r="G460" s="15"/>
    </row>
    <row r="461">
      <c r="A461" s="14"/>
      <c r="E461" s="15"/>
      <c r="F461" s="15"/>
      <c r="G461" s="15"/>
    </row>
    <row r="462">
      <c r="A462" s="14"/>
      <c r="E462" s="15"/>
      <c r="F462" s="15"/>
      <c r="G462" s="15"/>
    </row>
    <row r="463">
      <c r="A463" s="14"/>
      <c r="E463" s="15"/>
      <c r="F463" s="15"/>
      <c r="G463" s="15"/>
    </row>
    <row r="464">
      <c r="A464" s="14"/>
      <c r="E464" s="15"/>
      <c r="F464" s="15"/>
      <c r="G464" s="15"/>
    </row>
    <row r="465">
      <c r="A465" s="14"/>
      <c r="E465" s="15"/>
      <c r="F465" s="15"/>
      <c r="G465" s="15"/>
    </row>
    <row r="466">
      <c r="A466" s="14"/>
      <c r="E466" s="15"/>
      <c r="F466" s="15"/>
      <c r="G466" s="15"/>
    </row>
    <row r="467">
      <c r="A467" s="14"/>
      <c r="E467" s="15"/>
      <c r="F467" s="15"/>
      <c r="G467" s="15"/>
    </row>
    <row r="468">
      <c r="A468" s="14"/>
      <c r="E468" s="15"/>
      <c r="F468" s="15"/>
      <c r="G468" s="15"/>
    </row>
    <row r="469">
      <c r="A469" s="14"/>
      <c r="E469" s="15"/>
      <c r="F469" s="15"/>
      <c r="G469" s="15"/>
    </row>
    <row r="470">
      <c r="A470" s="14"/>
      <c r="E470" s="15"/>
      <c r="F470" s="15"/>
      <c r="G470" s="15"/>
    </row>
    <row r="471">
      <c r="A471" s="14"/>
      <c r="E471" s="15"/>
      <c r="F471" s="15"/>
      <c r="G471" s="15"/>
    </row>
    <row r="472">
      <c r="A472" s="14"/>
      <c r="E472" s="15"/>
      <c r="F472" s="15"/>
      <c r="G472" s="15"/>
    </row>
    <row r="473">
      <c r="A473" s="14"/>
      <c r="E473" s="15"/>
      <c r="F473" s="15"/>
      <c r="G473" s="15"/>
    </row>
    <row r="474">
      <c r="A474" s="14"/>
      <c r="E474" s="15"/>
      <c r="F474" s="15"/>
      <c r="G474" s="15"/>
    </row>
    <row r="475">
      <c r="A475" s="14"/>
      <c r="E475" s="15"/>
      <c r="F475" s="15"/>
      <c r="G475" s="15"/>
    </row>
    <row r="476">
      <c r="A476" s="14"/>
      <c r="E476" s="15"/>
      <c r="F476" s="15"/>
      <c r="G476" s="15"/>
    </row>
    <row r="477">
      <c r="A477" s="14"/>
      <c r="E477" s="15"/>
      <c r="F477" s="15"/>
      <c r="G477" s="15"/>
    </row>
    <row r="478">
      <c r="A478" s="14"/>
      <c r="E478" s="15"/>
      <c r="F478" s="15"/>
      <c r="G478" s="15"/>
    </row>
    <row r="479">
      <c r="A479" s="14"/>
      <c r="E479" s="15"/>
      <c r="F479" s="15"/>
      <c r="G479" s="15"/>
    </row>
    <row r="480">
      <c r="A480" s="14"/>
      <c r="E480" s="15"/>
      <c r="F480" s="15"/>
      <c r="G480" s="15"/>
    </row>
    <row r="481">
      <c r="A481" s="14"/>
      <c r="E481" s="15"/>
      <c r="F481" s="15"/>
      <c r="G481" s="15"/>
    </row>
    <row r="482">
      <c r="A482" s="14"/>
      <c r="E482" s="15"/>
      <c r="F482" s="15"/>
      <c r="G482" s="15"/>
    </row>
    <row r="483">
      <c r="A483" s="14"/>
      <c r="E483" s="15"/>
      <c r="F483" s="15"/>
      <c r="G483" s="15"/>
    </row>
    <row r="484">
      <c r="A484" s="14"/>
      <c r="E484" s="15"/>
      <c r="F484" s="15"/>
      <c r="G484" s="15"/>
    </row>
    <row r="485">
      <c r="A485" s="14"/>
      <c r="E485" s="15"/>
      <c r="F485" s="15"/>
      <c r="G485" s="15"/>
    </row>
    <row r="486">
      <c r="A486" s="14"/>
      <c r="E486" s="15"/>
      <c r="F486" s="15"/>
      <c r="G486" s="15"/>
    </row>
    <row r="487">
      <c r="A487" s="14"/>
      <c r="E487" s="15"/>
      <c r="F487" s="15"/>
      <c r="G487" s="15"/>
    </row>
    <row r="488">
      <c r="A488" s="14"/>
      <c r="E488" s="15"/>
      <c r="F488" s="15"/>
      <c r="G488" s="15"/>
    </row>
    <row r="489">
      <c r="A489" s="14"/>
      <c r="E489" s="15"/>
      <c r="F489" s="15"/>
      <c r="G489" s="15"/>
    </row>
    <row r="490">
      <c r="A490" s="14"/>
      <c r="E490" s="15"/>
      <c r="F490" s="15"/>
      <c r="G490" s="15"/>
    </row>
    <row r="491">
      <c r="A491" s="14"/>
      <c r="E491" s="15"/>
      <c r="F491" s="15"/>
      <c r="G491" s="15"/>
    </row>
    <row r="492">
      <c r="A492" s="14"/>
      <c r="E492" s="15"/>
      <c r="F492" s="15"/>
      <c r="G492" s="15"/>
    </row>
    <row r="493">
      <c r="A493" s="14"/>
      <c r="E493" s="15"/>
      <c r="F493" s="15"/>
      <c r="G493" s="15"/>
    </row>
    <row r="494">
      <c r="A494" s="14"/>
      <c r="E494" s="15"/>
      <c r="F494" s="15"/>
      <c r="G494" s="15"/>
    </row>
    <row r="495">
      <c r="A495" s="14"/>
      <c r="E495" s="15"/>
      <c r="F495" s="15"/>
      <c r="G495" s="15"/>
    </row>
    <row r="496">
      <c r="A496" s="14"/>
      <c r="E496" s="15"/>
      <c r="F496" s="15"/>
      <c r="G496" s="15"/>
    </row>
    <row r="497">
      <c r="A497" s="14"/>
      <c r="E497" s="15"/>
      <c r="F497" s="15"/>
      <c r="G497" s="15"/>
    </row>
    <row r="498">
      <c r="A498" s="14"/>
      <c r="E498" s="15"/>
      <c r="F498" s="15"/>
      <c r="G498" s="15"/>
    </row>
    <row r="499">
      <c r="A499" s="14"/>
      <c r="E499" s="15"/>
      <c r="F499" s="15"/>
      <c r="G499" s="15"/>
    </row>
    <row r="500">
      <c r="A500" s="14"/>
      <c r="E500" s="15"/>
      <c r="F500" s="15"/>
      <c r="G500" s="15"/>
    </row>
    <row r="501">
      <c r="A501" s="14"/>
      <c r="E501" s="15"/>
      <c r="F501" s="15"/>
      <c r="G501" s="15"/>
    </row>
    <row r="502">
      <c r="A502" s="14"/>
      <c r="E502" s="15"/>
      <c r="F502" s="15"/>
      <c r="G502" s="15"/>
    </row>
    <row r="503">
      <c r="A503" s="14"/>
      <c r="E503" s="15"/>
      <c r="F503" s="15"/>
      <c r="G503" s="15"/>
    </row>
    <row r="504">
      <c r="A504" s="14"/>
      <c r="E504" s="15"/>
      <c r="F504" s="15"/>
      <c r="G504" s="15"/>
    </row>
    <row r="505">
      <c r="A505" s="14"/>
      <c r="E505" s="15"/>
      <c r="F505" s="15"/>
      <c r="G505" s="15"/>
    </row>
    <row r="506">
      <c r="A506" s="14"/>
      <c r="E506" s="15"/>
      <c r="F506" s="15"/>
      <c r="G506" s="15"/>
    </row>
    <row r="507">
      <c r="A507" s="14"/>
      <c r="E507" s="15"/>
      <c r="F507" s="15"/>
      <c r="G507" s="15"/>
    </row>
    <row r="508">
      <c r="A508" s="14"/>
      <c r="E508" s="15"/>
      <c r="F508" s="15"/>
      <c r="G508" s="15"/>
    </row>
    <row r="509">
      <c r="A509" s="14"/>
      <c r="E509" s="15"/>
      <c r="F509" s="15"/>
      <c r="G509" s="15"/>
    </row>
    <row r="510">
      <c r="A510" s="14"/>
      <c r="E510" s="15"/>
      <c r="F510" s="15"/>
      <c r="G510" s="15"/>
    </row>
    <row r="511">
      <c r="A511" s="14"/>
      <c r="E511" s="15"/>
      <c r="F511" s="15"/>
      <c r="G511" s="15"/>
    </row>
    <row r="512">
      <c r="A512" s="14"/>
      <c r="E512" s="15"/>
      <c r="F512" s="15"/>
      <c r="G512" s="15"/>
    </row>
    <row r="513">
      <c r="A513" s="14"/>
      <c r="E513" s="15"/>
      <c r="F513" s="15"/>
      <c r="G513" s="15"/>
    </row>
    <row r="514">
      <c r="A514" s="14"/>
      <c r="E514" s="15"/>
      <c r="F514" s="15"/>
      <c r="G514" s="15"/>
    </row>
    <row r="515">
      <c r="A515" s="14"/>
      <c r="E515" s="15"/>
      <c r="F515" s="15"/>
      <c r="G515" s="15"/>
    </row>
    <row r="516">
      <c r="A516" s="14"/>
      <c r="E516" s="15"/>
      <c r="F516" s="15"/>
      <c r="G516" s="15"/>
    </row>
    <row r="517">
      <c r="A517" s="14"/>
      <c r="E517" s="15"/>
      <c r="F517" s="15"/>
      <c r="G517" s="15"/>
    </row>
    <row r="518">
      <c r="A518" s="14"/>
      <c r="E518" s="15"/>
      <c r="F518" s="15"/>
      <c r="G518" s="15"/>
    </row>
    <row r="519">
      <c r="A519" s="14"/>
      <c r="E519" s="15"/>
      <c r="F519" s="15"/>
      <c r="G519" s="15"/>
    </row>
    <row r="520">
      <c r="A520" s="14"/>
      <c r="E520" s="15"/>
      <c r="F520" s="15"/>
      <c r="G520" s="15"/>
    </row>
    <row r="521">
      <c r="A521" s="14"/>
      <c r="E521" s="15"/>
      <c r="F521" s="15"/>
      <c r="G521" s="15"/>
    </row>
    <row r="522">
      <c r="A522" s="14"/>
      <c r="E522" s="15"/>
      <c r="F522" s="15"/>
      <c r="G522" s="15"/>
    </row>
    <row r="523">
      <c r="A523" s="14"/>
      <c r="E523" s="15"/>
      <c r="F523" s="15"/>
      <c r="G523" s="15"/>
    </row>
    <row r="524">
      <c r="A524" s="14"/>
      <c r="E524" s="15"/>
      <c r="F524" s="15"/>
      <c r="G524" s="15"/>
    </row>
    <row r="525">
      <c r="A525" s="14"/>
      <c r="E525" s="15"/>
      <c r="F525" s="15"/>
      <c r="G525" s="15"/>
    </row>
    <row r="526">
      <c r="A526" s="14"/>
      <c r="E526" s="15"/>
      <c r="F526" s="15"/>
      <c r="G526" s="15"/>
    </row>
    <row r="527">
      <c r="A527" s="14"/>
      <c r="E527" s="15"/>
      <c r="F527" s="15"/>
      <c r="G527" s="15"/>
    </row>
    <row r="528">
      <c r="A528" s="14"/>
      <c r="E528" s="15"/>
      <c r="F528" s="15"/>
      <c r="G528" s="15"/>
    </row>
    <row r="529">
      <c r="A529" s="14"/>
      <c r="E529" s="15"/>
      <c r="F529" s="15"/>
      <c r="G529" s="15"/>
    </row>
    <row r="530">
      <c r="A530" s="14"/>
      <c r="E530" s="15"/>
      <c r="F530" s="15"/>
      <c r="G530" s="15"/>
    </row>
    <row r="531">
      <c r="A531" s="14"/>
      <c r="E531" s="15"/>
      <c r="F531" s="15"/>
      <c r="G531" s="15"/>
    </row>
    <row r="532">
      <c r="A532" s="14"/>
      <c r="E532" s="15"/>
      <c r="F532" s="15"/>
      <c r="G532" s="15"/>
    </row>
    <row r="533">
      <c r="A533" s="14"/>
      <c r="E533" s="15"/>
      <c r="F533" s="15"/>
      <c r="G533" s="15"/>
    </row>
    <row r="534">
      <c r="A534" s="14"/>
      <c r="E534" s="15"/>
      <c r="F534" s="15"/>
      <c r="G534" s="15"/>
    </row>
    <row r="535">
      <c r="A535" s="14"/>
      <c r="E535" s="15"/>
      <c r="F535" s="15"/>
      <c r="G535" s="15"/>
    </row>
    <row r="536">
      <c r="A536" s="14"/>
      <c r="E536" s="15"/>
      <c r="F536" s="15"/>
      <c r="G536" s="15"/>
    </row>
    <row r="537">
      <c r="A537" s="14"/>
      <c r="E537" s="15"/>
      <c r="F537" s="15"/>
      <c r="G537" s="15"/>
    </row>
    <row r="538">
      <c r="A538" s="14"/>
      <c r="E538" s="15"/>
      <c r="F538" s="15"/>
      <c r="G538" s="15"/>
    </row>
    <row r="539">
      <c r="A539" s="14"/>
      <c r="E539" s="15"/>
      <c r="F539" s="15"/>
      <c r="G539" s="15"/>
    </row>
    <row r="540">
      <c r="A540" s="14"/>
      <c r="E540" s="15"/>
      <c r="F540" s="15"/>
      <c r="G540" s="15"/>
    </row>
    <row r="541">
      <c r="A541" s="14"/>
      <c r="E541" s="15"/>
      <c r="F541" s="15"/>
      <c r="G541" s="15"/>
    </row>
    <row r="542">
      <c r="A542" s="14"/>
      <c r="E542" s="15"/>
      <c r="F542" s="15"/>
      <c r="G542" s="15"/>
    </row>
    <row r="543">
      <c r="A543" s="14"/>
      <c r="E543" s="15"/>
      <c r="F543" s="15"/>
      <c r="G543" s="15"/>
    </row>
    <row r="544">
      <c r="A544" s="14"/>
      <c r="E544" s="15"/>
      <c r="F544" s="15"/>
      <c r="G544" s="15"/>
    </row>
    <row r="545">
      <c r="A545" s="14"/>
      <c r="E545" s="15"/>
      <c r="F545" s="15"/>
      <c r="G545" s="15"/>
    </row>
    <row r="546">
      <c r="A546" s="14"/>
      <c r="E546" s="15"/>
      <c r="F546" s="15"/>
      <c r="G546" s="15"/>
    </row>
    <row r="547">
      <c r="A547" s="14"/>
      <c r="E547" s="15"/>
      <c r="F547" s="15"/>
      <c r="G547" s="15"/>
    </row>
    <row r="548">
      <c r="A548" s="14"/>
      <c r="E548" s="15"/>
      <c r="F548" s="15"/>
      <c r="G548" s="15"/>
    </row>
    <row r="549">
      <c r="A549" s="14"/>
      <c r="E549" s="15"/>
      <c r="F549" s="15"/>
      <c r="G549" s="15"/>
    </row>
    <row r="550">
      <c r="A550" s="14"/>
      <c r="E550" s="15"/>
      <c r="F550" s="15"/>
      <c r="G550" s="15"/>
    </row>
    <row r="551">
      <c r="A551" s="14"/>
      <c r="E551" s="15"/>
      <c r="F551" s="15"/>
      <c r="G551" s="15"/>
    </row>
    <row r="552">
      <c r="A552" s="14"/>
      <c r="E552" s="15"/>
      <c r="F552" s="15"/>
      <c r="G552" s="15"/>
    </row>
    <row r="553">
      <c r="A553" s="14"/>
      <c r="E553" s="15"/>
      <c r="F553" s="15"/>
      <c r="G553" s="15"/>
    </row>
    <row r="554">
      <c r="A554" s="14"/>
      <c r="E554" s="15"/>
      <c r="F554" s="15"/>
      <c r="G554" s="15"/>
    </row>
    <row r="555">
      <c r="A555" s="14"/>
      <c r="E555" s="15"/>
      <c r="F555" s="15"/>
      <c r="G555" s="15"/>
    </row>
    <row r="556">
      <c r="A556" s="14"/>
      <c r="E556" s="15"/>
      <c r="F556" s="15"/>
      <c r="G556" s="15"/>
    </row>
    <row r="557">
      <c r="A557" s="14"/>
      <c r="E557" s="15"/>
      <c r="F557" s="15"/>
      <c r="G557" s="15"/>
    </row>
    <row r="558">
      <c r="A558" s="14"/>
      <c r="E558" s="15"/>
      <c r="F558" s="15"/>
      <c r="G558" s="15"/>
    </row>
    <row r="559">
      <c r="A559" s="14"/>
      <c r="E559" s="15"/>
      <c r="F559" s="15"/>
      <c r="G559" s="15"/>
    </row>
    <row r="560">
      <c r="A560" s="14"/>
      <c r="E560" s="15"/>
      <c r="F560" s="15"/>
      <c r="G560" s="15"/>
    </row>
    <row r="561">
      <c r="A561" s="14"/>
      <c r="E561" s="15"/>
      <c r="F561" s="15"/>
      <c r="G561" s="15"/>
    </row>
    <row r="562">
      <c r="A562" s="14"/>
      <c r="E562" s="15"/>
      <c r="F562" s="15"/>
      <c r="G562" s="15"/>
    </row>
    <row r="563">
      <c r="A563" s="14"/>
      <c r="E563" s="15"/>
      <c r="F563" s="15"/>
      <c r="G563" s="15"/>
    </row>
    <row r="564">
      <c r="A564" s="14"/>
      <c r="E564" s="15"/>
      <c r="F564" s="15"/>
      <c r="G564" s="15"/>
    </row>
    <row r="565">
      <c r="A565" s="14"/>
      <c r="E565" s="15"/>
      <c r="F565" s="15"/>
      <c r="G565" s="15"/>
    </row>
    <row r="566">
      <c r="A566" s="14"/>
      <c r="E566" s="15"/>
      <c r="F566" s="15"/>
      <c r="G566" s="15"/>
    </row>
    <row r="567">
      <c r="A567" s="14"/>
      <c r="E567" s="15"/>
      <c r="F567" s="15"/>
      <c r="G567" s="15"/>
    </row>
    <row r="568">
      <c r="A568" s="14"/>
      <c r="E568" s="15"/>
      <c r="F568" s="15"/>
      <c r="G568" s="15"/>
    </row>
    <row r="569">
      <c r="A569" s="14"/>
      <c r="E569" s="15"/>
      <c r="F569" s="15"/>
      <c r="G569" s="15"/>
    </row>
    <row r="570">
      <c r="A570" s="14"/>
      <c r="E570" s="15"/>
      <c r="F570" s="15"/>
      <c r="G570" s="15"/>
    </row>
    <row r="571">
      <c r="A571" s="14"/>
      <c r="E571" s="15"/>
      <c r="F571" s="15"/>
      <c r="G571" s="15"/>
    </row>
    <row r="572">
      <c r="A572" s="14"/>
      <c r="E572" s="15"/>
      <c r="F572" s="15"/>
      <c r="G572" s="15"/>
    </row>
    <row r="573">
      <c r="A573" s="14"/>
      <c r="E573" s="15"/>
      <c r="F573" s="15"/>
      <c r="G573" s="15"/>
    </row>
    <row r="574">
      <c r="A574" s="14"/>
      <c r="E574" s="15"/>
      <c r="F574" s="15"/>
      <c r="G574" s="15"/>
    </row>
    <row r="575">
      <c r="A575" s="14"/>
      <c r="E575" s="15"/>
      <c r="F575" s="15"/>
      <c r="G575" s="15"/>
    </row>
    <row r="576">
      <c r="A576" s="14"/>
      <c r="E576" s="15"/>
      <c r="F576" s="15"/>
      <c r="G576" s="15"/>
    </row>
    <row r="577">
      <c r="A577" s="14"/>
      <c r="E577" s="15"/>
      <c r="F577" s="15"/>
      <c r="G577" s="15"/>
    </row>
    <row r="578">
      <c r="A578" s="14"/>
      <c r="E578" s="15"/>
      <c r="F578" s="15"/>
      <c r="G578" s="15"/>
    </row>
    <row r="579">
      <c r="A579" s="14"/>
      <c r="E579" s="15"/>
      <c r="F579" s="15"/>
      <c r="G579" s="15"/>
    </row>
    <row r="580">
      <c r="A580" s="14"/>
      <c r="E580" s="15"/>
      <c r="F580" s="15"/>
      <c r="G580" s="15"/>
    </row>
    <row r="581">
      <c r="A581" s="14"/>
      <c r="E581" s="15"/>
      <c r="F581" s="15"/>
      <c r="G581" s="15"/>
    </row>
    <row r="582">
      <c r="A582" s="14"/>
      <c r="E582" s="15"/>
      <c r="F582" s="15"/>
      <c r="G582" s="15"/>
    </row>
    <row r="583">
      <c r="A583" s="14"/>
      <c r="E583" s="15"/>
      <c r="F583" s="15"/>
      <c r="G583" s="15"/>
    </row>
    <row r="584">
      <c r="A584" s="14"/>
      <c r="E584" s="15"/>
      <c r="F584" s="15"/>
      <c r="G584" s="15"/>
    </row>
    <row r="585">
      <c r="A585" s="14"/>
      <c r="E585" s="15"/>
      <c r="F585" s="15"/>
      <c r="G585" s="15"/>
    </row>
    <row r="586">
      <c r="A586" s="14"/>
      <c r="E586" s="15"/>
      <c r="F586" s="15"/>
      <c r="G586" s="15"/>
    </row>
    <row r="587">
      <c r="A587" s="14"/>
      <c r="E587" s="15"/>
      <c r="F587" s="15"/>
      <c r="G587" s="15"/>
    </row>
    <row r="588">
      <c r="A588" s="14"/>
      <c r="E588" s="15"/>
      <c r="F588" s="15"/>
      <c r="G588" s="15"/>
    </row>
    <row r="589">
      <c r="A589" s="14"/>
      <c r="E589" s="15"/>
      <c r="F589" s="15"/>
      <c r="G589" s="15"/>
    </row>
    <row r="590">
      <c r="A590" s="14"/>
      <c r="E590" s="15"/>
      <c r="F590" s="15"/>
      <c r="G590" s="15"/>
    </row>
    <row r="591">
      <c r="A591" s="14"/>
      <c r="E591" s="15"/>
      <c r="F591" s="15"/>
      <c r="G591" s="15"/>
    </row>
    <row r="592">
      <c r="A592" s="14"/>
      <c r="E592" s="15"/>
      <c r="F592" s="15"/>
      <c r="G592" s="15"/>
    </row>
    <row r="593">
      <c r="A593" s="14"/>
      <c r="E593" s="15"/>
      <c r="F593" s="15"/>
      <c r="G593" s="15"/>
    </row>
    <row r="594">
      <c r="A594" s="14"/>
      <c r="E594" s="15"/>
      <c r="F594" s="15"/>
      <c r="G594" s="15"/>
    </row>
    <row r="595">
      <c r="A595" s="14"/>
      <c r="E595" s="15"/>
      <c r="F595" s="15"/>
      <c r="G595" s="15"/>
    </row>
    <row r="596">
      <c r="A596" s="14"/>
      <c r="E596" s="15"/>
      <c r="F596" s="15"/>
      <c r="G596" s="15"/>
    </row>
    <row r="597">
      <c r="A597" s="14"/>
      <c r="E597" s="15"/>
      <c r="F597" s="15"/>
      <c r="G597" s="15"/>
    </row>
    <row r="598">
      <c r="A598" s="14"/>
      <c r="E598" s="15"/>
      <c r="F598" s="15"/>
      <c r="G598" s="15"/>
    </row>
    <row r="599">
      <c r="A599" s="14"/>
      <c r="E599" s="15"/>
      <c r="F599" s="15"/>
      <c r="G599" s="15"/>
    </row>
    <row r="600">
      <c r="A600" s="14"/>
      <c r="E600" s="15"/>
      <c r="F600" s="15"/>
      <c r="G600" s="15"/>
    </row>
    <row r="601">
      <c r="A601" s="14"/>
      <c r="E601" s="15"/>
      <c r="F601" s="15"/>
      <c r="G601" s="15"/>
    </row>
    <row r="602">
      <c r="A602" s="14"/>
      <c r="E602" s="15"/>
      <c r="F602" s="15"/>
      <c r="G602" s="15"/>
    </row>
    <row r="603">
      <c r="A603" s="14"/>
      <c r="E603" s="15"/>
      <c r="F603" s="15"/>
      <c r="G603" s="15"/>
    </row>
    <row r="604">
      <c r="A604" s="14"/>
      <c r="E604" s="15"/>
      <c r="F604" s="15"/>
      <c r="G604" s="15"/>
    </row>
    <row r="605">
      <c r="A605" s="14"/>
      <c r="E605" s="15"/>
      <c r="F605" s="15"/>
      <c r="G605" s="15"/>
    </row>
    <row r="606">
      <c r="A606" s="14"/>
      <c r="E606" s="15"/>
      <c r="F606" s="15"/>
      <c r="G606" s="15"/>
    </row>
    <row r="607">
      <c r="A607" s="14"/>
      <c r="E607" s="15"/>
      <c r="F607" s="15"/>
      <c r="G607" s="15"/>
    </row>
    <row r="608">
      <c r="A608" s="14"/>
      <c r="E608" s="15"/>
      <c r="F608" s="15"/>
      <c r="G608" s="15"/>
    </row>
    <row r="609">
      <c r="A609" s="14"/>
      <c r="E609" s="15"/>
      <c r="F609" s="15"/>
      <c r="G609" s="15"/>
    </row>
    <row r="610">
      <c r="A610" s="14"/>
      <c r="E610" s="15"/>
      <c r="F610" s="15"/>
      <c r="G610" s="15"/>
    </row>
    <row r="611">
      <c r="A611" s="14"/>
      <c r="E611" s="15"/>
      <c r="F611" s="15"/>
      <c r="G611" s="15"/>
    </row>
    <row r="612">
      <c r="A612" s="14"/>
      <c r="E612" s="15"/>
      <c r="F612" s="15"/>
      <c r="G612" s="15"/>
    </row>
    <row r="613">
      <c r="A613" s="14"/>
      <c r="E613" s="15"/>
      <c r="F613" s="15"/>
      <c r="G613" s="15"/>
    </row>
    <row r="614">
      <c r="A614" s="14"/>
      <c r="E614" s="15"/>
      <c r="F614" s="15"/>
      <c r="G614" s="15"/>
    </row>
    <row r="615">
      <c r="A615" s="14"/>
      <c r="E615" s="15"/>
      <c r="F615" s="15"/>
      <c r="G615" s="15"/>
    </row>
    <row r="616">
      <c r="A616" s="14"/>
      <c r="E616" s="15"/>
      <c r="F616" s="15"/>
      <c r="G616" s="15"/>
    </row>
    <row r="617">
      <c r="A617" s="14"/>
      <c r="E617" s="15"/>
      <c r="F617" s="15"/>
      <c r="G617" s="15"/>
    </row>
    <row r="618">
      <c r="A618" s="14"/>
      <c r="E618" s="15"/>
      <c r="F618" s="15"/>
      <c r="G618" s="15"/>
    </row>
    <row r="619">
      <c r="A619" s="14"/>
      <c r="E619" s="15"/>
      <c r="F619" s="15"/>
      <c r="G619" s="15"/>
    </row>
    <row r="620">
      <c r="A620" s="14"/>
      <c r="E620" s="15"/>
      <c r="F620" s="15"/>
      <c r="G620" s="15"/>
    </row>
    <row r="621">
      <c r="A621" s="14"/>
      <c r="E621" s="15"/>
      <c r="F621" s="15"/>
      <c r="G621" s="15"/>
    </row>
    <row r="622">
      <c r="A622" s="14"/>
      <c r="E622" s="15"/>
      <c r="F622" s="15"/>
      <c r="G622" s="15"/>
    </row>
    <row r="623">
      <c r="A623" s="14"/>
      <c r="E623" s="15"/>
      <c r="F623" s="15"/>
      <c r="G623" s="15"/>
    </row>
    <row r="624">
      <c r="A624" s="14"/>
      <c r="E624" s="15"/>
      <c r="F624" s="15"/>
      <c r="G624" s="15"/>
    </row>
    <row r="625">
      <c r="A625" s="14"/>
      <c r="E625" s="15"/>
      <c r="F625" s="15"/>
      <c r="G625" s="15"/>
    </row>
    <row r="626">
      <c r="A626" s="14"/>
      <c r="E626" s="15"/>
      <c r="F626" s="15"/>
      <c r="G626" s="15"/>
    </row>
    <row r="627">
      <c r="A627" s="14"/>
      <c r="E627" s="15"/>
      <c r="F627" s="15"/>
      <c r="G627" s="15"/>
    </row>
    <row r="628">
      <c r="A628" s="14"/>
      <c r="E628" s="15"/>
      <c r="F628" s="15"/>
      <c r="G628" s="15"/>
    </row>
    <row r="629">
      <c r="A629" s="14"/>
      <c r="E629" s="15"/>
      <c r="F629" s="15"/>
      <c r="G629" s="15"/>
    </row>
    <row r="630">
      <c r="A630" s="14"/>
      <c r="E630" s="15"/>
      <c r="F630" s="15"/>
      <c r="G630" s="15"/>
    </row>
    <row r="631">
      <c r="A631" s="14"/>
      <c r="E631" s="15"/>
      <c r="F631" s="15"/>
      <c r="G631" s="15"/>
    </row>
    <row r="632">
      <c r="A632" s="14"/>
      <c r="E632" s="15"/>
      <c r="F632" s="15"/>
      <c r="G632" s="15"/>
    </row>
    <row r="633">
      <c r="A633" s="14"/>
      <c r="E633" s="15"/>
      <c r="F633" s="15"/>
      <c r="G633" s="15"/>
    </row>
    <row r="634">
      <c r="A634" s="14"/>
      <c r="E634" s="15"/>
      <c r="F634" s="15"/>
      <c r="G634" s="15"/>
    </row>
    <row r="635">
      <c r="A635" s="14"/>
      <c r="E635" s="15"/>
      <c r="F635" s="15"/>
      <c r="G635" s="15"/>
    </row>
    <row r="636">
      <c r="A636" s="14"/>
      <c r="E636" s="15"/>
      <c r="F636" s="15"/>
      <c r="G636" s="15"/>
    </row>
    <row r="637">
      <c r="A637" s="14"/>
      <c r="E637" s="15"/>
      <c r="F637" s="15"/>
      <c r="G637" s="15"/>
    </row>
    <row r="638">
      <c r="A638" s="14"/>
      <c r="E638" s="15"/>
      <c r="F638" s="15"/>
      <c r="G638" s="15"/>
    </row>
    <row r="639">
      <c r="A639" s="14"/>
      <c r="E639" s="15"/>
      <c r="F639" s="15"/>
      <c r="G639" s="15"/>
    </row>
    <row r="640">
      <c r="A640" s="14"/>
      <c r="E640" s="15"/>
      <c r="F640" s="15"/>
      <c r="G640" s="15"/>
    </row>
    <row r="641">
      <c r="A641" s="14"/>
      <c r="E641" s="15"/>
      <c r="F641" s="15"/>
      <c r="G641" s="15"/>
    </row>
    <row r="642">
      <c r="A642" s="14"/>
      <c r="E642" s="15"/>
      <c r="F642" s="15"/>
      <c r="G642" s="15"/>
    </row>
    <row r="643">
      <c r="A643" s="14"/>
      <c r="E643" s="15"/>
      <c r="F643" s="15"/>
      <c r="G643" s="15"/>
    </row>
    <row r="644">
      <c r="A644" s="14"/>
      <c r="E644" s="15"/>
      <c r="F644" s="15"/>
      <c r="G644" s="15"/>
    </row>
    <row r="645">
      <c r="A645" s="14"/>
      <c r="E645" s="15"/>
      <c r="F645" s="15"/>
      <c r="G645" s="15"/>
    </row>
    <row r="646">
      <c r="A646" s="14"/>
      <c r="E646" s="15"/>
      <c r="F646" s="15"/>
      <c r="G646" s="15"/>
    </row>
    <row r="647">
      <c r="A647" s="14"/>
      <c r="E647" s="15"/>
      <c r="F647" s="15"/>
      <c r="G647" s="15"/>
    </row>
    <row r="648">
      <c r="A648" s="14"/>
      <c r="E648" s="15"/>
      <c r="F648" s="15"/>
      <c r="G648" s="15"/>
    </row>
    <row r="649">
      <c r="A649" s="14"/>
      <c r="E649" s="15"/>
      <c r="F649" s="15"/>
      <c r="G649" s="15"/>
    </row>
    <row r="650">
      <c r="A650" s="14"/>
      <c r="E650" s="15"/>
      <c r="F650" s="15"/>
      <c r="G650" s="15"/>
    </row>
    <row r="651">
      <c r="A651" s="14"/>
      <c r="E651" s="15"/>
      <c r="F651" s="15"/>
      <c r="G651" s="15"/>
    </row>
    <row r="652">
      <c r="A652" s="14"/>
      <c r="E652" s="15"/>
      <c r="F652" s="15"/>
      <c r="G652" s="15"/>
    </row>
    <row r="653">
      <c r="A653" s="14"/>
      <c r="E653" s="15"/>
      <c r="F653" s="15"/>
      <c r="G653" s="15"/>
    </row>
    <row r="654">
      <c r="A654" s="14"/>
      <c r="E654" s="15"/>
      <c r="F654" s="15"/>
      <c r="G654" s="15"/>
    </row>
    <row r="655">
      <c r="A655" s="14"/>
      <c r="E655" s="15"/>
      <c r="F655" s="15"/>
      <c r="G655" s="15"/>
    </row>
    <row r="656">
      <c r="A656" s="14"/>
      <c r="E656" s="15"/>
      <c r="F656" s="15"/>
      <c r="G656" s="15"/>
    </row>
    <row r="657">
      <c r="A657" s="14"/>
      <c r="E657" s="15"/>
      <c r="F657" s="15"/>
      <c r="G657" s="15"/>
    </row>
    <row r="658">
      <c r="A658" s="14"/>
      <c r="E658" s="15"/>
      <c r="F658" s="15"/>
      <c r="G658" s="15"/>
    </row>
    <row r="659">
      <c r="A659" s="14"/>
      <c r="E659" s="15"/>
      <c r="F659" s="15"/>
      <c r="G659" s="15"/>
    </row>
    <row r="660">
      <c r="A660" s="14"/>
      <c r="E660" s="15"/>
      <c r="F660" s="15"/>
      <c r="G660" s="15"/>
    </row>
    <row r="661">
      <c r="A661" s="14"/>
      <c r="E661" s="15"/>
      <c r="F661" s="15"/>
      <c r="G661" s="15"/>
    </row>
    <row r="662">
      <c r="A662" s="14"/>
      <c r="E662" s="15"/>
      <c r="F662" s="15"/>
      <c r="G662" s="15"/>
    </row>
    <row r="663">
      <c r="A663" s="14"/>
      <c r="E663" s="15"/>
      <c r="F663" s="15"/>
      <c r="G663" s="15"/>
    </row>
    <row r="664">
      <c r="A664" s="14"/>
      <c r="E664" s="15"/>
      <c r="F664" s="15"/>
      <c r="G664" s="15"/>
    </row>
    <row r="665">
      <c r="A665" s="14"/>
      <c r="E665" s="15"/>
      <c r="F665" s="15"/>
      <c r="G665" s="15"/>
    </row>
    <row r="666">
      <c r="A666" s="14"/>
      <c r="E666" s="15"/>
      <c r="F666" s="15"/>
      <c r="G666" s="15"/>
    </row>
    <row r="667">
      <c r="A667" s="14"/>
      <c r="E667" s="15"/>
      <c r="F667" s="15"/>
      <c r="G667" s="15"/>
    </row>
    <row r="668">
      <c r="A668" s="14"/>
      <c r="E668" s="15"/>
      <c r="F668" s="15"/>
      <c r="G668" s="15"/>
    </row>
    <row r="669">
      <c r="A669" s="14"/>
      <c r="E669" s="15"/>
      <c r="F669" s="15"/>
      <c r="G669" s="15"/>
    </row>
    <row r="670">
      <c r="A670" s="14"/>
      <c r="E670" s="15"/>
      <c r="F670" s="15"/>
      <c r="G670" s="15"/>
    </row>
    <row r="671">
      <c r="A671" s="14"/>
      <c r="E671" s="15"/>
      <c r="F671" s="15"/>
      <c r="G671" s="15"/>
    </row>
    <row r="672">
      <c r="A672" s="14"/>
      <c r="E672" s="15"/>
      <c r="F672" s="15"/>
      <c r="G672" s="15"/>
    </row>
    <row r="673">
      <c r="A673" s="14"/>
      <c r="E673" s="15"/>
      <c r="F673" s="15"/>
      <c r="G673" s="15"/>
    </row>
    <row r="674">
      <c r="A674" s="14"/>
      <c r="E674" s="15"/>
      <c r="F674" s="15"/>
      <c r="G674" s="15"/>
    </row>
    <row r="675">
      <c r="A675" s="14"/>
      <c r="E675" s="15"/>
      <c r="F675" s="15"/>
      <c r="G675" s="15"/>
    </row>
    <row r="676">
      <c r="A676" s="14"/>
      <c r="E676" s="15"/>
      <c r="F676" s="15"/>
      <c r="G676" s="15"/>
    </row>
    <row r="677">
      <c r="A677" s="14"/>
      <c r="E677" s="15"/>
      <c r="F677" s="15"/>
      <c r="G677" s="15"/>
    </row>
    <row r="678">
      <c r="A678" s="14"/>
      <c r="E678" s="15"/>
      <c r="F678" s="15"/>
      <c r="G678" s="15"/>
    </row>
    <row r="679">
      <c r="A679" s="14"/>
      <c r="E679" s="15"/>
      <c r="F679" s="15"/>
      <c r="G679" s="15"/>
    </row>
    <row r="680">
      <c r="A680" s="14"/>
      <c r="E680" s="15"/>
      <c r="F680" s="15"/>
      <c r="G680" s="15"/>
    </row>
    <row r="681">
      <c r="A681" s="14"/>
      <c r="E681" s="15"/>
      <c r="F681" s="15"/>
      <c r="G681" s="15"/>
    </row>
    <row r="682">
      <c r="A682" s="14"/>
      <c r="E682" s="15"/>
      <c r="F682" s="15"/>
      <c r="G682" s="15"/>
    </row>
    <row r="683">
      <c r="A683" s="14"/>
      <c r="E683" s="15"/>
      <c r="F683" s="15"/>
      <c r="G683" s="15"/>
    </row>
    <row r="684">
      <c r="A684" s="14"/>
      <c r="E684" s="15"/>
      <c r="F684" s="15"/>
      <c r="G684" s="15"/>
    </row>
    <row r="685">
      <c r="A685" s="14"/>
      <c r="E685" s="15"/>
      <c r="F685" s="15"/>
      <c r="G685" s="15"/>
    </row>
    <row r="686">
      <c r="A686" s="14"/>
      <c r="E686" s="15"/>
      <c r="F686" s="15"/>
      <c r="G686" s="15"/>
    </row>
    <row r="687">
      <c r="A687" s="14"/>
      <c r="E687" s="15"/>
      <c r="F687" s="15"/>
      <c r="G687" s="15"/>
    </row>
    <row r="688">
      <c r="A688" s="14"/>
      <c r="E688" s="15"/>
      <c r="F688" s="15"/>
      <c r="G688" s="15"/>
    </row>
    <row r="689">
      <c r="A689" s="14"/>
      <c r="E689" s="15"/>
      <c r="F689" s="15"/>
      <c r="G689" s="15"/>
    </row>
    <row r="690">
      <c r="A690" s="14"/>
      <c r="E690" s="15"/>
      <c r="F690" s="15"/>
      <c r="G690" s="15"/>
    </row>
    <row r="691">
      <c r="A691" s="14"/>
      <c r="E691" s="15"/>
      <c r="F691" s="15"/>
      <c r="G691" s="15"/>
    </row>
    <row r="692">
      <c r="A692" s="14"/>
      <c r="E692" s="15"/>
      <c r="F692" s="15"/>
      <c r="G692" s="15"/>
    </row>
    <row r="693">
      <c r="A693" s="14"/>
      <c r="E693" s="15"/>
      <c r="F693" s="15"/>
      <c r="G693" s="15"/>
    </row>
    <row r="694">
      <c r="A694" s="14"/>
      <c r="E694" s="15"/>
      <c r="F694" s="15"/>
      <c r="G694" s="15"/>
    </row>
    <row r="695">
      <c r="A695" s="14"/>
      <c r="E695" s="15"/>
      <c r="F695" s="15"/>
      <c r="G695" s="15"/>
    </row>
    <row r="696">
      <c r="A696" s="14"/>
      <c r="E696" s="15"/>
      <c r="F696" s="15"/>
      <c r="G696" s="15"/>
    </row>
    <row r="697">
      <c r="A697" s="14"/>
      <c r="E697" s="15"/>
      <c r="F697" s="15"/>
      <c r="G697" s="15"/>
    </row>
    <row r="698">
      <c r="A698" s="14"/>
      <c r="E698" s="15"/>
      <c r="F698" s="15"/>
      <c r="G698" s="15"/>
    </row>
    <row r="699">
      <c r="A699" s="14"/>
      <c r="E699" s="15"/>
      <c r="F699" s="15"/>
      <c r="G699" s="15"/>
    </row>
    <row r="700">
      <c r="A700" s="14"/>
      <c r="E700" s="15"/>
      <c r="F700" s="15"/>
      <c r="G700" s="15"/>
    </row>
    <row r="701">
      <c r="A701" s="14"/>
      <c r="E701" s="15"/>
      <c r="F701" s="15"/>
      <c r="G701" s="15"/>
    </row>
    <row r="702">
      <c r="A702" s="14"/>
      <c r="E702" s="15"/>
      <c r="F702" s="15"/>
      <c r="G702" s="15"/>
    </row>
    <row r="703">
      <c r="A703" s="14"/>
      <c r="E703" s="15"/>
      <c r="F703" s="15"/>
      <c r="G703" s="15"/>
    </row>
    <row r="704">
      <c r="A704" s="14"/>
      <c r="E704" s="15"/>
      <c r="F704" s="15"/>
      <c r="G704" s="15"/>
    </row>
    <row r="705">
      <c r="A705" s="14"/>
      <c r="E705" s="15"/>
      <c r="F705" s="15"/>
      <c r="G705" s="15"/>
    </row>
    <row r="706">
      <c r="A706" s="14"/>
      <c r="E706" s="15"/>
      <c r="F706" s="15"/>
      <c r="G706" s="15"/>
    </row>
    <row r="707">
      <c r="A707" s="14"/>
      <c r="E707" s="15"/>
      <c r="F707" s="15"/>
      <c r="G707" s="15"/>
    </row>
    <row r="708">
      <c r="A708" s="14"/>
      <c r="E708" s="15"/>
      <c r="F708" s="15"/>
      <c r="G708" s="15"/>
    </row>
    <row r="709">
      <c r="A709" s="14"/>
      <c r="E709" s="15"/>
      <c r="F709" s="15"/>
      <c r="G709" s="15"/>
    </row>
    <row r="710">
      <c r="A710" s="14"/>
      <c r="E710" s="15"/>
      <c r="F710" s="15"/>
      <c r="G710" s="15"/>
    </row>
    <row r="711">
      <c r="A711" s="14"/>
      <c r="E711" s="15"/>
      <c r="F711" s="15"/>
      <c r="G711" s="15"/>
    </row>
    <row r="712">
      <c r="A712" s="14"/>
      <c r="E712" s="15"/>
      <c r="F712" s="15"/>
      <c r="G712" s="15"/>
    </row>
    <row r="713">
      <c r="A713" s="14"/>
      <c r="E713" s="15"/>
      <c r="F713" s="15"/>
      <c r="G713" s="15"/>
    </row>
    <row r="714">
      <c r="A714" s="14"/>
      <c r="E714" s="15"/>
      <c r="F714" s="15"/>
      <c r="G714" s="15"/>
    </row>
    <row r="715">
      <c r="A715" s="14"/>
      <c r="E715" s="15"/>
      <c r="F715" s="15"/>
      <c r="G715" s="15"/>
    </row>
    <row r="716">
      <c r="A716" s="14"/>
      <c r="E716" s="15"/>
      <c r="F716" s="15"/>
      <c r="G716" s="15"/>
    </row>
    <row r="717">
      <c r="A717" s="14"/>
      <c r="E717" s="15"/>
      <c r="F717" s="15"/>
      <c r="G717" s="15"/>
    </row>
    <row r="718">
      <c r="A718" s="14"/>
      <c r="E718" s="15"/>
      <c r="F718" s="15"/>
      <c r="G718" s="15"/>
    </row>
    <row r="719">
      <c r="A719" s="14"/>
      <c r="E719" s="15"/>
      <c r="F719" s="15"/>
      <c r="G719" s="15"/>
    </row>
    <row r="720">
      <c r="A720" s="14"/>
      <c r="E720" s="15"/>
      <c r="F720" s="15"/>
      <c r="G720" s="15"/>
    </row>
    <row r="721">
      <c r="A721" s="14"/>
      <c r="E721" s="15"/>
      <c r="F721" s="15"/>
      <c r="G721" s="15"/>
    </row>
    <row r="722">
      <c r="A722" s="14"/>
      <c r="E722" s="15"/>
      <c r="F722" s="15"/>
      <c r="G722" s="15"/>
    </row>
    <row r="723">
      <c r="A723" s="14"/>
      <c r="E723" s="15"/>
      <c r="F723" s="15"/>
      <c r="G723" s="15"/>
    </row>
    <row r="724">
      <c r="A724" s="14"/>
      <c r="E724" s="15"/>
      <c r="F724" s="15"/>
      <c r="G724" s="15"/>
    </row>
    <row r="725">
      <c r="A725" s="14"/>
      <c r="E725" s="15"/>
      <c r="F725" s="15"/>
      <c r="G725" s="15"/>
    </row>
    <row r="726">
      <c r="A726" s="14"/>
      <c r="E726" s="15"/>
      <c r="F726" s="15"/>
      <c r="G726" s="15"/>
    </row>
    <row r="727">
      <c r="A727" s="14"/>
      <c r="E727" s="15"/>
      <c r="F727" s="15"/>
      <c r="G727" s="15"/>
    </row>
    <row r="728">
      <c r="A728" s="14"/>
      <c r="E728" s="15"/>
      <c r="F728" s="15"/>
      <c r="G728" s="15"/>
    </row>
    <row r="729">
      <c r="A729" s="14"/>
      <c r="E729" s="15"/>
      <c r="F729" s="15"/>
      <c r="G729" s="15"/>
    </row>
    <row r="730">
      <c r="A730" s="14"/>
      <c r="E730" s="15"/>
      <c r="F730" s="15"/>
      <c r="G730" s="15"/>
    </row>
    <row r="731">
      <c r="A731" s="14"/>
      <c r="E731" s="15"/>
      <c r="F731" s="15"/>
      <c r="G731" s="15"/>
    </row>
    <row r="732">
      <c r="A732" s="14"/>
      <c r="E732" s="15"/>
      <c r="F732" s="15"/>
      <c r="G732" s="15"/>
    </row>
    <row r="733">
      <c r="A733" s="14"/>
      <c r="E733" s="15"/>
      <c r="F733" s="15"/>
      <c r="G733" s="15"/>
    </row>
    <row r="734">
      <c r="A734" s="14"/>
      <c r="E734" s="15"/>
      <c r="F734" s="15"/>
      <c r="G734" s="15"/>
    </row>
    <row r="735">
      <c r="A735" s="14"/>
      <c r="E735" s="15"/>
      <c r="F735" s="15"/>
      <c r="G735" s="15"/>
    </row>
    <row r="736">
      <c r="A736" s="14"/>
      <c r="E736" s="15"/>
      <c r="F736" s="15"/>
      <c r="G736" s="15"/>
    </row>
    <row r="737">
      <c r="A737" s="14"/>
      <c r="E737" s="15"/>
      <c r="F737" s="15"/>
      <c r="G737" s="15"/>
    </row>
    <row r="738">
      <c r="A738" s="14"/>
      <c r="E738" s="15"/>
      <c r="F738" s="15"/>
      <c r="G738" s="15"/>
    </row>
    <row r="739">
      <c r="A739" s="14"/>
      <c r="E739" s="15"/>
      <c r="F739" s="15"/>
      <c r="G739" s="15"/>
    </row>
    <row r="740">
      <c r="A740" s="14"/>
      <c r="E740" s="15"/>
      <c r="F740" s="15"/>
      <c r="G740" s="15"/>
    </row>
    <row r="741">
      <c r="A741" s="14"/>
      <c r="E741" s="15"/>
      <c r="F741" s="15"/>
      <c r="G741" s="15"/>
    </row>
    <row r="742">
      <c r="A742" s="14"/>
      <c r="E742" s="15"/>
      <c r="F742" s="15"/>
      <c r="G742" s="15"/>
    </row>
    <row r="743">
      <c r="A743" s="14"/>
      <c r="E743" s="15"/>
      <c r="F743" s="15"/>
      <c r="G743" s="15"/>
    </row>
    <row r="744">
      <c r="A744" s="14"/>
      <c r="E744" s="15"/>
      <c r="F744" s="15"/>
      <c r="G744" s="15"/>
    </row>
    <row r="745">
      <c r="A745" s="14"/>
      <c r="E745" s="15"/>
      <c r="F745" s="15"/>
      <c r="G745" s="15"/>
    </row>
    <row r="746">
      <c r="A746" s="14"/>
      <c r="E746" s="15"/>
      <c r="F746" s="15"/>
      <c r="G746" s="15"/>
    </row>
    <row r="747">
      <c r="A747" s="14"/>
      <c r="E747" s="15"/>
      <c r="F747" s="15"/>
      <c r="G747" s="15"/>
    </row>
    <row r="748">
      <c r="A748" s="14"/>
      <c r="E748" s="15"/>
      <c r="F748" s="15"/>
      <c r="G748" s="15"/>
    </row>
    <row r="749">
      <c r="A749" s="14"/>
      <c r="E749" s="15"/>
      <c r="F749" s="15"/>
      <c r="G749" s="15"/>
    </row>
    <row r="750">
      <c r="A750" s="14"/>
      <c r="E750" s="15"/>
      <c r="F750" s="15"/>
      <c r="G750" s="15"/>
    </row>
    <row r="751">
      <c r="A751" s="14"/>
      <c r="E751" s="15"/>
      <c r="F751" s="15"/>
      <c r="G751" s="15"/>
    </row>
    <row r="752">
      <c r="A752" s="14"/>
      <c r="E752" s="15"/>
      <c r="F752" s="15"/>
      <c r="G752" s="15"/>
    </row>
    <row r="753">
      <c r="A753" s="14"/>
      <c r="E753" s="15"/>
      <c r="F753" s="15"/>
      <c r="G753" s="15"/>
    </row>
    <row r="754">
      <c r="A754" s="14"/>
      <c r="E754" s="15"/>
      <c r="F754" s="15"/>
      <c r="G754" s="15"/>
    </row>
    <row r="755">
      <c r="A755" s="14"/>
      <c r="E755" s="15"/>
      <c r="F755" s="15"/>
      <c r="G755" s="15"/>
    </row>
    <row r="756">
      <c r="A756" s="14"/>
      <c r="E756" s="15"/>
      <c r="F756" s="15"/>
      <c r="G756" s="15"/>
    </row>
    <row r="757">
      <c r="A757" s="14"/>
      <c r="E757" s="15"/>
      <c r="F757" s="15"/>
      <c r="G757" s="15"/>
    </row>
    <row r="758">
      <c r="A758" s="14"/>
      <c r="E758" s="15"/>
      <c r="F758" s="15"/>
      <c r="G758" s="15"/>
    </row>
    <row r="759">
      <c r="A759" s="14"/>
      <c r="E759" s="15"/>
      <c r="F759" s="15"/>
      <c r="G759" s="15"/>
    </row>
    <row r="760">
      <c r="A760" s="14"/>
      <c r="E760" s="15"/>
      <c r="F760" s="15"/>
      <c r="G760" s="15"/>
    </row>
    <row r="761">
      <c r="A761" s="14"/>
      <c r="E761" s="15"/>
      <c r="F761" s="15"/>
      <c r="G761" s="15"/>
    </row>
    <row r="762">
      <c r="A762" s="14"/>
      <c r="E762" s="15"/>
      <c r="F762" s="15"/>
      <c r="G762" s="15"/>
    </row>
    <row r="763">
      <c r="A763" s="14"/>
      <c r="E763" s="15"/>
      <c r="F763" s="15"/>
      <c r="G763" s="15"/>
    </row>
    <row r="764">
      <c r="A764" s="14"/>
      <c r="E764" s="15"/>
      <c r="F764" s="15"/>
      <c r="G764" s="15"/>
    </row>
    <row r="765">
      <c r="A765" s="14"/>
      <c r="E765" s="15"/>
      <c r="F765" s="15"/>
      <c r="G765" s="15"/>
    </row>
    <row r="766">
      <c r="A766" s="14"/>
      <c r="E766" s="15"/>
      <c r="F766" s="15"/>
      <c r="G766" s="15"/>
    </row>
    <row r="767">
      <c r="A767" s="14"/>
      <c r="E767" s="15"/>
      <c r="F767" s="15"/>
      <c r="G767" s="15"/>
    </row>
    <row r="768">
      <c r="A768" s="14"/>
      <c r="E768" s="15"/>
      <c r="F768" s="15"/>
      <c r="G768" s="15"/>
    </row>
    <row r="769">
      <c r="A769" s="14"/>
      <c r="E769" s="15"/>
      <c r="F769" s="15"/>
      <c r="G769" s="15"/>
    </row>
    <row r="770">
      <c r="A770" s="14"/>
      <c r="E770" s="15"/>
      <c r="F770" s="15"/>
      <c r="G770" s="15"/>
    </row>
    <row r="771">
      <c r="A771" s="14"/>
      <c r="E771" s="15"/>
      <c r="F771" s="15"/>
      <c r="G771" s="15"/>
    </row>
    <row r="772">
      <c r="A772" s="14"/>
      <c r="E772" s="15"/>
      <c r="F772" s="15"/>
      <c r="G772" s="15"/>
    </row>
    <row r="773">
      <c r="A773" s="14"/>
      <c r="E773" s="15"/>
      <c r="F773" s="15"/>
      <c r="G773" s="15"/>
    </row>
    <row r="774">
      <c r="A774" s="14"/>
      <c r="E774" s="15"/>
      <c r="F774" s="15"/>
      <c r="G774" s="15"/>
    </row>
    <row r="775">
      <c r="A775" s="14"/>
      <c r="E775" s="15"/>
      <c r="F775" s="15"/>
      <c r="G775" s="15"/>
    </row>
    <row r="776">
      <c r="A776" s="14"/>
      <c r="E776" s="15"/>
      <c r="F776" s="15"/>
      <c r="G776" s="15"/>
    </row>
    <row r="777">
      <c r="A777" s="14"/>
      <c r="E777" s="15"/>
      <c r="F777" s="15"/>
      <c r="G777" s="15"/>
    </row>
    <row r="778">
      <c r="A778" s="14"/>
      <c r="E778" s="15"/>
      <c r="F778" s="15"/>
      <c r="G778" s="15"/>
    </row>
    <row r="779">
      <c r="A779" s="14"/>
      <c r="E779" s="15"/>
      <c r="F779" s="15"/>
      <c r="G779" s="15"/>
    </row>
    <row r="780">
      <c r="A780" s="14"/>
      <c r="E780" s="15"/>
      <c r="F780" s="15"/>
      <c r="G780" s="15"/>
    </row>
    <row r="781">
      <c r="A781" s="14"/>
      <c r="E781" s="15"/>
      <c r="F781" s="15"/>
      <c r="G781" s="15"/>
    </row>
    <row r="782">
      <c r="A782" s="14"/>
      <c r="E782" s="15"/>
      <c r="F782" s="15"/>
      <c r="G782" s="15"/>
    </row>
    <row r="783">
      <c r="A783" s="14"/>
      <c r="E783" s="15"/>
      <c r="F783" s="15"/>
      <c r="G783" s="15"/>
    </row>
    <row r="784">
      <c r="A784" s="14"/>
      <c r="E784" s="15"/>
      <c r="F784" s="15"/>
      <c r="G784" s="15"/>
    </row>
    <row r="785">
      <c r="A785" s="14"/>
      <c r="E785" s="15"/>
      <c r="F785" s="15"/>
      <c r="G785" s="15"/>
    </row>
    <row r="786">
      <c r="A786" s="14"/>
      <c r="E786" s="15"/>
      <c r="F786" s="15"/>
      <c r="G786" s="15"/>
    </row>
    <row r="787">
      <c r="A787" s="14"/>
      <c r="E787" s="15"/>
      <c r="F787" s="15"/>
      <c r="G787" s="15"/>
    </row>
    <row r="788">
      <c r="A788" s="14"/>
      <c r="E788" s="15"/>
      <c r="F788" s="15"/>
      <c r="G788" s="15"/>
    </row>
    <row r="789">
      <c r="A789" s="14"/>
      <c r="E789" s="15"/>
      <c r="F789" s="15"/>
      <c r="G789" s="15"/>
    </row>
    <row r="790">
      <c r="A790" s="14"/>
      <c r="E790" s="15"/>
      <c r="F790" s="15"/>
      <c r="G790" s="15"/>
    </row>
    <row r="791">
      <c r="A791" s="14"/>
      <c r="E791" s="15"/>
      <c r="F791" s="15"/>
      <c r="G791" s="15"/>
    </row>
    <row r="792">
      <c r="A792" s="14"/>
      <c r="E792" s="15"/>
      <c r="F792" s="15"/>
      <c r="G792" s="15"/>
    </row>
    <row r="793">
      <c r="A793" s="14"/>
      <c r="E793" s="15"/>
      <c r="F793" s="15"/>
      <c r="G793" s="15"/>
    </row>
    <row r="794">
      <c r="A794" s="14"/>
      <c r="E794" s="15"/>
      <c r="F794" s="15"/>
      <c r="G794" s="15"/>
    </row>
    <row r="795">
      <c r="A795" s="14"/>
      <c r="E795" s="15"/>
      <c r="F795" s="15"/>
      <c r="G795" s="15"/>
    </row>
    <row r="796">
      <c r="A796" s="14"/>
      <c r="E796" s="15"/>
      <c r="F796" s="15"/>
      <c r="G796" s="15"/>
    </row>
    <row r="797">
      <c r="A797" s="14"/>
      <c r="E797" s="15"/>
      <c r="F797" s="15"/>
      <c r="G797" s="15"/>
    </row>
    <row r="798">
      <c r="A798" s="14"/>
      <c r="E798" s="15"/>
      <c r="F798" s="15"/>
      <c r="G798" s="15"/>
    </row>
    <row r="799">
      <c r="A799" s="14"/>
      <c r="E799" s="15"/>
      <c r="F799" s="15"/>
      <c r="G799" s="15"/>
    </row>
    <row r="800">
      <c r="A800" s="14"/>
      <c r="E800" s="15"/>
      <c r="F800" s="15"/>
      <c r="G800" s="15"/>
    </row>
    <row r="801">
      <c r="A801" s="14"/>
      <c r="E801" s="15"/>
      <c r="F801" s="15"/>
      <c r="G801" s="15"/>
    </row>
    <row r="802">
      <c r="A802" s="14"/>
      <c r="E802" s="15"/>
      <c r="F802" s="15"/>
      <c r="G802" s="15"/>
    </row>
    <row r="803">
      <c r="A803" s="14"/>
      <c r="E803" s="15"/>
      <c r="F803" s="15"/>
      <c r="G803" s="15"/>
    </row>
    <row r="804">
      <c r="A804" s="14"/>
      <c r="E804" s="15"/>
      <c r="F804" s="15"/>
      <c r="G804" s="15"/>
    </row>
    <row r="805">
      <c r="A805" s="14"/>
      <c r="E805" s="15"/>
      <c r="F805" s="15"/>
      <c r="G805" s="15"/>
    </row>
    <row r="806">
      <c r="A806" s="14"/>
      <c r="E806" s="15"/>
      <c r="F806" s="15"/>
      <c r="G806" s="15"/>
    </row>
    <row r="807">
      <c r="A807" s="14"/>
      <c r="E807" s="15"/>
      <c r="F807" s="15"/>
      <c r="G807" s="15"/>
    </row>
    <row r="808">
      <c r="A808" s="14"/>
      <c r="E808" s="15"/>
      <c r="F808" s="15"/>
      <c r="G808" s="15"/>
    </row>
    <row r="809">
      <c r="A809" s="14"/>
      <c r="E809" s="15"/>
      <c r="F809" s="15"/>
      <c r="G809" s="15"/>
    </row>
    <row r="810">
      <c r="A810" s="14"/>
      <c r="E810" s="15"/>
      <c r="F810" s="15"/>
      <c r="G810" s="15"/>
    </row>
    <row r="811">
      <c r="A811" s="14"/>
      <c r="E811" s="15"/>
      <c r="F811" s="15"/>
      <c r="G811" s="15"/>
    </row>
    <row r="812">
      <c r="A812" s="14"/>
      <c r="E812" s="15"/>
      <c r="F812" s="15"/>
      <c r="G812" s="15"/>
    </row>
    <row r="813">
      <c r="A813" s="14"/>
      <c r="E813" s="15"/>
      <c r="F813" s="15"/>
      <c r="G813" s="15"/>
    </row>
    <row r="814">
      <c r="A814" s="14"/>
      <c r="E814" s="15"/>
      <c r="F814" s="15"/>
      <c r="G814" s="15"/>
    </row>
    <row r="815">
      <c r="A815" s="14"/>
      <c r="E815" s="15"/>
      <c r="F815" s="15"/>
      <c r="G815" s="15"/>
    </row>
    <row r="816">
      <c r="A816" s="14"/>
      <c r="E816" s="15"/>
      <c r="F816" s="15"/>
      <c r="G816" s="15"/>
    </row>
    <row r="817">
      <c r="A817" s="14"/>
      <c r="E817" s="15"/>
      <c r="F817" s="15"/>
      <c r="G817" s="15"/>
    </row>
    <row r="818">
      <c r="A818" s="14"/>
      <c r="E818" s="15"/>
      <c r="F818" s="15"/>
      <c r="G818" s="15"/>
    </row>
    <row r="819">
      <c r="A819" s="14"/>
      <c r="E819" s="15"/>
      <c r="F819" s="15"/>
      <c r="G819" s="15"/>
    </row>
    <row r="820">
      <c r="A820" s="14"/>
      <c r="E820" s="15"/>
      <c r="F820" s="15"/>
      <c r="G820" s="15"/>
    </row>
    <row r="821">
      <c r="A821" s="14"/>
      <c r="E821" s="15"/>
      <c r="F821" s="15"/>
      <c r="G821" s="15"/>
    </row>
    <row r="822">
      <c r="A822" s="14"/>
      <c r="E822" s="15"/>
      <c r="F822" s="15"/>
      <c r="G822" s="15"/>
    </row>
    <row r="823">
      <c r="A823" s="14"/>
      <c r="E823" s="15"/>
      <c r="F823" s="15"/>
      <c r="G823" s="15"/>
    </row>
    <row r="824">
      <c r="A824" s="14"/>
      <c r="E824" s="15"/>
      <c r="F824" s="15"/>
      <c r="G824" s="15"/>
    </row>
    <row r="825">
      <c r="A825" s="14"/>
      <c r="E825" s="15"/>
      <c r="F825" s="15"/>
      <c r="G825" s="15"/>
    </row>
    <row r="826">
      <c r="A826" s="14"/>
      <c r="E826" s="15"/>
      <c r="F826" s="15"/>
      <c r="G826" s="15"/>
    </row>
    <row r="827">
      <c r="A827" s="14"/>
      <c r="E827" s="15"/>
      <c r="F827" s="15"/>
      <c r="G827" s="15"/>
    </row>
    <row r="828">
      <c r="A828" s="14"/>
      <c r="E828" s="15"/>
      <c r="F828" s="15"/>
      <c r="G828" s="15"/>
    </row>
    <row r="829">
      <c r="A829" s="14"/>
      <c r="E829" s="15"/>
      <c r="F829" s="15"/>
      <c r="G829" s="15"/>
    </row>
    <row r="830">
      <c r="A830" s="14"/>
      <c r="E830" s="15"/>
      <c r="F830" s="15"/>
      <c r="G830" s="15"/>
    </row>
    <row r="831">
      <c r="A831" s="14"/>
      <c r="E831" s="15"/>
      <c r="F831" s="15"/>
      <c r="G831" s="15"/>
    </row>
    <row r="832">
      <c r="A832" s="14"/>
      <c r="E832" s="15"/>
      <c r="F832" s="15"/>
      <c r="G832" s="15"/>
    </row>
    <row r="833">
      <c r="A833" s="14"/>
      <c r="E833" s="15"/>
      <c r="F833" s="15"/>
      <c r="G833" s="15"/>
    </row>
    <row r="834">
      <c r="A834" s="14"/>
      <c r="E834" s="15"/>
      <c r="F834" s="15"/>
      <c r="G834" s="15"/>
    </row>
    <row r="835">
      <c r="A835" s="14"/>
      <c r="E835" s="15"/>
      <c r="F835" s="15"/>
      <c r="G835" s="15"/>
    </row>
    <row r="836">
      <c r="A836" s="14"/>
      <c r="E836" s="15"/>
      <c r="F836" s="15"/>
      <c r="G836" s="15"/>
    </row>
    <row r="837">
      <c r="A837" s="14"/>
      <c r="E837" s="15"/>
      <c r="F837" s="15"/>
      <c r="G837" s="15"/>
    </row>
    <row r="838">
      <c r="A838" s="14"/>
      <c r="E838" s="15"/>
      <c r="F838" s="15"/>
      <c r="G838" s="15"/>
    </row>
    <row r="839">
      <c r="A839" s="14"/>
      <c r="E839" s="15"/>
      <c r="F839" s="15"/>
      <c r="G839" s="15"/>
    </row>
    <row r="840">
      <c r="A840" s="14"/>
      <c r="E840" s="15"/>
      <c r="F840" s="15"/>
      <c r="G840" s="15"/>
    </row>
    <row r="841">
      <c r="A841" s="14"/>
      <c r="E841" s="15"/>
      <c r="F841" s="15"/>
      <c r="G841" s="15"/>
    </row>
    <row r="842">
      <c r="A842" s="14"/>
      <c r="E842" s="15"/>
      <c r="F842" s="15"/>
      <c r="G842" s="15"/>
    </row>
    <row r="843">
      <c r="A843" s="14"/>
      <c r="E843" s="15"/>
      <c r="F843" s="15"/>
      <c r="G843" s="15"/>
    </row>
    <row r="844">
      <c r="A844" s="14"/>
      <c r="E844" s="15"/>
      <c r="F844" s="15"/>
      <c r="G844" s="15"/>
    </row>
    <row r="845">
      <c r="A845" s="14"/>
      <c r="E845" s="15"/>
      <c r="F845" s="15"/>
      <c r="G845" s="15"/>
    </row>
    <row r="846">
      <c r="A846" s="14"/>
      <c r="E846" s="15"/>
      <c r="F846" s="15"/>
      <c r="G846" s="15"/>
    </row>
    <row r="847">
      <c r="A847" s="14"/>
      <c r="E847" s="15"/>
      <c r="F847" s="15"/>
      <c r="G847" s="15"/>
    </row>
    <row r="848">
      <c r="A848" s="14"/>
      <c r="E848" s="15"/>
      <c r="F848" s="15"/>
      <c r="G848" s="15"/>
    </row>
    <row r="849">
      <c r="A849" s="14"/>
      <c r="E849" s="15"/>
      <c r="F849" s="15"/>
      <c r="G849" s="15"/>
    </row>
    <row r="850">
      <c r="A850" s="14"/>
      <c r="E850" s="15"/>
      <c r="F850" s="15"/>
      <c r="G850" s="15"/>
    </row>
    <row r="851">
      <c r="A851" s="14"/>
      <c r="E851" s="15"/>
      <c r="F851" s="15"/>
      <c r="G851" s="15"/>
    </row>
    <row r="852">
      <c r="A852" s="14"/>
      <c r="E852" s="15"/>
      <c r="F852" s="15"/>
      <c r="G852" s="15"/>
    </row>
    <row r="853">
      <c r="A853" s="14"/>
      <c r="E853" s="15"/>
      <c r="F853" s="15"/>
      <c r="G853" s="15"/>
    </row>
    <row r="854">
      <c r="A854" s="14"/>
      <c r="E854" s="15"/>
      <c r="F854" s="15"/>
      <c r="G854" s="15"/>
    </row>
    <row r="855">
      <c r="A855" s="14"/>
      <c r="E855" s="15"/>
      <c r="F855" s="15"/>
      <c r="G855" s="15"/>
    </row>
    <row r="856">
      <c r="A856" s="14"/>
      <c r="E856" s="15"/>
      <c r="F856" s="15"/>
      <c r="G856" s="15"/>
    </row>
    <row r="857">
      <c r="A857" s="14"/>
      <c r="E857" s="15"/>
      <c r="F857" s="15"/>
      <c r="G857" s="15"/>
    </row>
    <row r="858">
      <c r="A858" s="14"/>
      <c r="E858" s="15"/>
      <c r="F858" s="15"/>
      <c r="G858" s="15"/>
    </row>
    <row r="859">
      <c r="A859" s="14"/>
      <c r="E859" s="15"/>
      <c r="F859" s="15"/>
      <c r="G859" s="15"/>
    </row>
    <row r="860">
      <c r="A860" s="14"/>
      <c r="E860" s="15"/>
      <c r="F860" s="15"/>
      <c r="G860" s="15"/>
    </row>
    <row r="861">
      <c r="A861" s="14"/>
      <c r="E861" s="15"/>
      <c r="F861" s="15"/>
      <c r="G861" s="15"/>
    </row>
    <row r="862">
      <c r="A862" s="14"/>
      <c r="E862" s="15"/>
      <c r="F862" s="15"/>
      <c r="G862" s="15"/>
    </row>
    <row r="863">
      <c r="A863" s="14"/>
      <c r="E863" s="15"/>
      <c r="F863" s="15"/>
      <c r="G863" s="15"/>
    </row>
    <row r="864">
      <c r="A864" s="14"/>
      <c r="E864" s="15"/>
      <c r="F864" s="15"/>
      <c r="G864" s="15"/>
    </row>
    <row r="865">
      <c r="A865" s="14"/>
      <c r="E865" s="15"/>
      <c r="F865" s="15"/>
      <c r="G865" s="15"/>
    </row>
    <row r="866">
      <c r="A866" s="14"/>
      <c r="E866" s="15"/>
      <c r="F866" s="15"/>
      <c r="G866" s="15"/>
    </row>
    <row r="867">
      <c r="A867" s="14"/>
      <c r="E867" s="15"/>
      <c r="F867" s="15"/>
      <c r="G867" s="15"/>
    </row>
    <row r="868">
      <c r="A868" s="14"/>
      <c r="E868" s="15"/>
      <c r="F868" s="15"/>
      <c r="G868" s="15"/>
    </row>
    <row r="869">
      <c r="A869" s="14"/>
      <c r="E869" s="15"/>
      <c r="F869" s="15"/>
      <c r="G869" s="15"/>
    </row>
    <row r="870">
      <c r="A870" s="14"/>
      <c r="E870" s="15"/>
      <c r="F870" s="15"/>
      <c r="G870" s="15"/>
    </row>
    <row r="871">
      <c r="A871" s="14"/>
      <c r="E871" s="15"/>
      <c r="F871" s="15"/>
      <c r="G871" s="15"/>
    </row>
    <row r="872">
      <c r="A872" s="14"/>
      <c r="E872" s="15"/>
      <c r="F872" s="15"/>
      <c r="G872" s="15"/>
    </row>
    <row r="873">
      <c r="A873" s="14"/>
      <c r="E873" s="15"/>
      <c r="F873" s="15"/>
      <c r="G873" s="15"/>
    </row>
    <row r="874">
      <c r="A874" s="14"/>
      <c r="E874" s="15"/>
      <c r="F874" s="15"/>
      <c r="G874" s="15"/>
    </row>
    <row r="875">
      <c r="A875" s="14"/>
      <c r="E875" s="15"/>
      <c r="F875" s="15"/>
      <c r="G875" s="15"/>
    </row>
    <row r="876">
      <c r="A876" s="14"/>
      <c r="E876" s="15"/>
      <c r="F876" s="15"/>
      <c r="G876" s="15"/>
    </row>
    <row r="877">
      <c r="A877" s="14"/>
      <c r="E877" s="15"/>
      <c r="F877" s="15"/>
      <c r="G877" s="15"/>
    </row>
    <row r="878">
      <c r="A878" s="14"/>
      <c r="E878" s="15"/>
      <c r="F878" s="15"/>
      <c r="G878" s="15"/>
    </row>
    <row r="879">
      <c r="A879" s="14"/>
      <c r="E879" s="15"/>
      <c r="F879" s="15"/>
      <c r="G879" s="15"/>
    </row>
    <row r="880">
      <c r="A880" s="14"/>
      <c r="E880" s="15"/>
      <c r="F880" s="15"/>
      <c r="G880" s="15"/>
    </row>
    <row r="881">
      <c r="A881" s="14"/>
      <c r="E881" s="15"/>
      <c r="F881" s="15"/>
      <c r="G881" s="15"/>
    </row>
    <row r="882">
      <c r="A882" s="14"/>
      <c r="E882" s="15"/>
      <c r="F882" s="15"/>
      <c r="G882" s="15"/>
    </row>
    <row r="883">
      <c r="A883" s="14"/>
      <c r="E883" s="15"/>
      <c r="F883" s="15"/>
      <c r="G883" s="15"/>
    </row>
    <row r="884">
      <c r="A884" s="14"/>
      <c r="E884" s="15"/>
      <c r="F884" s="15"/>
      <c r="G884" s="15"/>
    </row>
    <row r="885">
      <c r="A885" s="14"/>
      <c r="E885" s="15"/>
      <c r="F885" s="15"/>
      <c r="G885" s="15"/>
    </row>
    <row r="886">
      <c r="A886" s="14"/>
      <c r="E886" s="15"/>
      <c r="F886" s="15"/>
      <c r="G886" s="15"/>
    </row>
    <row r="887">
      <c r="A887" s="14"/>
      <c r="E887" s="15"/>
      <c r="F887" s="15"/>
      <c r="G887" s="15"/>
    </row>
    <row r="888">
      <c r="A888" s="14"/>
      <c r="E888" s="15"/>
      <c r="F888" s="15"/>
      <c r="G888" s="15"/>
    </row>
    <row r="889">
      <c r="A889" s="14"/>
      <c r="E889" s="15"/>
      <c r="F889" s="15"/>
      <c r="G889" s="15"/>
    </row>
    <row r="890">
      <c r="A890" s="14"/>
      <c r="E890" s="15"/>
      <c r="F890" s="15"/>
      <c r="G890" s="15"/>
    </row>
    <row r="891">
      <c r="A891" s="14"/>
      <c r="E891" s="15"/>
      <c r="F891" s="15"/>
      <c r="G891" s="15"/>
    </row>
    <row r="892">
      <c r="A892" s="14"/>
      <c r="E892" s="15"/>
      <c r="F892" s="15"/>
      <c r="G892" s="15"/>
    </row>
    <row r="893">
      <c r="A893" s="14"/>
      <c r="E893" s="15"/>
      <c r="F893" s="15"/>
      <c r="G893" s="15"/>
    </row>
    <row r="894">
      <c r="A894" s="14"/>
      <c r="E894" s="15"/>
      <c r="F894" s="15"/>
      <c r="G894" s="15"/>
    </row>
    <row r="895">
      <c r="A895" s="14"/>
      <c r="E895" s="15"/>
      <c r="F895" s="15"/>
      <c r="G895" s="15"/>
    </row>
    <row r="896">
      <c r="A896" s="14"/>
      <c r="E896" s="15"/>
      <c r="F896" s="15"/>
      <c r="G896" s="15"/>
    </row>
    <row r="897">
      <c r="A897" s="14"/>
      <c r="E897" s="15"/>
      <c r="F897" s="15"/>
      <c r="G897" s="15"/>
    </row>
    <row r="898">
      <c r="A898" s="14"/>
      <c r="E898" s="15"/>
      <c r="F898" s="15"/>
      <c r="G898" s="15"/>
    </row>
    <row r="899">
      <c r="A899" s="14"/>
      <c r="E899" s="15"/>
      <c r="F899" s="15"/>
      <c r="G899" s="15"/>
    </row>
    <row r="900">
      <c r="A900" s="14"/>
      <c r="E900" s="15"/>
      <c r="F900" s="15"/>
      <c r="G900" s="15"/>
    </row>
    <row r="901">
      <c r="A901" s="14"/>
      <c r="E901" s="15"/>
      <c r="F901" s="15"/>
      <c r="G901" s="15"/>
    </row>
    <row r="902">
      <c r="A902" s="14"/>
      <c r="E902" s="15"/>
      <c r="F902" s="15"/>
      <c r="G902" s="15"/>
    </row>
    <row r="903">
      <c r="A903" s="14"/>
      <c r="E903" s="15"/>
      <c r="F903" s="15"/>
      <c r="G903" s="15"/>
    </row>
    <row r="904">
      <c r="A904" s="14"/>
      <c r="E904" s="15"/>
      <c r="F904" s="15"/>
      <c r="G904" s="15"/>
    </row>
    <row r="905">
      <c r="A905" s="14"/>
      <c r="E905" s="15"/>
      <c r="F905" s="15"/>
      <c r="G905" s="15"/>
    </row>
    <row r="906">
      <c r="A906" s="14"/>
      <c r="E906" s="15"/>
      <c r="F906" s="15"/>
      <c r="G906" s="15"/>
    </row>
    <row r="907">
      <c r="A907" s="14"/>
      <c r="E907" s="15"/>
      <c r="F907" s="15"/>
      <c r="G907" s="15"/>
    </row>
    <row r="908">
      <c r="A908" s="14"/>
      <c r="E908" s="15"/>
      <c r="F908" s="15"/>
      <c r="G908" s="15"/>
    </row>
    <row r="909">
      <c r="A909" s="14"/>
      <c r="E909" s="15"/>
      <c r="F909" s="15"/>
      <c r="G909" s="15"/>
    </row>
    <row r="910">
      <c r="A910" s="14"/>
      <c r="E910" s="15"/>
      <c r="F910" s="15"/>
      <c r="G910" s="15"/>
    </row>
    <row r="911">
      <c r="A911" s="14"/>
      <c r="E911" s="15"/>
      <c r="F911" s="15"/>
      <c r="G911" s="15"/>
    </row>
    <row r="912">
      <c r="A912" s="14"/>
      <c r="E912" s="15"/>
      <c r="F912" s="15"/>
      <c r="G912" s="15"/>
    </row>
    <row r="913">
      <c r="A913" s="14"/>
      <c r="E913" s="15"/>
      <c r="F913" s="15"/>
      <c r="G913" s="15"/>
    </row>
    <row r="914">
      <c r="A914" s="14"/>
      <c r="E914" s="15"/>
      <c r="F914" s="15"/>
      <c r="G914" s="15"/>
    </row>
    <row r="915">
      <c r="A915" s="14"/>
      <c r="E915" s="15"/>
      <c r="F915" s="15"/>
      <c r="G915" s="15"/>
    </row>
    <row r="916">
      <c r="A916" s="14"/>
      <c r="E916" s="15"/>
      <c r="F916" s="15"/>
      <c r="G916" s="15"/>
    </row>
    <row r="917">
      <c r="A917" s="14"/>
      <c r="E917" s="15"/>
      <c r="F917" s="15"/>
      <c r="G917" s="15"/>
    </row>
    <row r="918">
      <c r="A918" s="14"/>
      <c r="E918" s="15"/>
      <c r="F918" s="15"/>
      <c r="G918" s="15"/>
    </row>
    <row r="919">
      <c r="A919" s="14"/>
      <c r="E919" s="15"/>
      <c r="F919" s="15"/>
      <c r="G919" s="15"/>
    </row>
    <row r="920">
      <c r="A920" s="14"/>
      <c r="E920" s="15"/>
      <c r="F920" s="15"/>
      <c r="G920" s="15"/>
    </row>
    <row r="921">
      <c r="A921" s="14"/>
      <c r="E921" s="15"/>
      <c r="F921" s="15"/>
      <c r="G921" s="15"/>
    </row>
    <row r="922">
      <c r="A922" s="14"/>
      <c r="E922" s="15"/>
      <c r="F922" s="15"/>
      <c r="G922" s="15"/>
    </row>
    <row r="923">
      <c r="A923" s="14"/>
      <c r="E923" s="15"/>
      <c r="F923" s="15"/>
      <c r="G923" s="15"/>
    </row>
    <row r="924">
      <c r="A924" s="14"/>
      <c r="E924" s="15"/>
      <c r="F924" s="15"/>
      <c r="G924" s="15"/>
    </row>
    <row r="925">
      <c r="A925" s="14"/>
      <c r="E925" s="15"/>
      <c r="F925" s="15"/>
      <c r="G925" s="15"/>
    </row>
    <row r="926">
      <c r="A926" s="14"/>
      <c r="E926" s="15"/>
      <c r="F926" s="15"/>
      <c r="G926" s="15"/>
    </row>
    <row r="927">
      <c r="A927" s="14"/>
      <c r="E927" s="15"/>
      <c r="F927" s="15"/>
      <c r="G927" s="15"/>
    </row>
    <row r="928">
      <c r="A928" s="14"/>
      <c r="E928" s="15"/>
      <c r="F928" s="15"/>
      <c r="G928" s="15"/>
    </row>
    <row r="929">
      <c r="A929" s="14"/>
      <c r="E929" s="15"/>
      <c r="F929" s="15"/>
      <c r="G929" s="15"/>
    </row>
    <row r="930">
      <c r="A930" s="14"/>
      <c r="E930" s="15"/>
      <c r="F930" s="15"/>
      <c r="G930" s="15"/>
    </row>
    <row r="931">
      <c r="A931" s="14"/>
      <c r="E931" s="15"/>
      <c r="F931" s="15"/>
      <c r="G931" s="15"/>
    </row>
    <row r="932">
      <c r="A932" s="14"/>
      <c r="E932" s="15"/>
      <c r="F932" s="15"/>
      <c r="G932" s="15"/>
    </row>
    <row r="933">
      <c r="A933" s="14"/>
      <c r="E933" s="15"/>
      <c r="F933" s="15"/>
      <c r="G933" s="15"/>
    </row>
    <row r="934">
      <c r="A934" s="14"/>
      <c r="E934" s="15"/>
      <c r="F934" s="15"/>
      <c r="G934" s="15"/>
    </row>
    <row r="935">
      <c r="A935" s="14"/>
      <c r="E935" s="15"/>
      <c r="F935" s="15"/>
      <c r="G935" s="15"/>
    </row>
    <row r="936">
      <c r="A936" s="14"/>
      <c r="E936" s="15"/>
      <c r="F936" s="15"/>
      <c r="G936" s="15"/>
    </row>
    <row r="937">
      <c r="A937" s="14"/>
      <c r="E937" s="15"/>
      <c r="F937" s="15"/>
      <c r="G937" s="15"/>
    </row>
    <row r="938">
      <c r="A938" s="14"/>
      <c r="E938" s="15"/>
      <c r="F938" s="15"/>
      <c r="G938" s="15"/>
    </row>
    <row r="939">
      <c r="A939" s="14"/>
      <c r="E939" s="15"/>
      <c r="F939" s="15"/>
      <c r="G939" s="15"/>
    </row>
    <row r="940">
      <c r="A940" s="14"/>
      <c r="E940" s="15"/>
      <c r="F940" s="15"/>
      <c r="G940" s="15"/>
    </row>
    <row r="941">
      <c r="A941" s="14"/>
      <c r="E941" s="15"/>
      <c r="F941" s="15"/>
      <c r="G941" s="15"/>
    </row>
    <row r="942">
      <c r="A942" s="14"/>
      <c r="E942" s="15"/>
      <c r="F942" s="15"/>
      <c r="G942" s="15"/>
    </row>
    <row r="943">
      <c r="A943" s="14"/>
      <c r="E943" s="15"/>
      <c r="F943" s="15"/>
      <c r="G943" s="15"/>
    </row>
    <row r="944">
      <c r="A944" s="14"/>
      <c r="E944" s="15"/>
      <c r="F944" s="15"/>
      <c r="G944" s="15"/>
    </row>
    <row r="945">
      <c r="A945" s="14"/>
      <c r="E945" s="15"/>
      <c r="F945" s="15"/>
      <c r="G945" s="15"/>
    </row>
    <row r="946">
      <c r="A946" s="14"/>
      <c r="E946" s="15"/>
      <c r="F946" s="15"/>
      <c r="G946" s="15"/>
    </row>
    <row r="947">
      <c r="A947" s="14"/>
      <c r="E947" s="15"/>
      <c r="F947" s="15"/>
      <c r="G947" s="15"/>
    </row>
    <row r="948">
      <c r="A948" s="14"/>
      <c r="E948" s="15"/>
      <c r="F948" s="15"/>
      <c r="G948" s="15"/>
    </row>
    <row r="949">
      <c r="A949" s="14"/>
      <c r="E949" s="15"/>
      <c r="F949" s="15"/>
      <c r="G949" s="15"/>
    </row>
    <row r="950">
      <c r="A950" s="14"/>
      <c r="E950" s="15"/>
      <c r="F950" s="15"/>
      <c r="G950" s="15"/>
    </row>
    <row r="951">
      <c r="A951" s="14"/>
      <c r="E951" s="15"/>
      <c r="F951" s="15"/>
      <c r="G951" s="15"/>
    </row>
    <row r="952">
      <c r="A952" s="14"/>
      <c r="E952" s="15"/>
      <c r="F952" s="15"/>
      <c r="G952" s="15"/>
    </row>
    <row r="953">
      <c r="A953" s="14"/>
      <c r="E953" s="15"/>
      <c r="F953" s="15"/>
      <c r="G953" s="15"/>
    </row>
    <row r="954">
      <c r="A954" s="14"/>
      <c r="E954" s="15"/>
      <c r="F954" s="15"/>
      <c r="G954" s="15"/>
    </row>
    <row r="955">
      <c r="A955" s="14"/>
      <c r="E955" s="15"/>
      <c r="F955" s="15"/>
      <c r="G955" s="15"/>
    </row>
    <row r="956">
      <c r="A956" s="14"/>
      <c r="E956" s="15"/>
      <c r="F956" s="15"/>
      <c r="G956" s="15"/>
    </row>
    <row r="957">
      <c r="A957" s="14"/>
      <c r="E957" s="15"/>
      <c r="F957" s="15"/>
      <c r="G957" s="15"/>
    </row>
    <row r="958">
      <c r="A958" s="14"/>
      <c r="E958" s="15"/>
      <c r="F958" s="15"/>
      <c r="G958" s="15"/>
    </row>
    <row r="959">
      <c r="A959" s="14"/>
      <c r="E959" s="15"/>
      <c r="F959" s="15"/>
      <c r="G959" s="15"/>
    </row>
    <row r="960">
      <c r="A960" s="14"/>
      <c r="E960" s="15"/>
      <c r="F960" s="15"/>
      <c r="G960" s="15"/>
    </row>
    <row r="961">
      <c r="A961" s="14"/>
      <c r="E961" s="15"/>
      <c r="F961" s="15"/>
      <c r="G961" s="15"/>
    </row>
    <row r="962">
      <c r="A962" s="14"/>
      <c r="E962" s="15"/>
      <c r="F962" s="15"/>
      <c r="G962" s="15"/>
    </row>
    <row r="963">
      <c r="A963" s="14"/>
      <c r="E963" s="15"/>
      <c r="F963" s="15"/>
      <c r="G963" s="15"/>
    </row>
    <row r="964">
      <c r="A964" s="14"/>
      <c r="E964" s="15"/>
      <c r="F964" s="15"/>
      <c r="G964" s="15"/>
    </row>
    <row r="965">
      <c r="A965" s="14"/>
      <c r="E965" s="15"/>
      <c r="F965" s="15"/>
      <c r="G965" s="15"/>
    </row>
    <row r="966">
      <c r="A966" s="14"/>
      <c r="E966" s="15"/>
      <c r="F966" s="15"/>
      <c r="G966" s="15"/>
    </row>
    <row r="967">
      <c r="A967" s="14"/>
      <c r="E967" s="15"/>
      <c r="F967" s="15"/>
      <c r="G967" s="15"/>
    </row>
    <row r="968">
      <c r="A968" s="14"/>
      <c r="E968" s="15"/>
      <c r="F968" s="15"/>
      <c r="G968" s="15"/>
    </row>
    <row r="969">
      <c r="A969" s="14"/>
      <c r="E969" s="15"/>
      <c r="F969" s="15"/>
      <c r="G969" s="15"/>
    </row>
    <row r="970">
      <c r="A970" s="14"/>
      <c r="E970" s="15"/>
      <c r="F970" s="15"/>
      <c r="G970" s="15"/>
    </row>
    <row r="971">
      <c r="A971" s="14"/>
      <c r="E971" s="15"/>
      <c r="F971" s="15"/>
      <c r="G971" s="15"/>
    </row>
    <row r="972">
      <c r="A972" s="14"/>
      <c r="E972" s="15"/>
      <c r="F972" s="15"/>
      <c r="G972" s="15"/>
    </row>
    <row r="973">
      <c r="A973" s="14"/>
      <c r="E973" s="15"/>
      <c r="F973" s="15"/>
      <c r="G973" s="15"/>
    </row>
    <row r="974">
      <c r="A974" s="14"/>
      <c r="E974" s="15"/>
      <c r="F974" s="15"/>
      <c r="G974" s="15"/>
    </row>
    <row r="975">
      <c r="A975" s="14"/>
      <c r="E975" s="15"/>
      <c r="F975" s="15"/>
      <c r="G975" s="15"/>
    </row>
    <row r="976">
      <c r="A976" s="14"/>
      <c r="E976" s="15"/>
      <c r="F976" s="15"/>
      <c r="G976" s="15"/>
    </row>
    <row r="977">
      <c r="A977" s="14"/>
      <c r="E977" s="15"/>
      <c r="F977" s="15"/>
      <c r="G977" s="15"/>
    </row>
    <row r="978">
      <c r="A978" s="14"/>
      <c r="E978" s="15"/>
      <c r="F978" s="15"/>
      <c r="G978" s="15"/>
    </row>
    <row r="979">
      <c r="A979" s="14"/>
      <c r="E979" s="15"/>
      <c r="F979" s="15"/>
      <c r="G979" s="15"/>
    </row>
    <row r="980">
      <c r="A980" s="14"/>
      <c r="E980" s="15"/>
      <c r="F980" s="15"/>
      <c r="G980" s="15"/>
    </row>
    <row r="981">
      <c r="A981" s="14"/>
      <c r="E981" s="15"/>
      <c r="F981" s="15"/>
      <c r="G981" s="15"/>
    </row>
    <row r="982">
      <c r="A982" s="14"/>
      <c r="E982" s="15"/>
      <c r="F982" s="15"/>
      <c r="G982" s="15"/>
    </row>
    <row r="983">
      <c r="A983" s="14"/>
      <c r="E983" s="15"/>
      <c r="F983" s="15"/>
      <c r="G983" s="15"/>
    </row>
    <row r="984">
      <c r="A984" s="14"/>
      <c r="E984" s="15"/>
      <c r="F984" s="15"/>
      <c r="G984" s="15"/>
    </row>
    <row r="985">
      <c r="A985" s="14"/>
      <c r="E985" s="15"/>
      <c r="F985" s="15"/>
      <c r="G985" s="15"/>
    </row>
    <row r="986">
      <c r="A986" s="14"/>
      <c r="E986" s="15"/>
      <c r="F986" s="15"/>
      <c r="G986" s="15"/>
    </row>
    <row r="987">
      <c r="A987" s="14"/>
      <c r="E987" s="15"/>
      <c r="F987" s="15"/>
      <c r="G987" s="15"/>
    </row>
    <row r="988">
      <c r="A988" s="14"/>
      <c r="E988" s="15"/>
      <c r="F988" s="15"/>
      <c r="G988" s="15"/>
    </row>
    <row r="989">
      <c r="A989" s="14"/>
      <c r="E989" s="15"/>
      <c r="F989" s="15"/>
      <c r="G989" s="15"/>
    </row>
    <row r="990">
      <c r="A990" s="14"/>
      <c r="E990" s="15"/>
      <c r="F990" s="15"/>
      <c r="G990" s="15"/>
    </row>
    <row r="991">
      <c r="A991" s="14"/>
      <c r="E991" s="15"/>
      <c r="F991" s="15"/>
      <c r="G991" s="15"/>
    </row>
    <row r="992">
      <c r="A992" s="14"/>
      <c r="E992" s="15"/>
      <c r="F992" s="15"/>
      <c r="G992" s="15"/>
    </row>
    <row r="993">
      <c r="A993" s="14"/>
      <c r="E993" s="15"/>
      <c r="F993" s="15"/>
      <c r="G993" s="15"/>
    </row>
    <row r="994">
      <c r="A994" s="14"/>
      <c r="E994" s="15"/>
      <c r="F994" s="15"/>
      <c r="G994" s="15"/>
    </row>
    <row r="995">
      <c r="A995" s="14"/>
      <c r="E995" s="15"/>
      <c r="F995" s="15"/>
      <c r="G995" s="15"/>
    </row>
    <row r="996">
      <c r="A996" s="14"/>
      <c r="E996" s="15"/>
      <c r="F996" s="15"/>
      <c r="G996" s="15"/>
    </row>
    <row r="997">
      <c r="A997" s="14"/>
      <c r="E997" s="15"/>
      <c r="F997" s="15"/>
      <c r="G997" s="15"/>
    </row>
    <row r="998">
      <c r="A998" s="14"/>
      <c r="E998" s="15"/>
      <c r="F998" s="15"/>
      <c r="G998" s="15"/>
    </row>
    <row r="999">
      <c r="A999" s="14"/>
      <c r="E999" s="15"/>
      <c r="F999" s="15"/>
      <c r="G999" s="15"/>
    </row>
    <row r="1000">
      <c r="A1000" s="14"/>
      <c r="E1000" s="15"/>
      <c r="F1000" s="15"/>
      <c r="G1000" s="1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578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10.88"/>
    <col customWidth="1" min="3" max="3" width="13.88"/>
    <col customWidth="1" min="4" max="4" width="12.13"/>
    <col customWidth="1" min="5" max="5" width="11.38"/>
  </cols>
  <sheetData>
    <row r="1">
      <c r="A1" s="3" t="s">
        <v>5</v>
      </c>
      <c r="B1" s="3" t="s">
        <v>579</v>
      </c>
      <c r="C1" s="3" t="s">
        <v>271</v>
      </c>
      <c r="D1" s="3" t="s">
        <v>580</v>
      </c>
      <c r="E1" s="3" t="s">
        <v>372</v>
      </c>
    </row>
    <row r="2">
      <c r="A2" s="3" t="s">
        <v>40</v>
      </c>
      <c r="B2" s="3" t="s">
        <v>252</v>
      </c>
      <c r="C2" s="3" t="s">
        <v>45</v>
      </c>
      <c r="D2" s="3" t="s">
        <v>36</v>
      </c>
      <c r="E2" s="3" t="s">
        <v>54</v>
      </c>
    </row>
    <row r="3">
      <c r="A3" s="3" t="s">
        <v>23</v>
      </c>
      <c r="B3" s="3" t="s">
        <v>37</v>
      </c>
      <c r="C3" s="3" t="s">
        <v>29</v>
      </c>
      <c r="D3" s="3" t="s">
        <v>27</v>
      </c>
      <c r="E3" s="3" t="s">
        <v>26</v>
      </c>
    </row>
    <row r="4">
      <c r="A4" s="3" t="s">
        <v>52</v>
      </c>
      <c r="B4" s="3" t="s">
        <v>44</v>
      </c>
      <c r="C4" s="3" t="s">
        <v>581</v>
      </c>
      <c r="D4" s="3" t="s">
        <v>54</v>
      </c>
      <c r="E4" s="3" t="s">
        <v>43</v>
      </c>
    </row>
    <row r="5">
      <c r="A5" s="3" t="s">
        <v>47</v>
      </c>
      <c r="B5" s="3" t="s">
        <v>76</v>
      </c>
      <c r="C5" s="3" t="s">
        <v>582</v>
      </c>
      <c r="D5" s="3" t="s">
        <v>583</v>
      </c>
      <c r="E5" s="3" t="s">
        <v>60</v>
      </c>
    </row>
    <row r="6">
      <c r="B6" s="3" t="s">
        <v>28</v>
      </c>
      <c r="E6" s="3" t="s">
        <v>27</v>
      </c>
    </row>
    <row r="7">
      <c r="B7" s="3" t="s">
        <v>104</v>
      </c>
      <c r="E7" s="3" t="s">
        <v>35</v>
      </c>
    </row>
    <row r="8">
      <c r="B8" s="3" t="s">
        <v>55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7.5"/>
    <col customWidth="1" min="3" max="3" width="5.63"/>
  </cols>
  <sheetData>
    <row r="1">
      <c r="A1" s="3" t="s">
        <v>584</v>
      </c>
      <c r="B1" s="3" t="s">
        <v>585</v>
      </c>
      <c r="C1" s="3" t="s">
        <v>586</v>
      </c>
    </row>
    <row r="2">
      <c r="A2" s="13">
        <v>46183.72687936343</v>
      </c>
      <c r="B2" s="3" t="s">
        <v>587</v>
      </c>
    </row>
    <row r="3">
      <c r="A3" s="13">
        <v>46183.72700601852</v>
      </c>
      <c r="B3" s="3" t="s">
        <v>587</v>
      </c>
    </row>
    <row r="4">
      <c r="A4" s="13">
        <v>46183.729145034726</v>
      </c>
      <c r="B4" s="3" t="s">
        <v>587</v>
      </c>
    </row>
    <row r="5">
      <c r="A5" s="13">
        <v>46183.733858125</v>
      </c>
      <c r="B5" s="3" t="s">
        <v>587</v>
      </c>
    </row>
    <row r="6">
      <c r="A6" s="13">
        <v>46183.74061070602</v>
      </c>
      <c r="B6" s="3" t="s">
        <v>588</v>
      </c>
    </row>
    <row r="7">
      <c r="A7" s="13">
        <v>46183.75129571759</v>
      </c>
      <c r="B7" s="3" t="s">
        <v>589</v>
      </c>
    </row>
    <row r="8">
      <c r="A8" s="13">
        <v>46184.44650186342</v>
      </c>
      <c r="B8" s="3" t="s">
        <v>590</v>
      </c>
    </row>
    <row r="9">
      <c r="A9" s="13">
        <v>46188.32883752315</v>
      </c>
      <c r="B9" s="3" t="s">
        <v>591</v>
      </c>
    </row>
    <row r="10">
      <c r="A10" s="13">
        <v>46195.32881170139</v>
      </c>
      <c r="B10" s="3" t="s">
        <v>592</v>
      </c>
    </row>
    <row r="11">
      <c r="A11" s="13">
        <v>46202.32878994213</v>
      </c>
      <c r="B11" s="3" t="s">
        <v>593</v>
      </c>
    </row>
    <row r="12">
      <c r="A12" s="13">
        <v>46209.32908368055</v>
      </c>
      <c r="B12" s="3" t="s">
        <v>594</v>
      </c>
    </row>
    <row r="13">
      <c r="A13" s="13">
        <v>46216.32877763889</v>
      </c>
      <c r="B13" s="3" t="s">
        <v>595</v>
      </c>
    </row>
    <row r="14">
      <c r="A14" s="13">
        <v>46223.32883355324</v>
      </c>
      <c r="B14" s="3" t="s">
        <v>596</v>
      </c>
    </row>
    <row r="15">
      <c r="A15" s="13">
        <v>46230.3288656713</v>
      </c>
      <c r="B15" s="3" t="s">
        <v>597</v>
      </c>
    </row>
    <row r="16">
      <c r="A16" s="13">
        <v>46237.3287952199</v>
      </c>
      <c r="B16" s="3" t="s">
        <v>598</v>
      </c>
    </row>
    <row r="17">
      <c r="A17" s="13">
        <v>46244.32882553241</v>
      </c>
      <c r="B17" s="3" t="s">
        <v>599</v>
      </c>
    </row>
    <row r="18">
      <c r="A18" s="13">
        <v>46251.32868888889</v>
      </c>
      <c r="B18" s="3" t="s">
        <v>600</v>
      </c>
    </row>
    <row r="19">
      <c r="A19" s="13">
        <v>46258.32868119213</v>
      </c>
      <c r="B19" s="3" t="s">
        <v>600</v>
      </c>
    </row>
    <row r="20">
      <c r="A20" s="13">
        <v>46265.328690462964</v>
      </c>
      <c r="B20" s="3" t="s">
        <v>600</v>
      </c>
    </row>
    <row r="21">
      <c r="A21" s="13">
        <v>46272.32870601852</v>
      </c>
      <c r="B21" s="3" t="s">
        <v>600</v>
      </c>
    </row>
    <row r="22">
      <c r="A22" s="13">
        <v>46279.32917467592</v>
      </c>
      <c r="B22" s="3" t="s">
        <v>600</v>
      </c>
    </row>
  </sheetData>
  <drawing r:id="rId1"/>
</worksheet>
</file>